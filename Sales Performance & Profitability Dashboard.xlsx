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BCOM\Documents\"/>
    </mc:Choice>
  </mc:AlternateContent>
  <xr:revisionPtr revIDLastSave="0" documentId="8_{4BAC42B6-00B8-4D4F-BFBE-9CF862C0221B}" xr6:coauthVersionLast="47" xr6:coauthVersionMax="47" xr10:uidLastSave="{00000000-0000-0000-0000-000000000000}"/>
  <bookViews>
    <workbookView xWindow="-110" yWindow="-110" windowWidth="19420" windowHeight="10420" activeTab="2" xr2:uid="{00000000-000D-0000-FFFF-FFFF00000000}"/>
  </bookViews>
  <sheets>
    <sheet name="pivot table" sheetId="2" r:id="rId1"/>
    <sheet name="SalesData" sheetId="1" r:id="rId2"/>
    <sheet name="Dashboard" sheetId="3" r:id="rId3"/>
  </sheets>
  <definedNames>
    <definedName name="Slicer_Branch_State">#N/A</definedName>
    <definedName name="Slicer_Buyer_Type">#N/A</definedName>
    <definedName name="Slicer_Month">#N/A</definedName>
    <definedName name="Slicer_Payment_Method">#N/A</definedName>
    <definedName name="Slicer_Product_Name">#N/A</definedName>
    <definedName name="Slicer_Profit_Loss">#N/A</definedName>
    <definedName name="Slicer_Sales_Channel">#N/A</definedName>
    <definedName name="Slicer_Total_Sal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1" l="1"/>
  <c r="J21" i="1"/>
  <c r="J22" i="1"/>
  <c r="J29" i="1"/>
  <c r="J33" i="1"/>
  <c r="J40" i="1"/>
  <c r="J47" i="1"/>
  <c r="J48" i="1"/>
  <c r="J53" i="1"/>
  <c r="J65" i="1"/>
  <c r="J66" i="1"/>
  <c r="J67" i="1"/>
  <c r="J68" i="1"/>
  <c r="J72" i="1"/>
  <c r="J76" i="1"/>
  <c r="J91" i="1"/>
  <c r="J92" i="1"/>
  <c r="J101" i="1"/>
  <c r="J102" i="1"/>
  <c r="J106" i="1"/>
  <c r="J107" i="1"/>
  <c r="J112" i="1"/>
  <c r="J116" i="1"/>
  <c r="J117" i="1"/>
  <c r="J118" i="1"/>
  <c r="J125" i="1"/>
  <c r="J138" i="1"/>
  <c r="J139" i="1"/>
  <c r="J140" i="1"/>
  <c r="J141" i="1"/>
  <c r="J142" i="1"/>
  <c r="J143" i="1"/>
  <c r="J164" i="1"/>
  <c r="J178" i="1"/>
  <c r="J179" i="1"/>
  <c r="J180" i="1"/>
  <c r="J190" i="1"/>
  <c r="J209" i="1"/>
  <c r="J210" i="1"/>
  <c r="J211" i="1"/>
  <c r="J212" i="1"/>
  <c r="J224" i="1"/>
  <c r="J225" i="1"/>
  <c r="J233" i="1"/>
  <c r="J237" i="1"/>
  <c r="J238" i="1"/>
  <c r="J248" i="1"/>
  <c r="J249" i="1"/>
  <c r="J258" i="1"/>
  <c r="J259" i="1"/>
  <c r="J260" i="1"/>
  <c r="J261" i="1"/>
  <c r="J272" i="1"/>
  <c r="J273" i="1"/>
  <c r="J274" i="1"/>
  <c r="J275" i="1"/>
  <c r="J276" i="1"/>
  <c r="J295" i="1"/>
  <c r="J296" i="1"/>
  <c r="J297" i="1"/>
  <c r="J304" i="1"/>
  <c r="J310" i="1"/>
  <c r="J318" i="1"/>
  <c r="J321" i="1"/>
  <c r="J322" i="1"/>
  <c r="J334" i="1"/>
  <c r="J335" i="1"/>
  <c r="J336" i="1"/>
  <c r="J342" i="1"/>
  <c r="J343" i="1"/>
  <c r="J354" i="1"/>
  <c r="J355" i="1"/>
  <c r="J356" i="1"/>
  <c r="J357" i="1"/>
  <c r="J360" i="1"/>
  <c r="J365" i="1"/>
  <c r="J366" i="1"/>
  <c r="J380" i="1"/>
  <c r="J381" i="1"/>
  <c r="J382" i="1"/>
  <c r="J396" i="1"/>
  <c r="J401" i="1"/>
  <c r="J404" i="1"/>
  <c r="J405" i="1"/>
  <c r="J406" i="1"/>
  <c r="J416" i="1"/>
  <c r="J417" i="1"/>
  <c r="J418" i="1"/>
  <c r="J419" i="1"/>
  <c r="J420" i="1"/>
  <c r="J428" i="1"/>
  <c r="J429" i="1"/>
  <c r="J430" i="1"/>
  <c r="J439" i="1"/>
  <c r="J449" i="1"/>
  <c r="J461" i="1"/>
  <c r="J465" i="1"/>
  <c r="J466" i="1"/>
  <c r="J484" i="1"/>
  <c r="J485" i="1"/>
  <c r="J491" i="1"/>
  <c r="J500" i="1"/>
  <c r="J509" i="1"/>
  <c r="J510" i="1"/>
  <c r="J511" i="1"/>
  <c r="J512" i="1"/>
  <c r="J522" i="1"/>
  <c r="J523" i="1"/>
  <c r="J524" i="1"/>
  <c r="J525" i="1"/>
  <c r="J526" i="1"/>
  <c r="J538" i="1"/>
  <c r="J539" i="1"/>
  <c r="J540" i="1"/>
  <c r="J545" i="1"/>
  <c r="J549" i="1"/>
  <c r="J550" i="1"/>
  <c r="J558" i="1"/>
  <c r="J559" i="1"/>
  <c r="J569" i="1"/>
  <c r="J570" i="1"/>
  <c r="J578" i="1"/>
  <c r="J584" i="1"/>
  <c r="J585" i="1"/>
  <c r="J586" i="1"/>
  <c r="J596" i="1"/>
  <c r="J597" i="1"/>
  <c r="J598" i="1"/>
  <c r="J599" i="1"/>
  <c r="J600" i="1"/>
  <c r="J608" i="1"/>
  <c r="J609" i="1"/>
  <c r="J621" i="1"/>
  <c r="J622" i="1"/>
  <c r="J623" i="1"/>
  <c r="J624" i="1"/>
  <c r="J641" i="1"/>
  <c r="J642" i="1"/>
  <c r="J643" i="1"/>
  <c r="J644" i="1"/>
  <c r="J654" i="1"/>
  <c r="J655" i="1"/>
  <c r="J656" i="1"/>
  <c r="J657" i="1"/>
  <c r="J658" i="1"/>
  <c r="J666" i="1"/>
  <c r="J670" i="1"/>
  <c r="J678" i="1"/>
  <c r="J679" i="1"/>
  <c r="J680" i="1"/>
  <c r="J681" i="1"/>
  <c r="J682" i="1"/>
  <c r="J692" i="1"/>
  <c r="J693" i="1"/>
  <c r="J694" i="1"/>
  <c r="J701" i="1"/>
  <c r="J702" i="1"/>
  <c r="J713" i="1"/>
  <c r="J716" i="1"/>
  <c r="J728" i="1"/>
  <c r="J729" i="1"/>
  <c r="J730" i="1"/>
  <c r="J736" i="1"/>
  <c r="J737" i="1"/>
  <c r="J740" i="1"/>
  <c r="J741" i="1"/>
  <c r="J750" i="1"/>
  <c r="J752" i="1"/>
  <c r="J753" i="1"/>
  <c r="J754" i="1"/>
  <c r="J755" i="1"/>
  <c r="J756" i="1"/>
  <c r="J768" i="1"/>
  <c r="J773" i="1"/>
  <c r="J778" i="1"/>
  <c r="J786" i="1"/>
  <c r="J787" i="1"/>
  <c r="J792" i="1"/>
  <c r="J809" i="1"/>
  <c r="J810" i="1"/>
  <c r="J811" i="1"/>
  <c r="J812" i="1"/>
  <c r="J813" i="1"/>
  <c r="J814" i="1"/>
  <c r="J815" i="1"/>
  <c r="J824" i="1"/>
  <c r="J825" i="1"/>
  <c r="J826" i="1"/>
  <c r="J835" i="1"/>
  <c r="J836" i="1"/>
  <c r="J837" i="1"/>
  <c r="J845" i="1"/>
  <c r="J849" i="1"/>
  <c r="J850" i="1"/>
  <c r="J870" i="1"/>
  <c r="J871" i="1"/>
  <c r="J872" i="1"/>
  <c r="J873" i="1"/>
  <c r="J884" i="1"/>
  <c r="J885" i="1"/>
  <c r="J886" i="1"/>
  <c r="J893" i="1"/>
  <c r="J894" i="1"/>
  <c r="J900" i="1"/>
  <c r="J906" i="1"/>
  <c r="J907" i="1"/>
  <c r="J909" i="1"/>
  <c r="J910" i="1"/>
  <c r="J920" i="1"/>
  <c r="J922" i="1"/>
  <c r="J929" i="1"/>
  <c r="J942" i="1"/>
  <c r="J943" i="1"/>
  <c r="J944" i="1"/>
  <c r="J956" i="1"/>
  <c r="J957" i="1"/>
  <c r="J958" i="1"/>
  <c r="J967" i="1"/>
  <c r="J968" i="1"/>
  <c r="J969" i="1"/>
  <c r="J979" i="1"/>
  <c r="J980" i="1"/>
  <c r="J981" i="1"/>
  <c r="J982" i="1"/>
  <c r="J983" i="1"/>
  <c r="J984" i="1"/>
  <c r="J1001" i="1"/>
  <c r="J1002" i="1"/>
  <c r="J1006" i="1"/>
  <c r="J1007" i="1"/>
  <c r="J1008" i="1"/>
  <c r="J1015" i="1"/>
  <c r="J1016" i="1"/>
  <c r="J1026" i="1"/>
  <c r="J1038" i="1"/>
  <c r="J1039" i="1"/>
  <c r="J1040" i="1"/>
  <c r="J1041" i="1"/>
  <c r="J1042" i="1"/>
  <c r="J1052" i="1"/>
  <c r="J1053" i="1"/>
  <c r="J1054" i="1"/>
  <c r="J1062" i="1"/>
  <c r="J1066" i="1"/>
  <c r="J1067" i="1"/>
  <c r="J1075" i="1"/>
  <c r="J1076" i="1"/>
  <c r="J1077" i="1"/>
  <c r="J1078" i="1"/>
  <c r="J1087" i="1"/>
  <c r="J1088" i="1"/>
  <c r="J1089" i="1"/>
  <c r="J1090" i="1"/>
  <c r="J1091" i="1"/>
  <c r="J1102" i="1"/>
  <c r="J1111" i="1"/>
  <c r="J1112" i="1"/>
  <c r="J1113" i="1"/>
  <c r="J1124" i="1"/>
  <c r="J1125" i="1"/>
  <c r="J1126" i="1"/>
  <c r="J1136" i="1"/>
  <c r="J1137" i="1"/>
  <c r="J1138" i="1"/>
  <c r="J1139" i="1"/>
  <c r="J1150" i="1"/>
  <c r="J1155" i="1"/>
  <c r="J1159" i="1"/>
  <c r="J1160" i="1"/>
  <c r="J1161" i="1"/>
  <c r="J1171" i="1"/>
  <c r="J1172" i="1"/>
  <c r="J1173" i="1"/>
  <c r="J1174" i="1"/>
  <c r="J1175" i="1"/>
  <c r="J1176" i="1"/>
  <c r="J1184" i="1"/>
  <c r="J1185" i="1"/>
  <c r="J1186" i="1"/>
  <c r="J1198" i="1"/>
  <c r="J1207" i="1"/>
  <c r="J1208" i="1"/>
  <c r="J1209" i="1"/>
  <c r="J1219" i="1"/>
  <c r="J1220" i="1"/>
  <c r="J1221" i="1"/>
  <c r="J1222" i="1"/>
  <c r="J1223" i="1"/>
  <c r="J1224" i="1"/>
  <c r="J1231" i="1"/>
  <c r="J1232" i="1"/>
  <c r="J1233" i="1"/>
  <c r="J1234" i="1"/>
  <c r="J1244" i="1"/>
  <c r="J1245" i="1"/>
  <c r="J1246" i="1"/>
  <c r="J1247" i="1"/>
  <c r="J1248" i="1"/>
  <c r="J1249" i="1"/>
  <c r="J1257" i="1"/>
  <c r="J1258" i="1"/>
  <c r="J1266" i="1"/>
  <c r="J1270" i="1"/>
  <c r="J1278" i="1"/>
  <c r="J1279" i="1"/>
  <c r="J1284" i="1"/>
  <c r="J1285" i="1"/>
  <c r="J1286" i="1"/>
  <c r="J1291" i="1"/>
  <c r="J1292" i="1"/>
  <c r="J1302" i="1"/>
  <c r="J1303" i="1"/>
  <c r="J1304" i="1"/>
  <c r="J1305" i="1"/>
  <c r="J1314" i="1"/>
  <c r="J1315" i="1"/>
  <c r="J1316" i="1"/>
  <c r="J1317" i="1"/>
  <c r="J1318" i="1"/>
  <c r="J1324" i="1"/>
  <c r="J1326" i="1"/>
  <c r="J1328" i="1"/>
  <c r="J1329" i="1"/>
  <c r="J1330" i="1"/>
  <c r="J1338" i="1"/>
  <c r="J1339" i="1"/>
  <c r="J1340" i="1"/>
  <c r="J1341" i="1"/>
  <c r="J1342" i="1"/>
  <c r="J1343" i="1"/>
  <c r="J1352" i="1"/>
  <c r="J1353" i="1"/>
  <c r="J1354" i="1"/>
  <c r="J1363" i="1"/>
  <c r="J1364" i="1"/>
  <c r="J1365" i="1"/>
  <c r="J1366" i="1"/>
  <c r="J1376" i="1"/>
  <c r="J1377" i="1"/>
  <c r="J1378" i="1"/>
  <c r="J1379" i="1"/>
  <c r="J1380" i="1"/>
  <c r="J1381" i="1"/>
  <c r="J1382" i="1"/>
  <c r="J1388" i="1"/>
  <c r="J1389" i="1"/>
  <c r="J1390" i="1"/>
  <c r="J1401" i="1"/>
  <c r="J1402" i="1"/>
  <c r="J1410" i="1"/>
  <c r="J1414" i="1"/>
  <c r="J1415" i="1"/>
  <c r="J1416" i="1"/>
  <c r="J1417" i="1"/>
  <c r="J1418" i="1"/>
  <c r="J1423" i="1"/>
  <c r="J1434" i="1"/>
  <c r="J1435" i="1"/>
  <c r="J1436" i="1"/>
  <c r="J1446" i="1"/>
  <c r="J1447" i="1"/>
  <c r="J1448" i="1"/>
  <c r="J1449" i="1"/>
  <c r="J1456" i="1"/>
  <c r="J1458" i="1"/>
  <c r="J1460" i="1"/>
  <c r="J1461" i="1"/>
  <c r="J1462" i="1"/>
  <c r="J1470" i="1"/>
  <c r="J1471" i="1"/>
  <c r="J1472" i="1"/>
  <c r="J1473" i="1"/>
  <c r="J1474" i="1"/>
  <c r="J1475" i="1"/>
  <c r="J1484" i="1"/>
  <c r="J1485" i="1"/>
  <c r="J1486" i="1"/>
  <c r="J1494" i="1"/>
  <c r="J1495" i="1"/>
  <c r="J1496" i="1"/>
  <c r="J1497" i="1"/>
  <c r="J1498" i="1"/>
  <c r="J1507" i="1"/>
  <c r="J1508" i="1"/>
  <c r="J1509" i="1"/>
  <c r="J1510" i="1"/>
  <c r="J1511" i="1"/>
  <c r="J1512" i="1"/>
  <c r="J1513" i="1"/>
  <c r="J1514" i="1"/>
  <c r="J1520" i="1"/>
  <c r="J1521" i="1"/>
  <c r="J1522" i="1"/>
  <c r="J1532" i="1"/>
  <c r="J1533" i="1"/>
  <c r="J1534" i="1"/>
  <c r="J1535" i="1"/>
  <c r="J1545" i="1"/>
  <c r="J1546" i="1"/>
  <c r="J1547" i="1"/>
  <c r="J1548" i="1"/>
  <c r="J1549" i="1"/>
  <c r="J1550" i="1"/>
  <c r="J1551" i="1"/>
  <c r="J1558" i="1"/>
  <c r="J1566" i="1"/>
  <c r="J1567" i="1"/>
  <c r="J1572" i="1"/>
  <c r="J1577" i="1"/>
  <c r="J1578" i="1"/>
  <c r="J1579" i="1"/>
  <c r="J1588" i="1"/>
  <c r="J1601" i="1"/>
  <c r="J1602" i="1"/>
  <c r="J1603" i="1"/>
  <c r="J1608" i="1"/>
  <c r="J1613" i="1"/>
  <c r="J1614" i="1"/>
  <c r="J1615" i="1"/>
  <c r="J1622" i="1"/>
  <c r="J1624" i="1"/>
  <c r="J1637" i="1"/>
  <c r="J1638" i="1"/>
  <c r="J1639" i="1"/>
  <c r="J1644" i="1"/>
  <c r="J1649" i="1"/>
  <c r="J1650" i="1"/>
  <c r="J1651" i="1"/>
  <c r="J1660" i="1"/>
  <c r="J1673" i="1"/>
  <c r="J1674" i="1"/>
  <c r="J1675" i="1"/>
  <c r="J1680" i="1"/>
  <c r="J1685" i="1"/>
  <c r="J1686" i="1"/>
  <c r="J1687" i="1"/>
  <c r="J1709" i="1"/>
  <c r="J1710" i="1"/>
  <c r="J1711" i="1"/>
  <c r="J1716" i="1"/>
  <c r="J1721" i="1"/>
  <c r="J1722" i="1"/>
  <c r="J1723" i="1"/>
  <c r="J1745" i="1"/>
  <c r="J1746" i="1"/>
  <c r="J1747" i="1"/>
  <c r="J1752" i="1"/>
  <c r="J1757" i="1"/>
  <c r="J1758" i="1"/>
  <c r="J1759" i="1"/>
  <c r="J1765" i="1"/>
  <c r="J1781" i="1"/>
  <c r="J1782" i="1"/>
  <c r="J1783" i="1"/>
  <c r="J1788" i="1"/>
  <c r="J1793" i="1"/>
  <c r="J1794" i="1"/>
  <c r="J1795" i="1"/>
  <c r="J1801" i="1"/>
  <c r="J1802" i="1"/>
  <c r="J1817" i="1"/>
  <c r="J1818" i="1"/>
  <c r="J1819" i="1"/>
  <c r="J1824" i="1"/>
  <c r="J1829" i="1"/>
  <c r="J1830" i="1"/>
  <c r="J1831" i="1"/>
  <c r="J1837" i="1"/>
  <c r="J1838" i="1"/>
  <c r="J1839" i="1"/>
  <c r="J1853" i="1"/>
  <c r="J1854" i="1"/>
  <c r="J1855" i="1"/>
  <c r="J1860" i="1"/>
  <c r="J1865" i="1"/>
  <c r="J1866" i="1"/>
  <c r="J1867" i="1"/>
  <c r="J1873" i="1"/>
  <c r="J1874" i="1"/>
  <c r="J1875" i="1"/>
  <c r="J1876" i="1"/>
  <c r="J1889" i="1"/>
  <c r="J1890" i="1"/>
  <c r="J1891" i="1"/>
  <c r="J1896" i="1"/>
  <c r="J1901" i="1"/>
  <c r="J1902" i="1"/>
  <c r="J1903" i="1"/>
  <c r="J1909" i="1"/>
  <c r="J1910" i="1"/>
  <c r="J1911" i="1"/>
  <c r="J1912" i="1"/>
  <c r="J1924" i="1"/>
  <c r="J1925" i="1"/>
  <c r="J1926" i="1"/>
  <c r="J1927" i="1"/>
  <c r="J1937" i="1"/>
  <c r="J1938" i="1"/>
  <c r="J1939" i="1"/>
  <c r="J1943" i="1"/>
  <c r="J1944" i="1"/>
  <c r="J1945" i="1"/>
  <c r="J1949" i="1"/>
  <c r="J1950" i="1"/>
  <c r="J1951" i="1"/>
  <c r="J1973" i="1"/>
  <c r="J1974" i="1"/>
  <c r="J1975" i="1"/>
  <c r="J1985" i="1"/>
  <c r="J1986" i="1"/>
  <c r="J1987" i="1"/>
  <c r="J1991" i="1"/>
  <c r="J1992" i="1"/>
  <c r="J1997" i="1"/>
  <c r="J1998" i="1"/>
  <c r="J1999" i="1"/>
  <c r="J2005" i="1"/>
  <c r="J2008" i="1"/>
  <c r="J2020" i="1"/>
  <c r="J2021" i="1"/>
  <c r="J2022" i="1"/>
  <c r="J2023" i="1"/>
  <c r="J2033" i="1"/>
  <c r="J2034" i="1"/>
  <c r="J2035" i="1"/>
  <c r="J2039" i="1"/>
  <c r="J2040" i="1"/>
  <c r="J2045" i="1"/>
  <c r="J2046" i="1"/>
  <c r="J2047" i="1"/>
  <c r="J2053" i="1"/>
  <c r="J2054" i="1"/>
  <c r="J2069" i="1"/>
  <c r="J2070" i="1"/>
  <c r="J2071" i="1"/>
  <c r="J2081" i="1"/>
  <c r="J2082" i="1"/>
  <c r="J2083" i="1"/>
  <c r="J2087" i="1"/>
  <c r="J2088" i="1"/>
  <c r="J2089" i="1"/>
  <c r="J2093" i="1"/>
  <c r="J2094" i="1"/>
  <c r="J2095"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 i="1"/>
  <c r="G3" i="1"/>
  <c r="J3" i="1" s="1"/>
  <c r="G4" i="1"/>
  <c r="G5" i="1"/>
  <c r="J5" i="1" s="1"/>
  <c r="G6" i="1"/>
  <c r="J6" i="1" s="1"/>
  <c r="G7" i="1"/>
  <c r="J7" i="1" s="1"/>
  <c r="G8" i="1"/>
  <c r="J8" i="1" s="1"/>
  <c r="G9" i="1"/>
  <c r="J9" i="1" s="1"/>
  <c r="G10" i="1"/>
  <c r="J10" i="1" s="1"/>
  <c r="G11" i="1"/>
  <c r="J11" i="1" s="1"/>
  <c r="G12" i="1"/>
  <c r="J12" i="1" s="1"/>
  <c r="G13" i="1"/>
  <c r="J13" i="1" s="1"/>
  <c r="G14" i="1"/>
  <c r="J14" i="1" s="1"/>
  <c r="G15" i="1"/>
  <c r="J15" i="1" s="1"/>
  <c r="G16" i="1"/>
  <c r="J16" i="1" s="1"/>
  <c r="G17" i="1"/>
  <c r="J17" i="1" s="1"/>
  <c r="G18" i="1"/>
  <c r="J18" i="1" s="1"/>
  <c r="G19" i="1"/>
  <c r="J19" i="1" s="1"/>
  <c r="G20" i="1"/>
  <c r="G21" i="1"/>
  <c r="G22" i="1"/>
  <c r="G23" i="1"/>
  <c r="J23" i="1" s="1"/>
  <c r="G24" i="1"/>
  <c r="J24" i="1" s="1"/>
  <c r="G25" i="1"/>
  <c r="J25" i="1" s="1"/>
  <c r="G26" i="1"/>
  <c r="J26" i="1" s="1"/>
  <c r="G27" i="1"/>
  <c r="J27" i="1" s="1"/>
  <c r="G28" i="1"/>
  <c r="J28" i="1" s="1"/>
  <c r="G29" i="1"/>
  <c r="G30" i="1"/>
  <c r="J30" i="1" s="1"/>
  <c r="G31" i="1"/>
  <c r="J31" i="1" s="1"/>
  <c r="G32" i="1"/>
  <c r="J32" i="1" s="1"/>
  <c r="G33" i="1"/>
  <c r="G34" i="1"/>
  <c r="J34" i="1" s="1"/>
  <c r="G35" i="1"/>
  <c r="J35" i="1" s="1"/>
  <c r="G36" i="1"/>
  <c r="J36" i="1" s="1"/>
  <c r="G37" i="1"/>
  <c r="J37" i="1" s="1"/>
  <c r="G38" i="1"/>
  <c r="J38" i="1" s="1"/>
  <c r="G39" i="1"/>
  <c r="J39" i="1" s="1"/>
  <c r="G40" i="1"/>
  <c r="G41" i="1"/>
  <c r="J41" i="1" s="1"/>
  <c r="G42" i="1"/>
  <c r="J42" i="1" s="1"/>
  <c r="G43" i="1"/>
  <c r="J43" i="1" s="1"/>
  <c r="G44" i="1"/>
  <c r="J44" i="1" s="1"/>
  <c r="G45" i="1"/>
  <c r="J45" i="1" s="1"/>
  <c r="G46" i="1"/>
  <c r="J46" i="1" s="1"/>
  <c r="G47" i="1"/>
  <c r="G48" i="1"/>
  <c r="G49" i="1"/>
  <c r="J49" i="1" s="1"/>
  <c r="G50" i="1"/>
  <c r="J50" i="1" s="1"/>
  <c r="G51" i="1"/>
  <c r="J51" i="1" s="1"/>
  <c r="G52" i="1"/>
  <c r="J52" i="1" s="1"/>
  <c r="G53" i="1"/>
  <c r="G54" i="1"/>
  <c r="J54" i="1" s="1"/>
  <c r="G55" i="1"/>
  <c r="J55" i="1" s="1"/>
  <c r="G56" i="1"/>
  <c r="J56" i="1" s="1"/>
  <c r="G57" i="1"/>
  <c r="J57" i="1" s="1"/>
  <c r="G58" i="1"/>
  <c r="J58" i="1" s="1"/>
  <c r="G59" i="1"/>
  <c r="J59" i="1" s="1"/>
  <c r="G60" i="1"/>
  <c r="J60" i="1" s="1"/>
  <c r="G61" i="1"/>
  <c r="J61" i="1" s="1"/>
  <c r="G62" i="1"/>
  <c r="J62" i="1" s="1"/>
  <c r="G63" i="1"/>
  <c r="J63" i="1" s="1"/>
  <c r="G64" i="1"/>
  <c r="J64" i="1" s="1"/>
  <c r="G65" i="1"/>
  <c r="G66" i="1"/>
  <c r="G67" i="1"/>
  <c r="G68" i="1"/>
  <c r="G69" i="1"/>
  <c r="J69" i="1" s="1"/>
  <c r="G70" i="1"/>
  <c r="J70" i="1" s="1"/>
  <c r="G71" i="1"/>
  <c r="J71" i="1" s="1"/>
  <c r="G72" i="1"/>
  <c r="G73" i="1"/>
  <c r="J73" i="1" s="1"/>
  <c r="G74" i="1"/>
  <c r="J74" i="1" s="1"/>
  <c r="G75" i="1"/>
  <c r="J75" i="1" s="1"/>
  <c r="G76" i="1"/>
  <c r="G77" i="1"/>
  <c r="J77" i="1" s="1"/>
  <c r="G78" i="1"/>
  <c r="J78" i="1" s="1"/>
  <c r="G79" i="1"/>
  <c r="J79" i="1" s="1"/>
  <c r="G80" i="1"/>
  <c r="J80" i="1" s="1"/>
  <c r="G81" i="1"/>
  <c r="J81" i="1" s="1"/>
  <c r="G82" i="1"/>
  <c r="J82" i="1" s="1"/>
  <c r="G83" i="1"/>
  <c r="J83" i="1" s="1"/>
  <c r="G84" i="1"/>
  <c r="J84" i="1" s="1"/>
  <c r="G85" i="1"/>
  <c r="J85" i="1" s="1"/>
  <c r="G86" i="1"/>
  <c r="J86" i="1" s="1"/>
  <c r="G87" i="1"/>
  <c r="J87" i="1" s="1"/>
  <c r="G88" i="1"/>
  <c r="J88" i="1" s="1"/>
  <c r="G89" i="1"/>
  <c r="J89" i="1" s="1"/>
  <c r="G90" i="1"/>
  <c r="J90" i="1" s="1"/>
  <c r="G91" i="1"/>
  <c r="G92" i="1"/>
  <c r="G93" i="1"/>
  <c r="J93" i="1" s="1"/>
  <c r="G94" i="1"/>
  <c r="J94" i="1" s="1"/>
  <c r="G95" i="1"/>
  <c r="J95" i="1" s="1"/>
  <c r="G96" i="1"/>
  <c r="J96" i="1" s="1"/>
  <c r="G97" i="1"/>
  <c r="J97" i="1" s="1"/>
  <c r="G98" i="1"/>
  <c r="J98" i="1" s="1"/>
  <c r="G99" i="1"/>
  <c r="J99" i="1" s="1"/>
  <c r="G100" i="1"/>
  <c r="J100" i="1" s="1"/>
  <c r="G101" i="1"/>
  <c r="G102" i="1"/>
  <c r="G103" i="1"/>
  <c r="J103" i="1" s="1"/>
  <c r="G104" i="1"/>
  <c r="J104" i="1" s="1"/>
  <c r="G105" i="1"/>
  <c r="J105" i="1" s="1"/>
  <c r="G106" i="1"/>
  <c r="G107" i="1"/>
  <c r="G108" i="1"/>
  <c r="J108" i="1" s="1"/>
  <c r="G109" i="1"/>
  <c r="J109" i="1" s="1"/>
  <c r="G110" i="1"/>
  <c r="J110" i="1" s="1"/>
  <c r="G111" i="1"/>
  <c r="J111" i="1" s="1"/>
  <c r="G112" i="1"/>
  <c r="G113" i="1"/>
  <c r="J113" i="1" s="1"/>
  <c r="G114" i="1"/>
  <c r="J114" i="1" s="1"/>
  <c r="G115" i="1"/>
  <c r="J115" i="1" s="1"/>
  <c r="G116" i="1"/>
  <c r="G117" i="1"/>
  <c r="G118" i="1"/>
  <c r="G119" i="1"/>
  <c r="J119" i="1" s="1"/>
  <c r="G120" i="1"/>
  <c r="J120" i="1" s="1"/>
  <c r="G121" i="1"/>
  <c r="J121" i="1" s="1"/>
  <c r="G122" i="1"/>
  <c r="J122" i="1" s="1"/>
  <c r="G123" i="1"/>
  <c r="J123" i="1" s="1"/>
  <c r="G124" i="1"/>
  <c r="J124" i="1" s="1"/>
  <c r="G125" i="1"/>
  <c r="G126" i="1"/>
  <c r="J126" i="1" s="1"/>
  <c r="G127" i="1"/>
  <c r="J127" i="1" s="1"/>
  <c r="G128" i="1"/>
  <c r="J128" i="1" s="1"/>
  <c r="G129" i="1"/>
  <c r="J129" i="1" s="1"/>
  <c r="G130" i="1"/>
  <c r="J130" i="1" s="1"/>
  <c r="G131" i="1"/>
  <c r="J131" i="1" s="1"/>
  <c r="G132" i="1"/>
  <c r="J132" i="1" s="1"/>
  <c r="G133" i="1"/>
  <c r="J133" i="1" s="1"/>
  <c r="G134" i="1"/>
  <c r="J134" i="1" s="1"/>
  <c r="G135" i="1"/>
  <c r="J135" i="1" s="1"/>
  <c r="G136" i="1"/>
  <c r="J136" i="1" s="1"/>
  <c r="G137" i="1"/>
  <c r="J137" i="1" s="1"/>
  <c r="G138" i="1"/>
  <c r="G139" i="1"/>
  <c r="G140" i="1"/>
  <c r="G141" i="1"/>
  <c r="G142" i="1"/>
  <c r="G143" i="1"/>
  <c r="G144" i="1"/>
  <c r="J144" i="1" s="1"/>
  <c r="G145" i="1"/>
  <c r="J145" i="1" s="1"/>
  <c r="G146" i="1"/>
  <c r="J146" i="1" s="1"/>
  <c r="G147" i="1"/>
  <c r="J147" i="1" s="1"/>
  <c r="G148" i="1"/>
  <c r="J148" i="1" s="1"/>
  <c r="G149" i="1"/>
  <c r="J149" i="1" s="1"/>
  <c r="G150" i="1"/>
  <c r="J150" i="1" s="1"/>
  <c r="G151" i="1"/>
  <c r="J151" i="1" s="1"/>
  <c r="G152" i="1"/>
  <c r="J152" i="1" s="1"/>
  <c r="G153" i="1"/>
  <c r="J153" i="1" s="1"/>
  <c r="G154" i="1"/>
  <c r="J154" i="1" s="1"/>
  <c r="G155" i="1"/>
  <c r="J155" i="1" s="1"/>
  <c r="G156" i="1"/>
  <c r="J156" i="1" s="1"/>
  <c r="G157" i="1"/>
  <c r="J157" i="1" s="1"/>
  <c r="G158" i="1"/>
  <c r="J158" i="1" s="1"/>
  <c r="G159" i="1"/>
  <c r="J159" i="1" s="1"/>
  <c r="G160" i="1"/>
  <c r="J160" i="1" s="1"/>
  <c r="G161" i="1"/>
  <c r="J161" i="1" s="1"/>
  <c r="G162" i="1"/>
  <c r="J162" i="1" s="1"/>
  <c r="G163" i="1"/>
  <c r="J163" i="1" s="1"/>
  <c r="G164" i="1"/>
  <c r="G165" i="1"/>
  <c r="J165" i="1" s="1"/>
  <c r="G166" i="1"/>
  <c r="J166" i="1" s="1"/>
  <c r="G167" i="1"/>
  <c r="J167" i="1" s="1"/>
  <c r="G168" i="1"/>
  <c r="J168" i="1" s="1"/>
  <c r="G169" i="1"/>
  <c r="J169" i="1" s="1"/>
  <c r="G170" i="1"/>
  <c r="J170" i="1" s="1"/>
  <c r="G171" i="1"/>
  <c r="J171" i="1" s="1"/>
  <c r="G172" i="1"/>
  <c r="J172" i="1" s="1"/>
  <c r="G173" i="1"/>
  <c r="J173" i="1" s="1"/>
  <c r="G174" i="1"/>
  <c r="J174" i="1" s="1"/>
  <c r="G175" i="1"/>
  <c r="J175" i="1" s="1"/>
  <c r="G176" i="1"/>
  <c r="J176" i="1" s="1"/>
  <c r="G177" i="1"/>
  <c r="J177" i="1" s="1"/>
  <c r="G178" i="1"/>
  <c r="G179" i="1"/>
  <c r="G180" i="1"/>
  <c r="G181" i="1"/>
  <c r="J181" i="1" s="1"/>
  <c r="G182" i="1"/>
  <c r="J182" i="1" s="1"/>
  <c r="G183" i="1"/>
  <c r="J183" i="1" s="1"/>
  <c r="G184" i="1"/>
  <c r="J184" i="1" s="1"/>
  <c r="G185" i="1"/>
  <c r="J185" i="1" s="1"/>
  <c r="G186" i="1"/>
  <c r="J186" i="1" s="1"/>
  <c r="G187" i="1"/>
  <c r="J187" i="1" s="1"/>
  <c r="G188" i="1"/>
  <c r="J188" i="1" s="1"/>
  <c r="G189" i="1"/>
  <c r="J189" i="1" s="1"/>
  <c r="G190" i="1"/>
  <c r="G191" i="1"/>
  <c r="J191" i="1" s="1"/>
  <c r="G192" i="1"/>
  <c r="J192" i="1" s="1"/>
  <c r="G193" i="1"/>
  <c r="J193" i="1" s="1"/>
  <c r="G194" i="1"/>
  <c r="J194" i="1" s="1"/>
  <c r="G195" i="1"/>
  <c r="J195" i="1" s="1"/>
  <c r="G196" i="1"/>
  <c r="J196" i="1" s="1"/>
  <c r="G197" i="1"/>
  <c r="J197" i="1" s="1"/>
  <c r="G198" i="1"/>
  <c r="J198" i="1" s="1"/>
  <c r="G199" i="1"/>
  <c r="J199" i="1" s="1"/>
  <c r="G200" i="1"/>
  <c r="J200" i="1" s="1"/>
  <c r="G201" i="1"/>
  <c r="J201" i="1" s="1"/>
  <c r="G202" i="1"/>
  <c r="J202" i="1" s="1"/>
  <c r="G203" i="1"/>
  <c r="J203" i="1" s="1"/>
  <c r="G204" i="1"/>
  <c r="J204" i="1" s="1"/>
  <c r="G205" i="1"/>
  <c r="J205" i="1" s="1"/>
  <c r="G206" i="1"/>
  <c r="J206" i="1" s="1"/>
  <c r="G207" i="1"/>
  <c r="J207" i="1" s="1"/>
  <c r="G208" i="1"/>
  <c r="J208" i="1" s="1"/>
  <c r="G209" i="1"/>
  <c r="G210" i="1"/>
  <c r="G211" i="1"/>
  <c r="G212" i="1"/>
  <c r="G213" i="1"/>
  <c r="J213" i="1" s="1"/>
  <c r="G214" i="1"/>
  <c r="J214" i="1" s="1"/>
  <c r="G215" i="1"/>
  <c r="J215" i="1" s="1"/>
  <c r="G216" i="1"/>
  <c r="J216" i="1" s="1"/>
  <c r="G217" i="1"/>
  <c r="J217" i="1" s="1"/>
  <c r="G218" i="1"/>
  <c r="J218" i="1" s="1"/>
  <c r="G219" i="1"/>
  <c r="J219" i="1" s="1"/>
  <c r="G220" i="1"/>
  <c r="J220" i="1" s="1"/>
  <c r="G221" i="1"/>
  <c r="J221" i="1" s="1"/>
  <c r="G222" i="1"/>
  <c r="J222" i="1" s="1"/>
  <c r="G223" i="1"/>
  <c r="J223" i="1" s="1"/>
  <c r="G224" i="1"/>
  <c r="G225" i="1"/>
  <c r="G226" i="1"/>
  <c r="J226" i="1" s="1"/>
  <c r="G227" i="1"/>
  <c r="J227" i="1" s="1"/>
  <c r="G228" i="1"/>
  <c r="J228" i="1" s="1"/>
  <c r="G229" i="1"/>
  <c r="J229" i="1" s="1"/>
  <c r="G230" i="1"/>
  <c r="J230" i="1" s="1"/>
  <c r="G231" i="1"/>
  <c r="J231" i="1" s="1"/>
  <c r="G232" i="1"/>
  <c r="J232" i="1" s="1"/>
  <c r="G233" i="1"/>
  <c r="G234" i="1"/>
  <c r="J234" i="1" s="1"/>
  <c r="G235" i="1"/>
  <c r="J235" i="1" s="1"/>
  <c r="G236" i="1"/>
  <c r="J236" i="1" s="1"/>
  <c r="G237" i="1"/>
  <c r="G238" i="1"/>
  <c r="G239" i="1"/>
  <c r="J239" i="1" s="1"/>
  <c r="G240" i="1"/>
  <c r="J240" i="1" s="1"/>
  <c r="G241" i="1"/>
  <c r="J241" i="1" s="1"/>
  <c r="G242" i="1"/>
  <c r="J242" i="1" s="1"/>
  <c r="G243" i="1"/>
  <c r="J243" i="1" s="1"/>
  <c r="G244" i="1"/>
  <c r="J244" i="1" s="1"/>
  <c r="G245" i="1"/>
  <c r="J245" i="1" s="1"/>
  <c r="G246" i="1"/>
  <c r="J246" i="1" s="1"/>
  <c r="G247" i="1"/>
  <c r="J247" i="1" s="1"/>
  <c r="G248" i="1"/>
  <c r="G249" i="1"/>
  <c r="G250" i="1"/>
  <c r="J250" i="1" s="1"/>
  <c r="G251" i="1"/>
  <c r="J251" i="1" s="1"/>
  <c r="G252" i="1"/>
  <c r="J252" i="1" s="1"/>
  <c r="G253" i="1"/>
  <c r="J253" i="1" s="1"/>
  <c r="G254" i="1"/>
  <c r="J254" i="1" s="1"/>
  <c r="G255" i="1"/>
  <c r="J255" i="1" s="1"/>
  <c r="G256" i="1"/>
  <c r="J256" i="1" s="1"/>
  <c r="G257" i="1"/>
  <c r="J257" i="1" s="1"/>
  <c r="G258" i="1"/>
  <c r="G259" i="1"/>
  <c r="G260" i="1"/>
  <c r="G261" i="1"/>
  <c r="G262" i="1"/>
  <c r="J262" i="1" s="1"/>
  <c r="G263" i="1"/>
  <c r="J263" i="1" s="1"/>
  <c r="G264" i="1"/>
  <c r="J264" i="1" s="1"/>
  <c r="G265" i="1"/>
  <c r="J265" i="1" s="1"/>
  <c r="G266" i="1"/>
  <c r="J266" i="1" s="1"/>
  <c r="G267" i="1"/>
  <c r="J267" i="1" s="1"/>
  <c r="G268" i="1"/>
  <c r="J268" i="1" s="1"/>
  <c r="G269" i="1"/>
  <c r="J269" i="1" s="1"/>
  <c r="G270" i="1"/>
  <c r="J270" i="1" s="1"/>
  <c r="G271" i="1"/>
  <c r="J271" i="1" s="1"/>
  <c r="G272" i="1"/>
  <c r="G273" i="1"/>
  <c r="G274" i="1"/>
  <c r="G275" i="1"/>
  <c r="G276" i="1"/>
  <c r="G277" i="1"/>
  <c r="J277" i="1" s="1"/>
  <c r="G278" i="1"/>
  <c r="J278" i="1" s="1"/>
  <c r="G279" i="1"/>
  <c r="J279" i="1" s="1"/>
  <c r="G280" i="1"/>
  <c r="J280" i="1" s="1"/>
  <c r="G281" i="1"/>
  <c r="J281" i="1" s="1"/>
  <c r="G282" i="1"/>
  <c r="J282" i="1" s="1"/>
  <c r="G283" i="1"/>
  <c r="J283" i="1" s="1"/>
  <c r="G284" i="1"/>
  <c r="J284" i="1" s="1"/>
  <c r="G285" i="1"/>
  <c r="J285" i="1" s="1"/>
  <c r="G286" i="1"/>
  <c r="J286" i="1" s="1"/>
  <c r="G287" i="1"/>
  <c r="J287" i="1" s="1"/>
  <c r="G288" i="1"/>
  <c r="J288" i="1" s="1"/>
  <c r="G289" i="1"/>
  <c r="J289" i="1" s="1"/>
  <c r="G290" i="1"/>
  <c r="J290" i="1" s="1"/>
  <c r="G291" i="1"/>
  <c r="J291" i="1" s="1"/>
  <c r="G292" i="1"/>
  <c r="J292" i="1" s="1"/>
  <c r="G293" i="1"/>
  <c r="J293" i="1" s="1"/>
  <c r="G294" i="1"/>
  <c r="J294" i="1" s="1"/>
  <c r="G295" i="1"/>
  <c r="G296" i="1"/>
  <c r="G297" i="1"/>
  <c r="G298" i="1"/>
  <c r="J298" i="1" s="1"/>
  <c r="G299" i="1"/>
  <c r="J299" i="1" s="1"/>
  <c r="G300" i="1"/>
  <c r="J300" i="1" s="1"/>
  <c r="G301" i="1"/>
  <c r="J301" i="1" s="1"/>
  <c r="G302" i="1"/>
  <c r="J302" i="1" s="1"/>
  <c r="G303" i="1"/>
  <c r="J303" i="1" s="1"/>
  <c r="G304" i="1"/>
  <c r="G305" i="1"/>
  <c r="J305" i="1" s="1"/>
  <c r="G306" i="1"/>
  <c r="J306" i="1" s="1"/>
  <c r="G307" i="1"/>
  <c r="J307" i="1" s="1"/>
  <c r="G308" i="1"/>
  <c r="J308" i="1" s="1"/>
  <c r="G309" i="1"/>
  <c r="J309" i="1" s="1"/>
  <c r="G310" i="1"/>
  <c r="G311" i="1"/>
  <c r="J311" i="1" s="1"/>
  <c r="G312" i="1"/>
  <c r="J312" i="1" s="1"/>
  <c r="G313" i="1"/>
  <c r="J313" i="1" s="1"/>
  <c r="G314" i="1"/>
  <c r="J314" i="1" s="1"/>
  <c r="G315" i="1"/>
  <c r="J315" i="1" s="1"/>
  <c r="G316" i="1"/>
  <c r="J316" i="1" s="1"/>
  <c r="G317" i="1"/>
  <c r="J317" i="1" s="1"/>
  <c r="G318" i="1"/>
  <c r="G319" i="1"/>
  <c r="J319" i="1" s="1"/>
  <c r="G320" i="1"/>
  <c r="J320" i="1" s="1"/>
  <c r="G321" i="1"/>
  <c r="G322" i="1"/>
  <c r="G323" i="1"/>
  <c r="J323" i="1" s="1"/>
  <c r="G324" i="1"/>
  <c r="J324" i="1" s="1"/>
  <c r="G325" i="1"/>
  <c r="J325" i="1" s="1"/>
  <c r="G326" i="1"/>
  <c r="J326" i="1" s="1"/>
  <c r="G327" i="1"/>
  <c r="J327" i="1" s="1"/>
  <c r="G328" i="1"/>
  <c r="J328" i="1" s="1"/>
  <c r="G329" i="1"/>
  <c r="J329" i="1" s="1"/>
  <c r="G330" i="1"/>
  <c r="J330" i="1" s="1"/>
  <c r="G331" i="1"/>
  <c r="J331" i="1" s="1"/>
  <c r="G332" i="1"/>
  <c r="J332" i="1" s="1"/>
  <c r="G333" i="1"/>
  <c r="J333" i="1" s="1"/>
  <c r="G334" i="1"/>
  <c r="G335" i="1"/>
  <c r="G336" i="1"/>
  <c r="G337" i="1"/>
  <c r="J337" i="1" s="1"/>
  <c r="G338" i="1"/>
  <c r="J338" i="1" s="1"/>
  <c r="G339" i="1"/>
  <c r="J339" i="1" s="1"/>
  <c r="G340" i="1"/>
  <c r="J340" i="1" s="1"/>
  <c r="G341" i="1"/>
  <c r="J341" i="1" s="1"/>
  <c r="G342" i="1"/>
  <c r="G343" i="1"/>
  <c r="G344" i="1"/>
  <c r="J344" i="1" s="1"/>
  <c r="G345" i="1"/>
  <c r="J345" i="1" s="1"/>
  <c r="G346" i="1"/>
  <c r="J346" i="1" s="1"/>
  <c r="G347" i="1"/>
  <c r="J347" i="1" s="1"/>
  <c r="G348" i="1"/>
  <c r="J348" i="1" s="1"/>
  <c r="G349" i="1"/>
  <c r="J349" i="1" s="1"/>
  <c r="G350" i="1"/>
  <c r="J350" i="1" s="1"/>
  <c r="G351" i="1"/>
  <c r="J351" i="1" s="1"/>
  <c r="G352" i="1"/>
  <c r="J352" i="1" s="1"/>
  <c r="G353" i="1"/>
  <c r="J353" i="1" s="1"/>
  <c r="G354" i="1"/>
  <c r="G355" i="1"/>
  <c r="G356" i="1"/>
  <c r="G357" i="1"/>
  <c r="G358" i="1"/>
  <c r="J358" i="1" s="1"/>
  <c r="G359" i="1"/>
  <c r="J359" i="1" s="1"/>
  <c r="G360" i="1"/>
  <c r="G361" i="1"/>
  <c r="J361" i="1" s="1"/>
  <c r="G362" i="1"/>
  <c r="J362" i="1" s="1"/>
  <c r="G363" i="1"/>
  <c r="J363" i="1" s="1"/>
  <c r="G364" i="1"/>
  <c r="J364" i="1" s="1"/>
  <c r="G365" i="1"/>
  <c r="G366" i="1"/>
  <c r="G367" i="1"/>
  <c r="J367" i="1" s="1"/>
  <c r="G368" i="1"/>
  <c r="J368" i="1" s="1"/>
  <c r="G369" i="1"/>
  <c r="J369" i="1" s="1"/>
  <c r="G370" i="1"/>
  <c r="J370" i="1" s="1"/>
  <c r="G371" i="1"/>
  <c r="J371" i="1" s="1"/>
  <c r="G372" i="1"/>
  <c r="J372" i="1" s="1"/>
  <c r="G373" i="1"/>
  <c r="J373" i="1" s="1"/>
  <c r="G374" i="1"/>
  <c r="J374" i="1" s="1"/>
  <c r="G375" i="1"/>
  <c r="J375" i="1" s="1"/>
  <c r="G376" i="1"/>
  <c r="J376" i="1" s="1"/>
  <c r="G377" i="1"/>
  <c r="J377" i="1" s="1"/>
  <c r="G378" i="1"/>
  <c r="J378" i="1" s="1"/>
  <c r="G379" i="1"/>
  <c r="J379" i="1" s="1"/>
  <c r="G380" i="1"/>
  <c r="G381" i="1"/>
  <c r="G382" i="1"/>
  <c r="G383" i="1"/>
  <c r="J383" i="1" s="1"/>
  <c r="G384" i="1"/>
  <c r="J384" i="1" s="1"/>
  <c r="G385" i="1"/>
  <c r="J385" i="1" s="1"/>
  <c r="G386" i="1"/>
  <c r="J386" i="1" s="1"/>
  <c r="G387" i="1"/>
  <c r="J387" i="1" s="1"/>
  <c r="G388" i="1"/>
  <c r="J388" i="1" s="1"/>
  <c r="G389" i="1"/>
  <c r="J389" i="1" s="1"/>
  <c r="G390" i="1"/>
  <c r="J390" i="1" s="1"/>
  <c r="G391" i="1"/>
  <c r="J391" i="1" s="1"/>
  <c r="G392" i="1"/>
  <c r="J392" i="1" s="1"/>
  <c r="G393" i="1"/>
  <c r="J393" i="1" s="1"/>
  <c r="G394" i="1"/>
  <c r="J394" i="1" s="1"/>
  <c r="G395" i="1"/>
  <c r="J395" i="1" s="1"/>
  <c r="G396" i="1"/>
  <c r="G397" i="1"/>
  <c r="J397" i="1" s="1"/>
  <c r="G398" i="1"/>
  <c r="J398" i="1" s="1"/>
  <c r="G399" i="1"/>
  <c r="J399" i="1" s="1"/>
  <c r="G400" i="1"/>
  <c r="J400" i="1" s="1"/>
  <c r="G401" i="1"/>
  <c r="G402" i="1"/>
  <c r="J402" i="1" s="1"/>
  <c r="G403" i="1"/>
  <c r="J403" i="1" s="1"/>
  <c r="G404" i="1"/>
  <c r="G405" i="1"/>
  <c r="G406" i="1"/>
  <c r="G407" i="1"/>
  <c r="J407" i="1" s="1"/>
  <c r="G408" i="1"/>
  <c r="J408" i="1" s="1"/>
  <c r="G409" i="1"/>
  <c r="J409" i="1" s="1"/>
  <c r="G410" i="1"/>
  <c r="J410" i="1" s="1"/>
  <c r="G411" i="1"/>
  <c r="J411" i="1" s="1"/>
  <c r="G412" i="1"/>
  <c r="J412" i="1" s="1"/>
  <c r="G413" i="1"/>
  <c r="J413" i="1" s="1"/>
  <c r="G414" i="1"/>
  <c r="J414" i="1" s="1"/>
  <c r="G415" i="1"/>
  <c r="J415" i="1" s="1"/>
  <c r="G416" i="1"/>
  <c r="G417" i="1"/>
  <c r="G418" i="1"/>
  <c r="G419" i="1"/>
  <c r="G420" i="1"/>
  <c r="G421" i="1"/>
  <c r="J421" i="1" s="1"/>
  <c r="G422" i="1"/>
  <c r="J422" i="1" s="1"/>
  <c r="G423" i="1"/>
  <c r="J423" i="1" s="1"/>
  <c r="G424" i="1"/>
  <c r="J424" i="1" s="1"/>
  <c r="G425" i="1"/>
  <c r="J425" i="1" s="1"/>
  <c r="G426" i="1"/>
  <c r="J426" i="1" s="1"/>
  <c r="G427" i="1"/>
  <c r="J427" i="1" s="1"/>
  <c r="G428" i="1"/>
  <c r="G429" i="1"/>
  <c r="G430" i="1"/>
  <c r="G431" i="1"/>
  <c r="J431" i="1" s="1"/>
  <c r="G432" i="1"/>
  <c r="J432" i="1" s="1"/>
  <c r="G433" i="1"/>
  <c r="J433" i="1" s="1"/>
  <c r="G434" i="1"/>
  <c r="J434" i="1" s="1"/>
  <c r="G435" i="1"/>
  <c r="J435" i="1" s="1"/>
  <c r="G436" i="1"/>
  <c r="J436" i="1" s="1"/>
  <c r="G437" i="1"/>
  <c r="J437" i="1" s="1"/>
  <c r="G438" i="1"/>
  <c r="J438" i="1" s="1"/>
  <c r="G439" i="1"/>
  <c r="G440" i="1"/>
  <c r="J440" i="1" s="1"/>
  <c r="G441" i="1"/>
  <c r="J441" i="1" s="1"/>
  <c r="G442" i="1"/>
  <c r="J442" i="1" s="1"/>
  <c r="G443" i="1"/>
  <c r="J443" i="1" s="1"/>
  <c r="G444" i="1"/>
  <c r="J444" i="1" s="1"/>
  <c r="G445" i="1"/>
  <c r="J445" i="1" s="1"/>
  <c r="G446" i="1"/>
  <c r="J446" i="1" s="1"/>
  <c r="G447" i="1"/>
  <c r="J447" i="1" s="1"/>
  <c r="G448" i="1"/>
  <c r="J448" i="1" s="1"/>
  <c r="G449" i="1"/>
  <c r="G450" i="1"/>
  <c r="J450" i="1" s="1"/>
  <c r="G451" i="1"/>
  <c r="J451" i="1" s="1"/>
  <c r="G452" i="1"/>
  <c r="J452" i="1" s="1"/>
  <c r="G453" i="1"/>
  <c r="J453" i="1" s="1"/>
  <c r="G454" i="1"/>
  <c r="J454" i="1" s="1"/>
  <c r="G455" i="1"/>
  <c r="J455" i="1" s="1"/>
  <c r="G456" i="1"/>
  <c r="J456" i="1" s="1"/>
  <c r="G457" i="1"/>
  <c r="J457" i="1" s="1"/>
  <c r="G458" i="1"/>
  <c r="J458" i="1" s="1"/>
  <c r="G459" i="1"/>
  <c r="J459" i="1" s="1"/>
  <c r="G460" i="1"/>
  <c r="J460" i="1" s="1"/>
  <c r="G461" i="1"/>
  <c r="G462" i="1"/>
  <c r="J462" i="1" s="1"/>
  <c r="G463" i="1"/>
  <c r="J463" i="1" s="1"/>
  <c r="G464" i="1"/>
  <c r="J464" i="1" s="1"/>
  <c r="G465" i="1"/>
  <c r="G466" i="1"/>
  <c r="G467" i="1"/>
  <c r="J467" i="1" s="1"/>
  <c r="G468" i="1"/>
  <c r="J468" i="1" s="1"/>
  <c r="G469" i="1"/>
  <c r="J469" i="1" s="1"/>
  <c r="G470" i="1"/>
  <c r="J470" i="1" s="1"/>
  <c r="G471" i="1"/>
  <c r="J471" i="1" s="1"/>
  <c r="G472" i="1"/>
  <c r="J472" i="1" s="1"/>
  <c r="G473" i="1"/>
  <c r="J473" i="1" s="1"/>
  <c r="G474" i="1"/>
  <c r="J474" i="1" s="1"/>
  <c r="G475" i="1"/>
  <c r="J475" i="1" s="1"/>
  <c r="G476" i="1"/>
  <c r="J476" i="1" s="1"/>
  <c r="G477" i="1"/>
  <c r="J477" i="1" s="1"/>
  <c r="G478" i="1"/>
  <c r="J478" i="1" s="1"/>
  <c r="G479" i="1"/>
  <c r="J479" i="1" s="1"/>
  <c r="G480" i="1"/>
  <c r="J480" i="1" s="1"/>
  <c r="G481" i="1"/>
  <c r="J481" i="1" s="1"/>
  <c r="G482" i="1"/>
  <c r="J482" i="1" s="1"/>
  <c r="G483" i="1"/>
  <c r="J483" i="1" s="1"/>
  <c r="G484" i="1"/>
  <c r="G485" i="1"/>
  <c r="G486" i="1"/>
  <c r="J486" i="1" s="1"/>
  <c r="G487" i="1"/>
  <c r="J487" i="1" s="1"/>
  <c r="G488" i="1"/>
  <c r="J488" i="1" s="1"/>
  <c r="G489" i="1"/>
  <c r="J489" i="1" s="1"/>
  <c r="G490" i="1"/>
  <c r="J490" i="1" s="1"/>
  <c r="G491" i="1"/>
  <c r="G492" i="1"/>
  <c r="J492" i="1" s="1"/>
  <c r="G493" i="1"/>
  <c r="J493" i="1" s="1"/>
  <c r="G494" i="1"/>
  <c r="J494" i="1" s="1"/>
  <c r="G495" i="1"/>
  <c r="J495" i="1" s="1"/>
  <c r="G496" i="1"/>
  <c r="J496" i="1" s="1"/>
  <c r="G497" i="1"/>
  <c r="J497" i="1" s="1"/>
  <c r="G498" i="1"/>
  <c r="J498" i="1" s="1"/>
  <c r="G499" i="1"/>
  <c r="J499" i="1" s="1"/>
  <c r="G500" i="1"/>
  <c r="G501" i="1"/>
  <c r="J501" i="1" s="1"/>
  <c r="G502" i="1"/>
  <c r="J502" i="1" s="1"/>
  <c r="G503" i="1"/>
  <c r="J503" i="1" s="1"/>
  <c r="G504" i="1"/>
  <c r="J504" i="1" s="1"/>
  <c r="G505" i="1"/>
  <c r="J505" i="1" s="1"/>
  <c r="G506" i="1"/>
  <c r="J506" i="1" s="1"/>
  <c r="G507" i="1"/>
  <c r="J507" i="1" s="1"/>
  <c r="G508" i="1"/>
  <c r="J508" i="1" s="1"/>
  <c r="G509" i="1"/>
  <c r="G510" i="1"/>
  <c r="G511" i="1"/>
  <c r="G512" i="1"/>
  <c r="G513" i="1"/>
  <c r="J513" i="1" s="1"/>
  <c r="G514" i="1"/>
  <c r="J514" i="1" s="1"/>
  <c r="G515" i="1"/>
  <c r="J515" i="1" s="1"/>
  <c r="G516" i="1"/>
  <c r="J516" i="1" s="1"/>
  <c r="G517" i="1"/>
  <c r="J517" i="1" s="1"/>
  <c r="G518" i="1"/>
  <c r="J518" i="1" s="1"/>
  <c r="G519" i="1"/>
  <c r="J519" i="1" s="1"/>
  <c r="G520" i="1"/>
  <c r="J520" i="1" s="1"/>
  <c r="G521" i="1"/>
  <c r="J521" i="1" s="1"/>
  <c r="G522" i="1"/>
  <c r="G523" i="1"/>
  <c r="G524" i="1"/>
  <c r="G525" i="1"/>
  <c r="G526" i="1"/>
  <c r="G527" i="1"/>
  <c r="J527" i="1" s="1"/>
  <c r="G528" i="1"/>
  <c r="J528" i="1" s="1"/>
  <c r="G529" i="1"/>
  <c r="J529" i="1" s="1"/>
  <c r="G530" i="1"/>
  <c r="J530" i="1" s="1"/>
  <c r="G531" i="1"/>
  <c r="J531" i="1" s="1"/>
  <c r="G532" i="1"/>
  <c r="J532" i="1" s="1"/>
  <c r="G533" i="1"/>
  <c r="J533" i="1" s="1"/>
  <c r="G534" i="1"/>
  <c r="J534" i="1" s="1"/>
  <c r="G535" i="1"/>
  <c r="J535" i="1" s="1"/>
  <c r="G536" i="1"/>
  <c r="J536" i="1" s="1"/>
  <c r="G537" i="1"/>
  <c r="J537" i="1" s="1"/>
  <c r="G538" i="1"/>
  <c r="G539" i="1"/>
  <c r="G540" i="1"/>
  <c r="G541" i="1"/>
  <c r="J541" i="1" s="1"/>
  <c r="G542" i="1"/>
  <c r="J542" i="1" s="1"/>
  <c r="G543" i="1"/>
  <c r="J543" i="1" s="1"/>
  <c r="G544" i="1"/>
  <c r="J544" i="1" s="1"/>
  <c r="G545" i="1"/>
  <c r="G546" i="1"/>
  <c r="J546" i="1" s="1"/>
  <c r="G547" i="1"/>
  <c r="J547" i="1" s="1"/>
  <c r="G548" i="1"/>
  <c r="J548" i="1" s="1"/>
  <c r="G549" i="1"/>
  <c r="G550" i="1"/>
  <c r="G551" i="1"/>
  <c r="J551" i="1" s="1"/>
  <c r="G552" i="1"/>
  <c r="J552" i="1" s="1"/>
  <c r="G553" i="1"/>
  <c r="J553" i="1" s="1"/>
  <c r="G554" i="1"/>
  <c r="J554" i="1" s="1"/>
  <c r="G555" i="1"/>
  <c r="J555" i="1" s="1"/>
  <c r="G556" i="1"/>
  <c r="J556" i="1" s="1"/>
  <c r="G557" i="1"/>
  <c r="J557" i="1" s="1"/>
  <c r="G558" i="1"/>
  <c r="G559" i="1"/>
  <c r="G560" i="1"/>
  <c r="J560" i="1" s="1"/>
  <c r="G561" i="1"/>
  <c r="J561" i="1" s="1"/>
  <c r="G562" i="1"/>
  <c r="J562" i="1" s="1"/>
  <c r="G563" i="1"/>
  <c r="J563" i="1" s="1"/>
  <c r="G564" i="1"/>
  <c r="J564" i="1" s="1"/>
  <c r="G565" i="1"/>
  <c r="J565" i="1" s="1"/>
  <c r="G566" i="1"/>
  <c r="J566" i="1" s="1"/>
  <c r="G567" i="1"/>
  <c r="J567" i="1" s="1"/>
  <c r="G568" i="1"/>
  <c r="J568" i="1" s="1"/>
  <c r="G569" i="1"/>
  <c r="G570" i="1"/>
  <c r="G571" i="1"/>
  <c r="J571" i="1" s="1"/>
  <c r="G572" i="1"/>
  <c r="J572" i="1" s="1"/>
  <c r="G573" i="1"/>
  <c r="J573" i="1" s="1"/>
  <c r="G574" i="1"/>
  <c r="J574" i="1" s="1"/>
  <c r="G575" i="1"/>
  <c r="J575" i="1" s="1"/>
  <c r="G576" i="1"/>
  <c r="J576" i="1" s="1"/>
  <c r="G577" i="1"/>
  <c r="J577" i="1" s="1"/>
  <c r="G578" i="1"/>
  <c r="G579" i="1"/>
  <c r="J579" i="1" s="1"/>
  <c r="G580" i="1"/>
  <c r="J580" i="1" s="1"/>
  <c r="G581" i="1"/>
  <c r="J581" i="1" s="1"/>
  <c r="G582" i="1"/>
  <c r="J582" i="1" s="1"/>
  <c r="G583" i="1"/>
  <c r="J583" i="1" s="1"/>
  <c r="G584" i="1"/>
  <c r="G585" i="1"/>
  <c r="G586" i="1"/>
  <c r="G587" i="1"/>
  <c r="J587" i="1" s="1"/>
  <c r="G588" i="1"/>
  <c r="J588" i="1" s="1"/>
  <c r="G589" i="1"/>
  <c r="J589" i="1" s="1"/>
  <c r="G590" i="1"/>
  <c r="J590" i="1" s="1"/>
  <c r="G591" i="1"/>
  <c r="J591" i="1" s="1"/>
  <c r="G592" i="1"/>
  <c r="J592" i="1" s="1"/>
  <c r="G593" i="1"/>
  <c r="J593" i="1" s="1"/>
  <c r="G594" i="1"/>
  <c r="J594" i="1" s="1"/>
  <c r="G595" i="1"/>
  <c r="J595" i="1" s="1"/>
  <c r="G596" i="1"/>
  <c r="G597" i="1"/>
  <c r="G598" i="1"/>
  <c r="G599" i="1"/>
  <c r="G600" i="1"/>
  <c r="G601" i="1"/>
  <c r="J601" i="1" s="1"/>
  <c r="G602" i="1"/>
  <c r="J602" i="1" s="1"/>
  <c r="G603" i="1"/>
  <c r="J603" i="1" s="1"/>
  <c r="G604" i="1"/>
  <c r="J604" i="1" s="1"/>
  <c r="G605" i="1"/>
  <c r="J605" i="1" s="1"/>
  <c r="G606" i="1"/>
  <c r="J606" i="1" s="1"/>
  <c r="G607" i="1"/>
  <c r="J607" i="1" s="1"/>
  <c r="G608" i="1"/>
  <c r="G609" i="1"/>
  <c r="G610" i="1"/>
  <c r="J610" i="1" s="1"/>
  <c r="G611" i="1"/>
  <c r="J611" i="1" s="1"/>
  <c r="G612" i="1"/>
  <c r="J612" i="1" s="1"/>
  <c r="G613" i="1"/>
  <c r="J613" i="1" s="1"/>
  <c r="G614" i="1"/>
  <c r="J614" i="1" s="1"/>
  <c r="G615" i="1"/>
  <c r="J615" i="1" s="1"/>
  <c r="G616" i="1"/>
  <c r="J616" i="1" s="1"/>
  <c r="G617" i="1"/>
  <c r="J617" i="1" s="1"/>
  <c r="G618" i="1"/>
  <c r="J618" i="1" s="1"/>
  <c r="G619" i="1"/>
  <c r="J619" i="1" s="1"/>
  <c r="G620" i="1"/>
  <c r="J620" i="1" s="1"/>
  <c r="G621" i="1"/>
  <c r="G622" i="1"/>
  <c r="G623" i="1"/>
  <c r="G624" i="1"/>
  <c r="G625" i="1"/>
  <c r="J625" i="1" s="1"/>
  <c r="G626" i="1"/>
  <c r="J626" i="1" s="1"/>
  <c r="G627" i="1"/>
  <c r="J627" i="1" s="1"/>
  <c r="G628" i="1"/>
  <c r="J628" i="1" s="1"/>
  <c r="G629" i="1"/>
  <c r="J629" i="1" s="1"/>
  <c r="G630" i="1"/>
  <c r="J630" i="1" s="1"/>
  <c r="G631" i="1"/>
  <c r="J631" i="1" s="1"/>
  <c r="G632" i="1"/>
  <c r="J632" i="1" s="1"/>
  <c r="G633" i="1"/>
  <c r="J633" i="1" s="1"/>
  <c r="G634" i="1"/>
  <c r="J634" i="1" s="1"/>
  <c r="G635" i="1"/>
  <c r="J635" i="1" s="1"/>
  <c r="G636" i="1"/>
  <c r="J636" i="1" s="1"/>
  <c r="G637" i="1"/>
  <c r="J637" i="1" s="1"/>
  <c r="G638" i="1"/>
  <c r="J638" i="1" s="1"/>
  <c r="G639" i="1"/>
  <c r="J639" i="1" s="1"/>
  <c r="G640" i="1"/>
  <c r="J640" i="1" s="1"/>
  <c r="G641" i="1"/>
  <c r="G642" i="1"/>
  <c r="G643" i="1"/>
  <c r="G644" i="1"/>
  <c r="G645" i="1"/>
  <c r="J645" i="1" s="1"/>
  <c r="G646" i="1"/>
  <c r="J646" i="1" s="1"/>
  <c r="G647" i="1"/>
  <c r="J647" i="1" s="1"/>
  <c r="G648" i="1"/>
  <c r="J648" i="1" s="1"/>
  <c r="G649" i="1"/>
  <c r="J649" i="1" s="1"/>
  <c r="G650" i="1"/>
  <c r="J650" i="1" s="1"/>
  <c r="G651" i="1"/>
  <c r="J651" i="1" s="1"/>
  <c r="G652" i="1"/>
  <c r="J652" i="1" s="1"/>
  <c r="G653" i="1"/>
  <c r="J653" i="1" s="1"/>
  <c r="G654" i="1"/>
  <c r="G655" i="1"/>
  <c r="G656" i="1"/>
  <c r="G657" i="1"/>
  <c r="G658" i="1"/>
  <c r="G659" i="1"/>
  <c r="J659" i="1" s="1"/>
  <c r="G660" i="1"/>
  <c r="J660" i="1" s="1"/>
  <c r="G661" i="1"/>
  <c r="J661" i="1" s="1"/>
  <c r="G662" i="1"/>
  <c r="J662" i="1" s="1"/>
  <c r="G663" i="1"/>
  <c r="J663" i="1" s="1"/>
  <c r="G664" i="1"/>
  <c r="J664" i="1" s="1"/>
  <c r="G665" i="1"/>
  <c r="J665" i="1" s="1"/>
  <c r="G666" i="1"/>
  <c r="G667" i="1"/>
  <c r="J667" i="1" s="1"/>
  <c r="G668" i="1"/>
  <c r="J668" i="1" s="1"/>
  <c r="G669" i="1"/>
  <c r="J669" i="1" s="1"/>
  <c r="G670" i="1"/>
  <c r="G671" i="1"/>
  <c r="J671" i="1" s="1"/>
  <c r="G672" i="1"/>
  <c r="J672" i="1" s="1"/>
  <c r="G673" i="1"/>
  <c r="J673" i="1" s="1"/>
  <c r="G674" i="1"/>
  <c r="J674" i="1" s="1"/>
  <c r="G675" i="1"/>
  <c r="J675" i="1" s="1"/>
  <c r="G676" i="1"/>
  <c r="J676" i="1" s="1"/>
  <c r="G677" i="1"/>
  <c r="J677" i="1" s="1"/>
  <c r="G678" i="1"/>
  <c r="G679" i="1"/>
  <c r="G680" i="1"/>
  <c r="G681" i="1"/>
  <c r="G682" i="1"/>
  <c r="G683" i="1"/>
  <c r="J683" i="1" s="1"/>
  <c r="G684" i="1"/>
  <c r="J684" i="1" s="1"/>
  <c r="G685" i="1"/>
  <c r="J685" i="1" s="1"/>
  <c r="G686" i="1"/>
  <c r="J686" i="1" s="1"/>
  <c r="G687" i="1"/>
  <c r="J687" i="1" s="1"/>
  <c r="G688" i="1"/>
  <c r="J688" i="1" s="1"/>
  <c r="G689" i="1"/>
  <c r="J689" i="1" s="1"/>
  <c r="G690" i="1"/>
  <c r="J690" i="1" s="1"/>
  <c r="G691" i="1"/>
  <c r="J691" i="1" s="1"/>
  <c r="G692" i="1"/>
  <c r="G693" i="1"/>
  <c r="G694" i="1"/>
  <c r="G695" i="1"/>
  <c r="J695" i="1" s="1"/>
  <c r="G696" i="1"/>
  <c r="J696" i="1" s="1"/>
  <c r="G697" i="1"/>
  <c r="J697" i="1" s="1"/>
  <c r="G698" i="1"/>
  <c r="J698" i="1" s="1"/>
  <c r="G699" i="1"/>
  <c r="J699" i="1" s="1"/>
  <c r="G700" i="1"/>
  <c r="J700" i="1" s="1"/>
  <c r="G701" i="1"/>
  <c r="G702" i="1"/>
  <c r="G703" i="1"/>
  <c r="J703" i="1" s="1"/>
  <c r="G704" i="1"/>
  <c r="J704" i="1" s="1"/>
  <c r="G705" i="1"/>
  <c r="J705" i="1" s="1"/>
  <c r="G706" i="1"/>
  <c r="J706" i="1" s="1"/>
  <c r="G707" i="1"/>
  <c r="J707" i="1" s="1"/>
  <c r="G708" i="1"/>
  <c r="J708" i="1" s="1"/>
  <c r="G709" i="1"/>
  <c r="J709" i="1" s="1"/>
  <c r="G710" i="1"/>
  <c r="J710" i="1" s="1"/>
  <c r="G711" i="1"/>
  <c r="J711" i="1" s="1"/>
  <c r="G712" i="1"/>
  <c r="J712" i="1" s="1"/>
  <c r="G713" i="1"/>
  <c r="G714" i="1"/>
  <c r="J714" i="1" s="1"/>
  <c r="G715" i="1"/>
  <c r="J715" i="1" s="1"/>
  <c r="G716" i="1"/>
  <c r="G717" i="1"/>
  <c r="J717" i="1" s="1"/>
  <c r="G718" i="1"/>
  <c r="J718" i="1" s="1"/>
  <c r="G719" i="1"/>
  <c r="J719" i="1" s="1"/>
  <c r="G720" i="1"/>
  <c r="J720" i="1" s="1"/>
  <c r="G721" i="1"/>
  <c r="J721" i="1" s="1"/>
  <c r="G722" i="1"/>
  <c r="J722" i="1" s="1"/>
  <c r="G723" i="1"/>
  <c r="J723" i="1" s="1"/>
  <c r="G724" i="1"/>
  <c r="J724" i="1" s="1"/>
  <c r="G725" i="1"/>
  <c r="J725" i="1" s="1"/>
  <c r="G726" i="1"/>
  <c r="J726" i="1" s="1"/>
  <c r="G727" i="1"/>
  <c r="J727" i="1" s="1"/>
  <c r="G728" i="1"/>
  <c r="G729" i="1"/>
  <c r="G730" i="1"/>
  <c r="G731" i="1"/>
  <c r="J731" i="1" s="1"/>
  <c r="G732" i="1"/>
  <c r="J732" i="1" s="1"/>
  <c r="G733" i="1"/>
  <c r="J733" i="1" s="1"/>
  <c r="G734" i="1"/>
  <c r="J734" i="1" s="1"/>
  <c r="G735" i="1"/>
  <c r="J735" i="1" s="1"/>
  <c r="G736" i="1"/>
  <c r="G737" i="1"/>
  <c r="G738" i="1"/>
  <c r="J738" i="1" s="1"/>
  <c r="G739" i="1"/>
  <c r="J739" i="1" s="1"/>
  <c r="G740" i="1"/>
  <c r="G741" i="1"/>
  <c r="G742" i="1"/>
  <c r="J742" i="1" s="1"/>
  <c r="G743" i="1"/>
  <c r="J743" i="1" s="1"/>
  <c r="G744" i="1"/>
  <c r="J744" i="1" s="1"/>
  <c r="G745" i="1"/>
  <c r="J745" i="1" s="1"/>
  <c r="G746" i="1"/>
  <c r="J746" i="1" s="1"/>
  <c r="G747" i="1"/>
  <c r="J747" i="1" s="1"/>
  <c r="G748" i="1"/>
  <c r="J748" i="1" s="1"/>
  <c r="G749" i="1"/>
  <c r="J749" i="1" s="1"/>
  <c r="G750" i="1"/>
  <c r="G751" i="1"/>
  <c r="J751" i="1" s="1"/>
  <c r="G752" i="1"/>
  <c r="G753" i="1"/>
  <c r="G754" i="1"/>
  <c r="G755" i="1"/>
  <c r="G756" i="1"/>
  <c r="G757" i="1"/>
  <c r="J757" i="1" s="1"/>
  <c r="G758" i="1"/>
  <c r="J758" i="1" s="1"/>
  <c r="G759" i="1"/>
  <c r="J759" i="1" s="1"/>
  <c r="G760" i="1"/>
  <c r="J760" i="1" s="1"/>
  <c r="G761" i="1"/>
  <c r="J761" i="1" s="1"/>
  <c r="G762" i="1"/>
  <c r="J762" i="1" s="1"/>
  <c r="G763" i="1"/>
  <c r="J763" i="1" s="1"/>
  <c r="G764" i="1"/>
  <c r="J764" i="1" s="1"/>
  <c r="G765" i="1"/>
  <c r="J765" i="1" s="1"/>
  <c r="G766" i="1"/>
  <c r="J766" i="1" s="1"/>
  <c r="G767" i="1"/>
  <c r="J767" i="1" s="1"/>
  <c r="G768" i="1"/>
  <c r="G769" i="1"/>
  <c r="J769" i="1" s="1"/>
  <c r="G770" i="1"/>
  <c r="J770" i="1" s="1"/>
  <c r="G771" i="1"/>
  <c r="J771" i="1" s="1"/>
  <c r="G772" i="1"/>
  <c r="J772" i="1" s="1"/>
  <c r="G773" i="1"/>
  <c r="G774" i="1"/>
  <c r="J774" i="1" s="1"/>
  <c r="G775" i="1"/>
  <c r="J775" i="1" s="1"/>
  <c r="G776" i="1"/>
  <c r="J776" i="1" s="1"/>
  <c r="G777" i="1"/>
  <c r="J777" i="1" s="1"/>
  <c r="G778" i="1"/>
  <c r="G779" i="1"/>
  <c r="J779" i="1" s="1"/>
  <c r="G780" i="1"/>
  <c r="J780" i="1" s="1"/>
  <c r="G781" i="1"/>
  <c r="J781" i="1" s="1"/>
  <c r="G782" i="1"/>
  <c r="J782" i="1" s="1"/>
  <c r="G783" i="1"/>
  <c r="J783" i="1" s="1"/>
  <c r="G784" i="1"/>
  <c r="J784" i="1" s="1"/>
  <c r="G785" i="1"/>
  <c r="J785" i="1" s="1"/>
  <c r="G786" i="1"/>
  <c r="G787" i="1"/>
  <c r="G788" i="1"/>
  <c r="J788" i="1" s="1"/>
  <c r="G789" i="1"/>
  <c r="J789" i="1" s="1"/>
  <c r="G790" i="1"/>
  <c r="J790" i="1" s="1"/>
  <c r="G791" i="1"/>
  <c r="J791" i="1" s="1"/>
  <c r="G792" i="1"/>
  <c r="G793" i="1"/>
  <c r="J793" i="1" s="1"/>
  <c r="G794" i="1"/>
  <c r="J794" i="1" s="1"/>
  <c r="G795" i="1"/>
  <c r="J795" i="1" s="1"/>
  <c r="G796" i="1"/>
  <c r="J796" i="1" s="1"/>
  <c r="G797" i="1"/>
  <c r="J797" i="1" s="1"/>
  <c r="G798" i="1"/>
  <c r="J798" i="1" s="1"/>
  <c r="G799" i="1"/>
  <c r="J799" i="1" s="1"/>
  <c r="G800" i="1"/>
  <c r="J800" i="1" s="1"/>
  <c r="G801" i="1"/>
  <c r="J801" i="1" s="1"/>
  <c r="G802" i="1"/>
  <c r="J802" i="1" s="1"/>
  <c r="G803" i="1"/>
  <c r="J803" i="1" s="1"/>
  <c r="G804" i="1"/>
  <c r="J804" i="1" s="1"/>
  <c r="G805" i="1"/>
  <c r="J805" i="1" s="1"/>
  <c r="G806" i="1"/>
  <c r="J806" i="1" s="1"/>
  <c r="G807" i="1"/>
  <c r="J807" i="1" s="1"/>
  <c r="G808" i="1"/>
  <c r="J808" i="1" s="1"/>
  <c r="G809" i="1"/>
  <c r="G810" i="1"/>
  <c r="G811" i="1"/>
  <c r="G812" i="1"/>
  <c r="G813" i="1"/>
  <c r="G814" i="1"/>
  <c r="G815" i="1"/>
  <c r="G816" i="1"/>
  <c r="J816" i="1" s="1"/>
  <c r="G817" i="1"/>
  <c r="J817" i="1" s="1"/>
  <c r="G818" i="1"/>
  <c r="J818" i="1" s="1"/>
  <c r="G819" i="1"/>
  <c r="J819" i="1" s="1"/>
  <c r="G820" i="1"/>
  <c r="J820" i="1" s="1"/>
  <c r="G821" i="1"/>
  <c r="J821" i="1" s="1"/>
  <c r="G822" i="1"/>
  <c r="J822" i="1" s="1"/>
  <c r="G823" i="1"/>
  <c r="J823" i="1" s="1"/>
  <c r="G824" i="1"/>
  <c r="G825" i="1"/>
  <c r="G826" i="1"/>
  <c r="G827" i="1"/>
  <c r="J827" i="1" s="1"/>
  <c r="G828" i="1"/>
  <c r="J828" i="1" s="1"/>
  <c r="G829" i="1"/>
  <c r="J829" i="1" s="1"/>
  <c r="G830" i="1"/>
  <c r="J830" i="1" s="1"/>
  <c r="G831" i="1"/>
  <c r="J831" i="1" s="1"/>
  <c r="G832" i="1"/>
  <c r="J832" i="1" s="1"/>
  <c r="G833" i="1"/>
  <c r="J833" i="1" s="1"/>
  <c r="G834" i="1"/>
  <c r="J834" i="1" s="1"/>
  <c r="G835" i="1"/>
  <c r="G836" i="1"/>
  <c r="G837" i="1"/>
  <c r="G838" i="1"/>
  <c r="J838" i="1" s="1"/>
  <c r="G839" i="1"/>
  <c r="J839" i="1" s="1"/>
  <c r="G840" i="1"/>
  <c r="J840" i="1" s="1"/>
  <c r="G841" i="1"/>
  <c r="J841" i="1" s="1"/>
  <c r="G842" i="1"/>
  <c r="J842" i="1" s="1"/>
  <c r="G843" i="1"/>
  <c r="J843" i="1" s="1"/>
  <c r="G844" i="1"/>
  <c r="J844" i="1" s="1"/>
  <c r="G845" i="1"/>
  <c r="G846" i="1"/>
  <c r="J846" i="1" s="1"/>
  <c r="G847" i="1"/>
  <c r="J847" i="1" s="1"/>
  <c r="G848" i="1"/>
  <c r="J848" i="1" s="1"/>
  <c r="G849" i="1"/>
  <c r="G850" i="1"/>
  <c r="G851" i="1"/>
  <c r="J851" i="1" s="1"/>
  <c r="G852" i="1"/>
  <c r="J852" i="1" s="1"/>
  <c r="G853" i="1"/>
  <c r="J853" i="1" s="1"/>
  <c r="G854" i="1"/>
  <c r="J854" i="1" s="1"/>
  <c r="G855" i="1"/>
  <c r="J855" i="1" s="1"/>
  <c r="G856" i="1"/>
  <c r="J856" i="1" s="1"/>
  <c r="G857" i="1"/>
  <c r="J857" i="1" s="1"/>
  <c r="G858" i="1"/>
  <c r="J858" i="1" s="1"/>
  <c r="G859" i="1"/>
  <c r="J859" i="1" s="1"/>
  <c r="G860" i="1"/>
  <c r="J860" i="1" s="1"/>
  <c r="G861" i="1"/>
  <c r="J861" i="1" s="1"/>
  <c r="G862" i="1"/>
  <c r="J862" i="1" s="1"/>
  <c r="G863" i="1"/>
  <c r="J863" i="1" s="1"/>
  <c r="G864" i="1"/>
  <c r="J864" i="1" s="1"/>
  <c r="G865" i="1"/>
  <c r="J865" i="1" s="1"/>
  <c r="G866" i="1"/>
  <c r="J866" i="1" s="1"/>
  <c r="G867" i="1"/>
  <c r="J867" i="1" s="1"/>
  <c r="G868" i="1"/>
  <c r="J868" i="1" s="1"/>
  <c r="G869" i="1"/>
  <c r="J869" i="1" s="1"/>
  <c r="G870" i="1"/>
  <c r="G871" i="1"/>
  <c r="G872" i="1"/>
  <c r="G873" i="1"/>
  <c r="G874" i="1"/>
  <c r="J874" i="1" s="1"/>
  <c r="G875" i="1"/>
  <c r="J875" i="1" s="1"/>
  <c r="G876" i="1"/>
  <c r="J876" i="1" s="1"/>
  <c r="G877" i="1"/>
  <c r="J877" i="1" s="1"/>
  <c r="G878" i="1"/>
  <c r="J878" i="1" s="1"/>
  <c r="G879" i="1"/>
  <c r="J879" i="1" s="1"/>
  <c r="G880" i="1"/>
  <c r="J880" i="1" s="1"/>
  <c r="G881" i="1"/>
  <c r="J881" i="1" s="1"/>
  <c r="G882" i="1"/>
  <c r="J882" i="1" s="1"/>
  <c r="G883" i="1"/>
  <c r="J883" i="1" s="1"/>
  <c r="G884" i="1"/>
  <c r="G885" i="1"/>
  <c r="G886" i="1"/>
  <c r="G887" i="1"/>
  <c r="J887" i="1" s="1"/>
  <c r="G888" i="1"/>
  <c r="J888" i="1" s="1"/>
  <c r="G889" i="1"/>
  <c r="J889" i="1" s="1"/>
  <c r="G890" i="1"/>
  <c r="J890" i="1" s="1"/>
  <c r="G891" i="1"/>
  <c r="J891" i="1" s="1"/>
  <c r="G892" i="1"/>
  <c r="J892" i="1" s="1"/>
  <c r="G893" i="1"/>
  <c r="G894" i="1"/>
  <c r="G895" i="1"/>
  <c r="J895" i="1" s="1"/>
  <c r="G896" i="1"/>
  <c r="J896" i="1" s="1"/>
  <c r="G897" i="1"/>
  <c r="J897" i="1" s="1"/>
  <c r="G898" i="1"/>
  <c r="J898" i="1" s="1"/>
  <c r="G899" i="1"/>
  <c r="J899" i="1" s="1"/>
  <c r="G900" i="1"/>
  <c r="G901" i="1"/>
  <c r="J901" i="1" s="1"/>
  <c r="G902" i="1"/>
  <c r="J902" i="1" s="1"/>
  <c r="G903" i="1"/>
  <c r="J903" i="1" s="1"/>
  <c r="G904" i="1"/>
  <c r="J904" i="1" s="1"/>
  <c r="G905" i="1"/>
  <c r="J905" i="1" s="1"/>
  <c r="G906" i="1"/>
  <c r="G907" i="1"/>
  <c r="G908" i="1"/>
  <c r="J908" i="1" s="1"/>
  <c r="G909" i="1"/>
  <c r="G910" i="1"/>
  <c r="G911" i="1"/>
  <c r="J911" i="1" s="1"/>
  <c r="G912" i="1"/>
  <c r="J912" i="1" s="1"/>
  <c r="G913" i="1"/>
  <c r="J913" i="1" s="1"/>
  <c r="G914" i="1"/>
  <c r="J914" i="1" s="1"/>
  <c r="G915" i="1"/>
  <c r="J915" i="1" s="1"/>
  <c r="G916" i="1"/>
  <c r="J916" i="1" s="1"/>
  <c r="G917" i="1"/>
  <c r="J917" i="1" s="1"/>
  <c r="G918" i="1"/>
  <c r="J918" i="1" s="1"/>
  <c r="G919" i="1"/>
  <c r="J919" i="1" s="1"/>
  <c r="G920" i="1"/>
  <c r="G921" i="1"/>
  <c r="J921" i="1" s="1"/>
  <c r="G922" i="1"/>
  <c r="G923" i="1"/>
  <c r="J923" i="1" s="1"/>
  <c r="G924" i="1"/>
  <c r="J924" i="1" s="1"/>
  <c r="G925" i="1"/>
  <c r="J925" i="1" s="1"/>
  <c r="G926" i="1"/>
  <c r="J926" i="1" s="1"/>
  <c r="G927" i="1"/>
  <c r="J927" i="1" s="1"/>
  <c r="G928" i="1"/>
  <c r="J928" i="1" s="1"/>
  <c r="G929" i="1"/>
  <c r="G930" i="1"/>
  <c r="J930" i="1" s="1"/>
  <c r="G931" i="1"/>
  <c r="J931" i="1" s="1"/>
  <c r="G932" i="1"/>
  <c r="J932" i="1" s="1"/>
  <c r="G933" i="1"/>
  <c r="J933" i="1" s="1"/>
  <c r="G934" i="1"/>
  <c r="G935" i="1"/>
  <c r="J935" i="1" s="1"/>
  <c r="G936" i="1"/>
  <c r="J936" i="1" s="1"/>
  <c r="G937" i="1"/>
  <c r="J937" i="1" s="1"/>
  <c r="G938" i="1"/>
  <c r="J938" i="1" s="1"/>
  <c r="G939" i="1"/>
  <c r="J939" i="1" s="1"/>
  <c r="G940" i="1"/>
  <c r="J940" i="1" s="1"/>
  <c r="G941" i="1"/>
  <c r="J941" i="1" s="1"/>
  <c r="G942" i="1"/>
  <c r="G943" i="1"/>
  <c r="G944" i="1"/>
  <c r="G945" i="1"/>
  <c r="J945" i="1" s="1"/>
  <c r="G946" i="1"/>
  <c r="J946" i="1" s="1"/>
  <c r="G947" i="1"/>
  <c r="J947" i="1" s="1"/>
  <c r="G948" i="1"/>
  <c r="J948" i="1" s="1"/>
  <c r="G949" i="1"/>
  <c r="J949" i="1" s="1"/>
  <c r="G950" i="1"/>
  <c r="J950" i="1" s="1"/>
  <c r="G951" i="1"/>
  <c r="J951" i="1" s="1"/>
  <c r="G952" i="1"/>
  <c r="J952" i="1" s="1"/>
  <c r="G953" i="1"/>
  <c r="J953" i="1" s="1"/>
  <c r="G954" i="1"/>
  <c r="J954" i="1" s="1"/>
  <c r="G955" i="1"/>
  <c r="J955" i="1" s="1"/>
  <c r="G956" i="1"/>
  <c r="G957" i="1"/>
  <c r="G958" i="1"/>
  <c r="G959" i="1"/>
  <c r="J959" i="1" s="1"/>
  <c r="G960" i="1"/>
  <c r="J960" i="1" s="1"/>
  <c r="G961" i="1"/>
  <c r="J961" i="1" s="1"/>
  <c r="G962" i="1"/>
  <c r="J962" i="1" s="1"/>
  <c r="G963" i="1"/>
  <c r="J963" i="1" s="1"/>
  <c r="G964" i="1"/>
  <c r="J964" i="1" s="1"/>
  <c r="G965" i="1"/>
  <c r="J965" i="1" s="1"/>
  <c r="G966" i="1"/>
  <c r="J966" i="1" s="1"/>
  <c r="G967" i="1"/>
  <c r="G968" i="1"/>
  <c r="G969" i="1"/>
  <c r="G970" i="1"/>
  <c r="J970" i="1" s="1"/>
  <c r="G971" i="1"/>
  <c r="J971" i="1" s="1"/>
  <c r="G972" i="1"/>
  <c r="J972" i="1" s="1"/>
  <c r="G973" i="1"/>
  <c r="J973" i="1" s="1"/>
  <c r="G974" i="1"/>
  <c r="J974" i="1" s="1"/>
  <c r="G975" i="1"/>
  <c r="J975" i="1" s="1"/>
  <c r="G976" i="1"/>
  <c r="J976" i="1" s="1"/>
  <c r="G977" i="1"/>
  <c r="J977" i="1" s="1"/>
  <c r="G978" i="1"/>
  <c r="J978" i="1" s="1"/>
  <c r="G979" i="1"/>
  <c r="G980" i="1"/>
  <c r="G981" i="1"/>
  <c r="G982" i="1"/>
  <c r="G983" i="1"/>
  <c r="G984" i="1"/>
  <c r="G985" i="1"/>
  <c r="J985" i="1" s="1"/>
  <c r="G986" i="1"/>
  <c r="J986" i="1" s="1"/>
  <c r="G987" i="1"/>
  <c r="J987" i="1" s="1"/>
  <c r="G988" i="1"/>
  <c r="J988" i="1" s="1"/>
  <c r="G989" i="1"/>
  <c r="J989" i="1" s="1"/>
  <c r="G990" i="1"/>
  <c r="J990" i="1" s="1"/>
  <c r="G991" i="1"/>
  <c r="J991" i="1" s="1"/>
  <c r="G992" i="1"/>
  <c r="J992" i="1" s="1"/>
  <c r="G993" i="1"/>
  <c r="J993" i="1" s="1"/>
  <c r="G994" i="1"/>
  <c r="J994" i="1" s="1"/>
  <c r="G995" i="1"/>
  <c r="J995" i="1" s="1"/>
  <c r="G996" i="1"/>
  <c r="J996" i="1" s="1"/>
  <c r="G997" i="1"/>
  <c r="J997" i="1" s="1"/>
  <c r="G998" i="1"/>
  <c r="J998" i="1" s="1"/>
  <c r="G999" i="1"/>
  <c r="J999" i="1" s="1"/>
  <c r="G1000" i="1"/>
  <c r="J1000" i="1" s="1"/>
  <c r="G1001" i="1"/>
  <c r="G1002" i="1"/>
  <c r="G1003" i="1"/>
  <c r="J1003" i="1" s="1"/>
  <c r="G1004" i="1"/>
  <c r="J1004" i="1" s="1"/>
  <c r="G1005" i="1"/>
  <c r="J1005" i="1" s="1"/>
  <c r="G1006" i="1"/>
  <c r="G1007" i="1"/>
  <c r="G1008" i="1"/>
  <c r="G1009" i="1"/>
  <c r="J1009" i="1" s="1"/>
  <c r="G1010" i="1"/>
  <c r="J1010" i="1" s="1"/>
  <c r="G1011" i="1"/>
  <c r="J1011" i="1" s="1"/>
  <c r="G1012" i="1"/>
  <c r="J1012" i="1" s="1"/>
  <c r="G1013" i="1"/>
  <c r="J1013" i="1" s="1"/>
  <c r="G1014" i="1"/>
  <c r="J1014" i="1" s="1"/>
  <c r="G1015" i="1"/>
  <c r="G1016" i="1"/>
  <c r="G1017" i="1"/>
  <c r="J1017" i="1" s="1"/>
  <c r="G1018" i="1"/>
  <c r="J1018" i="1" s="1"/>
  <c r="G1019" i="1"/>
  <c r="J1019" i="1" s="1"/>
  <c r="G1020" i="1"/>
  <c r="J1020" i="1" s="1"/>
  <c r="G1021" i="1"/>
  <c r="J1021" i="1" s="1"/>
  <c r="G1022" i="1"/>
  <c r="J1022" i="1" s="1"/>
  <c r="G1023" i="1"/>
  <c r="J1023" i="1" s="1"/>
  <c r="G1024" i="1"/>
  <c r="J1024" i="1" s="1"/>
  <c r="G1025" i="1"/>
  <c r="J1025" i="1" s="1"/>
  <c r="G1026" i="1"/>
  <c r="G1027" i="1"/>
  <c r="J1027" i="1" s="1"/>
  <c r="G1028" i="1"/>
  <c r="J1028" i="1" s="1"/>
  <c r="G1029" i="1"/>
  <c r="J1029" i="1" s="1"/>
  <c r="G1030" i="1"/>
  <c r="J1030" i="1" s="1"/>
  <c r="G1031" i="1"/>
  <c r="J1031" i="1" s="1"/>
  <c r="G1032" i="1"/>
  <c r="J1032" i="1" s="1"/>
  <c r="G1033" i="1"/>
  <c r="J1033" i="1" s="1"/>
  <c r="G1034" i="1"/>
  <c r="J1034" i="1" s="1"/>
  <c r="G1035" i="1"/>
  <c r="J1035" i="1" s="1"/>
  <c r="G1036" i="1"/>
  <c r="J1036" i="1" s="1"/>
  <c r="G1037" i="1"/>
  <c r="J1037" i="1" s="1"/>
  <c r="G1038" i="1"/>
  <c r="G1039" i="1"/>
  <c r="G1040" i="1"/>
  <c r="G1041" i="1"/>
  <c r="G1042" i="1"/>
  <c r="G1043" i="1"/>
  <c r="J1043" i="1" s="1"/>
  <c r="G1044" i="1"/>
  <c r="J1044" i="1" s="1"/>
  <c r="G1045" i="1"/>
  <c r="J1045" i="1" s="1"/>
  <c r="G1046" i="1"/>
  <c r="J1046" i="1" s="1"/>
  <c r="G1047" i="1"/>
  <c r="J1047" i="1" s="1"/>
  <c r="G1048" i="1"/>
  <c r="J1048" i="1" s="1"/>
  <c r="G1049" i="1"/>
  <c r="J1049" i="1" s="1"/>
  <c r="G1050" i="1"/>
  <c r="J1050" i="1" s="1"/>
  <c r="G1051" i="1"/>
  <c r="J1051" i="1" s="1"/>
  <c r="G1052" i="1"/>
  <c r="G1053" i="1"/>
  <c r="G1054" i="1"/>
  <c r="G1055" i="1"/>
  <c r="J1055" i="1" s="1"/>
  <c r="G1056" i="1"/>
  <c r="J1056" i="1" s="1"/>
  <c r="G1057" i="1"/>
  <c r="J1057" i="1" s="1"/>
  <c r="G1058" i="1"/>
  <c r="J1058" i="1" s="1"/>
  <c r="G1059" i="1"/>
  <c r="J1059" i="1" s="1"/>
  <c r="G1060" i="1"/>
  <c r="J1060" i="1" s="1"/>
  <c r="G1061" i="1"/>
  <c r="J1061" i="1" s="1"/>
  <c r="G1062" i="1"/>
  <c r="G1063" i="1"/>
  <c r="J1063" i="1" s="1"/>
  <c r="G1064" i="1"/>
  <c r="J1064" i="1" s="1"/>
  <c r="G1065" i="1"/>
  <c r="J1065" i="1" s="1"/>
  <c r="G1066" i="1"/>
  <c r="G1067" i="1"/>
  <c r="G1068" i="1"/>
  <c r="J1068" i="1" s="1"/>
  <c r="G1069" i="1"/>
  <c r="J1069" i="1" s="1"/>
  <c r="G1070" i="1"/>
  <c r="J1070" i="1" s="1"/>
  <c r="G1071" i="1"/>
  <c r="J1071" i="1" s="1"/>
  <c r="G1072" i="1"/>
  <c r="J1072" i="1" s="1"/>
  <c r="G1073" i="1"/>
  <c r="J1073" i="1" s="1"/>
  <c r="G1074" i="1"/>
  <c r="J1074" i="1" s="1"/>
  <c r="G1075" i="1"/>
  <c r="G1076" i="1"/>
  <c r="G1077" i="1"/>
  <c r="G1078" i="1"/>
  <c r="G1079" i="1"/>
  <c r="J1079" i="1" s="1"/>
  <c r="G1080" i="1"/>
  <c r="J1080" i="1" s="1"/>
  <c r="G1081" i="1"/>
  <c r="J1081" i="1" s="1"/>
  <c r="G1082" i="1"/>
  <c r="J1082" i="1" s="1"/>
  <c r="G1083" i="1"/>
  <c r="J1083" i="1" s="1"/>
  <c r="G1084" i="1"/>
  <c r="J1084" i="1" s="1"/>
  <c r="G1085" i="1"/>
  <c r="J1085" i="1" s="1"/>
  <c r="G1086" i="1"/>
  <c r="J1086" i="1" s="1"/>
  <c r="G1087" i="1"/>
  <c r="G1088" i="1"/>
  <c r="G1089" i="1"/>
  <c r="G1090" i="1"/>
  <c r="G1091" i="1"/>
  <c r="G1092" i="1"/>
  <c r="J1092" i="1" s="1"/>
  <c r="G1093" i="1"/>
  <c r="J1093" i="1" s="1"/>
  <c r="G1094" i="1"/>
  <c r="J1094" i="1" s="1"/>
  <c r="G1095" i="1"/>
  <c r="J1095" i="1" s="1"/>
  <c r="G1096" i="1"/>
  <c r="J1096" i="1" s="1"/>
  <c r="G1097" i="1"/>
  <c r="J1097" i="1" s="1"/>
  <c r="G1098" i="1"/>
  <c r="J1098" i="1" s="1"/>
  <c r="G1099" i="1"/>
  <c r="J1099" i="1" s="1"/>
  <c r="G1100" i="1"/>
  <c r="J1100" i="1" s="1"/>
  <c r="G1101" i="1"/>
  <c r="J1101" i="1" s="1"/>
  <c r="G1102" i="1"/>
  <c r="G1103" i="1"/>
  <c r="J1103" i="1" s="1"/>
  <c r="G1104" i="1"/>
  <c r="J1104" i="1" s="1"/>
  <c r="G1105" i="1"/>
  <c r="J1105" i="1" s="1"/>
  <c r="G1106" i="1"/>
  <c r="J1106" i="1" s="1"/>
  <c r="G1107" i="1"/>
  <c r="J1107" i="1" s="1"/>
  <c r="G1108" i="1"/>
  <c r="J1108" i="1" s="1"/>
  <c r="G1109" i="1"/>
  <c r="J1109" i="1" s="1"/>
  <c r="G1110" i="1"/>
  <c r="J1110" i="1" s="1"/>
  <c r="G1111" i="1"/>
  <c r="G1112" i="1"/>
  <c r="G1113" i="1"/>
  <c r="G1114" i="1"/>
  <c r="J1114" i="1" s="1"/>
  <c r="G1115" i="1"/>
  <c r="J1115" i="1" s="1"/>
  <c r="G1116" i="1"/>
  <c r="J1116" i="1" s="1"/>
  <c r="G1117" i="1"/>
  <c r="J1117" i="1" s="1"/>
  <c r="G1118" i="1"/>
  <c r="J1118" i="1" s="1"/>
  <c r="G1119" i="1"/>
  <c r="J1119" i="1" s="1"/>
  <c r="G1120" i="1"/>
  <c r="J1120" i="1" s="1"/>
  <c r="G1121" i="1"/>
  <c r="J1121" i="1" s="1"/>
  <c r="G1122" i="1"/>
  <c r="J1122" i="1" s="1"/>
  <c r="G1123" i="1"/>
  <c r="J1123" i="1" s="1"/>
  <c r="G1124" i="1"/>
  <c r="G1125" i="1"/>
  <c r="G1126" i="1"/>
  <c r="G1127" i="1"/>
  <c r="J1127" i="1" s="1"/>
  <c r="G1128" i="1"/>
  <c r="J1128" i="1" s="1"/>
  <c r="G1129" i="1"/>
  <c r="J1129" i="1" s="1"/>
  <c r="G1130" i="1"/>
  <c r="J1130" i="1" s="1"/>
  <c r="G1131" i="1"/>
  <c r="J1131" i="1" s="1"/>
  <c r="G1132" i="1"/>
  <c r="J1132" i="1" s="1"/>
  <c r="G1133" i="1"/>
  <c r="J1133" i="1" s="1"/>
  <c r="G1134" i="1"/>
  <c r="J1134" i="1" s="1"/>
  <c r="G1135" i="1"/>
  <c r="J1135" i="1" s="1"/>
  <c r="G1136" i="1"/>
  <c r="G1137" i="1"/>
  <c r="G1138" i="1"/>
  <c r="G1139" i="1"/>
  <c r="G1140" i="1"/>
  <c r="J1140" i="1" s="1"/>
  <c r="G1141" i="1"/>
  <c r="J1141" i="1" s="1"/>
  <c r="G1142" i="1"/>
  <c r="J1142" i="1" s="1"/>
  <c r="G1143" i="1"/>
  <c r="J1143" i="1" s="1"/>
  <c r="G1144" i="1"/>
  <c r="J1144" i="1" s="1"/>
  <c r="G1145" i="1"/>
  <c r="J1145" i="1" s="1"/>
  <c r="G1146" i="1"/>
  <c r="J1146" i="1" s="1"/>
  <c r="G1147" i="1"/>
  <c r="J1147" i="1" s="1"/>
  <c r="G1148" i="1"/>
  <c r="J1148" i="1" s="1"/>
  <c r="G1149" i="1"/>
  <c r="J1149" i="1" s="1"/>
  <c r="G1150" i="1"/>
  <c r="G1151" i="1"/>
  <c r="J1151" i="1" s="1"/>
  <c r="G1152" i="1"/>
  <c r="J1152" i="1" s="1"/>
  <c r="G1153" i="1"/>
  <c r="J1153" i="1" s="1"/>
  <c r="G1154" i="1"/>
  <c r="J1154" i="1" s="1"/>
  <c r="G1155" i="1"/>
  <c r="G1156" i="1"/>
  <c r="J1156" i="1" s="1"/>
  <c r="G1157" i="1"/>
  <c r="J1157" i="1" s="1"/>
  <c r="G1158" i="1"/>
  <c r="J1158" i="1" s="1"/>
  <c r="G1159" i="1"/>
  <c r="G1160" i="1"/>
  <c r="G1161" i="1"/>
  <c r="G1162" i="1"/>
  <c r="J1162" i="1" s="1"/>
  <c r="G1163" i="1"/>
  <c r="J1163" i="1" s="1"/>
  <c r="G1164" i="1"/>
  <c r="J1164" i="1" s="1"/>
  <c r="G1165" i="1"/>
  <c r="J1165" i="1" s="1"/>
  <c r="G1166" i="1"/>
  <c r="J1166" i="1" s="1"/>
  <c r="G1167" i="1"/>
  <c r="J1167" i="1" s="1"/>
  <c r="G1168" i="1"/>
  <c r="J1168" i="1" s="1"/>
  <c r="G1169" i="1"/>
  <c r="J1169" i="1" s="1"/>
  <c r="G1170" i="1"/>
  <c r="J1170" i="1" s="1"/>
  <c r="G1171" i="1"/>
  <c r="G1172" i="1"/>
  <c r="G1173" i="1"/>
  <c r="G1174" i="1"/>
  <c r="G1175" i="1"/>
  <c r="G1176" i="1"/>
  <c r="G1177" i="1"/>
  <c r="J1177" i="1" s="1"/>
  <c r="G1178" i="1"/>
  <c r="J1178" i="1" s="1"/>
  <c r="G1179" i="1"/>
  <c r="J1179" i="1" s="1"/>
  <c r="G1180" i="1"/>
  <c r="J1180" i="1" s="1"/>
  <c r="G1181" i="1"/>
  <c r="J1181" i="1" s="1"/>
  <c r="G1182" i="1"/>
  <c r="J1182" i="1" s="1"/>
  <c r="G1183" i="1"/>
  <c r="J1183" i="1" s="1"/>
  <c r="G1184" i="1"/>
  <c r="G1185" i="1"/>
  <c r="G1186" i="1"/>
  <c r="G1187" i="1"/>
  <c r="J1187" i="1" s="1"/>
  <c r="G1188" i="1"/>
  <c r="J1188" i="1" s="1"/>
  <c r="G1189" i="1"/>
  <c r="J1189" i="1" s="1"/>
  <c r="G1190" i="1"/>
  <c r="J1190" i="1" s="1"/>
  <c r="G1191" i="1"/>
  <c r="J1191" i="1" s="1"/>
  <c r="G1192" i="1"/>
  <c r="J1192" i="1" s="1"/>
  <c r="G1193" i="1"/>
  <c r="J1193" i="1" s="1"/>
  <c r="G1194" i="1"/>
  <c r="J1194" i="1" s="1"/>
  <c r="G1195" i="1"/>
  <c r="J1195" i="1" s="1"/>
  <c r="G1196" i="1"/>
  <c r="J1196" i="1" s="1"/>
  <c r="G1197" i="1"/>
  <c r="J1197" i="1" s="1"/>
  <c r="G1198" i="1"/>
  <c r="G1199" i="1"/>
  <c r="J1199" i="1" s="1"/>
  <c r="G1200" i="1"/>
  <c r="J1200" i="1" s="1"/>
  <c r="G1201" i="1"/>
  <c r="J1201" i="1" s="1"/>
  <c r="G1202" i="1"/>
  <c r="J1202" i="1" s="1"/>
  <c r="G1203" i="1"/>
  <c r="J1203" i="1" s="1"/>
  <c r="G1204" i="1"/>
  <c r="J1204" i="1" s="1"/>
  <c r="G1205" i="1"/>
  <c r="J1205" i="1" s="1"/>
  <c r="G1206" i="1"/>
  <c r="J1206" i="1" s="1"/>
  <c r="G1207" i="1"/>
  <c r="G1208" i="1"/>
  <c r="G1209" i="1"/>
  <c r="G1210" i="1"/>
  <c r="J1210" i="1" s="1"/>
  <c r="G1211" i="1"/>
  <c r="J1211" i="1" s="1"/>
  <c r="G1212" i="1"/>
  <c r="J1212" i="1" s="1"/>
  <c r="G1213" i="1"/>
  <c r="J1213" i="1" s="1"/>
  <c r="G1214" i="1"/>
  <c r="J1214" i="1" s="1"/>
  <c r="G1215" i="1"/>
  <c r="J1215" i="1" s="1"/>
  <c r="G1216" i="1"/>
  <c r="J1216" i="1" s="1"/>
  <c r="G1217" i="1"/>
  <c r="J1217" i="1" s="1"/>
  <c r="G1218" i="1"/>
  <c r="J1218" i="1" s="1"/>
  <c r="G1219" i="1"/>
  <c r="G1220" i="1"/>
  <c r="G1221" i="1"/>
  <c r="G1222" i="1"/>
  <c r="G1223" i="1"/>
  <c r="G1224" i="1"/>
  <c r="G1225" i="1"/>
  <c r="J1225" i="1" s="1"/>
  <c r="G1226" i="1"/>
  <c r="J1226" i="1" s="1"/>
  <c r="G1227" i="1"/>
  <c r="J1227" i="1" s="1"/>
  <c r="G1228" i="1"/>
  <c r="J1228" i="1" s="1"/>
  <c r="G1229" i="1"/>
  <c r="J1229" i="1" s="1"/>
  <c r="G1230" i="1"/>
  <c r="J1230" i="1" s="1"/>
  <c r="G1231" i="1"/>
  <c r="G1232" i="1"/>
  <c r="G1233" i="1"/>
  <c r="G1234" i="1"/>
  <c r="G1235" i="1"/>
  <c r="J1235" i="1" s="1"/>
  <c r="G1236" i="1"/>
  <c r="J1236" i="1" s="1"/>
  <c r="G1237" i="1"/>
  <c r="J1237" i="1" s="1"/>
  <c r="G1238" i="1"/>
  <c r="J1238" i="1" s="1"/>
  <c r="G1239" i="1"/>
  <c r="J1239" i="1" s="1"/>
  <c r="G1240" i="1"/>
  <c r="J1240" i="1" s="1"/>
  <c r="G1241" i="1"/>
  <c r="J1241" i="1" s="1"/>
  <c r="G1242" i="1"/>
  <c r="J1242" i="1" s="1"/>
  <c r="G1243" i="1"/>
  <c r="J1243" i="1" s="1"/>
  <c r="G1244" i="1"/>
  <c r="G1245" i="1"/>
  <c r="G1246" i="1"/>
  <c r="G1247" i="1"/>
  <c r="G1248" i="1"/>
  <c r="G1249" i="1"/>
  <c r="G1250" i="1"/>
  <c r="J1250" i="1" s="1"/>
  <c r="G1251" i="1"/>
  <c r="J1251" i="1" s="1"/>
  <c r="G1252" i="1"/>
  <c r="J1252" i="1" s="1"/>
  <c r="G1253" i="1"/>
  <c r="J1253" i="1" s="1"/>
  <c r="G1254" i="1"/>
  <c r="J1254" i="1" s="1"/>
  <c r="G1255" i="1"/>
  <c r="J1255" i="1" s="1"/>
  <c r="G1256" i="1"/>
  <c r="J1256" i="1" s="1"/>
  <c r="G1257" i="1"/>
  <c r="G1258" i="1"/>
  <c r="G1259" i="1"/>
  <c r="J1259" i="1" s="1"/>
  <c r="G1260" i="1"/>
  <c r="J1260" i="1" s="1"/>
  <c r="G1261" i="1"/>
  <c r="J1261" i="1" s="1"/>
  <c r="G1262" i="1"/>
  <c r="J1262" i="1" s="1"/>
  <c r="G1263" i="1"/>
  <c r="J1263" i="1" s="1"/>
  <c r="G1264" i="1"/>
  <c r="J1264" i="1" s="1"/>
  <c r="G1265" i="1"/>
  <c r="J1265" i="1" s="1"/>
  <c r="G1266" i="1"/>
  <c r="G1267" i="1"/>
  <c r="J1267" i="1" s="1"/>
  <c r="G1268" i="1"/>
  <c r="J1268" i="1" s="1"/>
  <c r="G1269" i="1"/>
  <c r="J1269" i="1" s="1"/>
  <c r="G1270" i="1"/>
  <c r="G1271" i="1"/>
  <c r="J1271" i="1" s="1"/>
  <c r="G1272" i="1"/>
  <c r="J1272" i="1" s="1"/>
  <c r="G1273" i="1"/>
  <c r="J1273" i="1" s="1"/>
  <c r="G1274" i="1"/>
  <c r="J1274" i="1" s="1"/>
  <c r="G1275" i="1"/>
  <c r="J1275" i="1" s="1"/>
  <c r="G1276" i="1"/>
  <c r="J1276" i="1" s="1"/>
  <c r="G1277" i="1"/>
  <c r="J1277" i="1" s="1"/>
  <c r="G1278" i="1"/>
  <c r="G1279" i="1"/>
  <c r="G1280" i="1"/>
  <c r="J1280" i="1" s="1"/>
  <c r="G1281" i="1"/>
  <c r="J1281" i="1" s="1"/>
  <c r="G1282" i="1"/>
  <c r="J1282" i="1" s="1"/>
  <c r="G1283" i="1"/>
  <c r="J1283" i="1" s="1"/>
  <c r="G1284" i="1"/>
  <c r="G1285" i="1"/>
  <c r="G1286" i="1"/>
  <c r="G1287" i="1"/>
  <c r="J1287" i="1" s="1"/>
  <c r="G1288" i="1"/>
  <c r="J1288" i="1" s="1"/>
  <c r="G1289" i="1"/>
  <c r="J1289" i="1" s="1"/>
  <c r="G1290" i="1"/>
  <c r="J1290" i="1" s="1"/>
  <c r="G1291" i="1"/>
  <c r="G1292" i="1"/>
  <c r="G1293" i="1"/>
  <c r="J1293" i="1" s="1"/>
  <c r="G1294" i="1"/>
  <c r="J1294" i="1" s="1"/>
  <c r="G1295" i="1"/>
  <c r="J1295" i="1" s="1"/>
  <c r="G1296" i="1"/>
  <c r="J1296" i="1" s="1"/>
  <c r="G1297" i="1"/>
  <c r="J1297" i="1" s="1"/>
  <c r="G1298" i="1"/>
  <c r="J1298" i="1" s="1"/>
  <c r="G1299" i="1"/>
  <c r="J1299" i="1" s="1"/>
  <c r="G1300" i="1"/>
  <c r="J1300" i="1" s="1"/>
  <c r="G1301" i="1"/>
  <c r="J1301" i="1" s="1"/>
  <c r="G1302" i="1"/>
  <c r="G1303" i="1"/>
  <c r="G1304" i="1"/>
  <c r="G1305" i="1"/>
  <c r="G1306" i="1"/>
  <c r="J1306" i="1" s="1"/>
  <c r="G1307" i="1"/>
  <c r="J1307" i="1" s="1"/>
  <c r="G1308" i="1"/>
  <c r="J1308" i="1" s="1"/>
  <c r="G1309" i="1"/>
  <c r="J1309" i="1" s="1"/>
  <c r="G1310" i="1"/>
  <c r="J1310" i="1" s="1"/>
  <c r="G1311" i="1"/>
  <c r="J1311" i="1" s="1"/>
  <c r="G1312" i="1"/>
  <c r="J1312" i="1" s="1"/>
  <c r="G1313" i="1"/>
  <c r="J1313" i="1" s="1"/>
  <c r="G1314" i="1"/>
  <c r="G1315" i="1"/>
  <c r="G1316" i="1"/>
  <c r="G1317" i="1"/>
  <c r="G1318" i="1"/>
  <c r="G1319" i="1"/>
  <c r="J1319" i="1" s="1"/>
  <c r="G1320" i="1"/>
  <c r="J1320" i="1" s="1"/>
  <c r="G1321" i="1"/>
  <c r="J1321" i="1" s="1"/>
  <c r="G1322" i="1"/>
  <c r="J1322" i="1" s="1"/>
  <c r="G1323" i="1"/>
  <c r="J1323" i="1" s="1"/>
  <c r="G1324" i="1"/>
  <c r="G1325" i="1"/>
  <c r="J1325" i="1" s="1"/>
  <c r="G1326" i="1"/>
  <c r="G1327" i="1"/>
  <c r="J1327" i="1" s="1"/>
  <c r="G1328" i="1"/>
  <c r="G1329" i="1"/>
  <c r="G1330" i="1"/>
  <c r="G1331" i="1"/>
  <c r="J1331" i="1" s="1"/>
  <c r="G1332" i="1"/>
  <c r="J1332" i="1" s="1"/>
  <c r="G1333" i="1"/>
  <c r="J1333" i="1" s="1"/>
  <c r="G1334" i="1"/>
  <c r="J1334" i="1" s="1"/>
  <c r="G1335" i="1"/>
  <c r="J1335" i="1" s="1"/>
  <c r="G1336" i="1"/>
  <c r="J1336" i="1" s="1"/>
  <c r="G1337" i="1"/>
  <c r="J1337" i="1" s="1"/>
  <c r="G1338" i="1"/>
  <c r="G1339" i="1"/>
  <c r="G1340" i="1"/>
  <c r="G1341" i="1"/>
  <c r="G1342" i="1"/>
  <c r="G1343" i="1"/>
  <c r="G1344" i="1"/>
  <c r="J1344" i="1" s="1"/>
  <c r="G1345" i="1"/>
  <c r="J1345" i="1" s="1"/>
  <c r="G1346" i="1"/>
  <c r="J1346" i="1" s="1"/>
  <c r="G1347" i="1"/>
  <c r="J1347" i="1" s="1"/>
  <c r="G1348" i="1"/>
  <c r="J1348" i="1" s="1"/>
  <c r="G1349" i="1"/>
  <c r="J1349" i="1" s="1"/>
  <c r="G1350" i="1"/>
  <c r="J1350" i="1" s="1"/>
  <c r="G1351" i="1"/>
  <c r="J1351" i="1" s="1"/>
  <c r="G1352" i="1"/>
  <c r="G1353" i="1"/>
  <c r="G1354" i="1"/>
  <c r="G1355" i="1"/>
  <c r="J1355" i="1" s="1"/>
  <c r="G1356" i="1"/>
  <c r="J1356" i="1" s="1"/>
  <c r="G1357" i="1"/>
  <c r="J1357" i="1" s="1"/>
  <c r="G1358" i="1"/>
  <c r="J1358" i="1" s="1"/>
  <c r="G1359" i="1"/>
  <c r="J1359" i="1" s="1"/>
  <c r="G1360" i="1"/>
  <c r="J1360" i="1" s="1"/>
  <c r="G1361" i="1"/>
  <c r="J1361" i="1" s="1"/>
  <c r="G1362" i="1"/>
  <c r="J1362" i="1" s="1"/>
  <c r="G1363" i="1"/>
  <c r="G1364" i="1"/>
  <c r="G1365" i="1"/>
  <c r="G1366" i="1"/>
  <c r="G1367" i="1"/>
  <c r="J1367" i="1" s="1"/>
  <c r="G1368" i="1"/>
  <c r="J1368" i="1" s="1"/>
  <c r="G1369" i="1"/>
  <c r="J1369" i="1" s="1"/>
  <c r="G1370" i="1"/>
  <c r="J1370" i="1" s="1"/>
  <c r="G1371" i="1"/>
  <c r="J1371" i="1" s="1"/>
  <c r="G1372" i="1"/>
  <c r="J1372" i="1" s="1"/>
  <c r="G1373" i="1"/>
  <c r="J1373" i="1" s="1"/>
  <c r="G1374" i="1"/>
  <c r="J1374" i="1" s="1"/>
  <c r="G1375" i="1"/>
  <c r="J1375" i="1" s="1"/>
  <c r="G1376" i="1"/>
  <c r="G1377" i="1"/>
  <c r="G1378" i="1"/>
  <c r="G1379" i="1"/>
  <c r="G1380" i="1"/>
  <c r="G1381" i="1"/>
  <c r="G1382" i="1"/>
  <c r="G1383" i="1"/>
  <c r="J1383" i="1" s="1"/>
  <c r="G1384" i="1"/>
  <c r="J1384" i="1" s="1"/>
  <c r="G1385" i="1"/>
  <c r="J1385" i="1" s="1"/>
  <c r="G1386" i="1"/>
  <c r="J1386" i="1" s="1"/>
  <c r="G1387" i="1"/>
  <c r="J1387" i="1" s="1"/>
  <c r="G1388" i="1"/>
  <c r="G1389" i="1"/>
  <c r="G1390" i="1"/>
  <c r="G1391" i="1"/>
  <c r="J1391" i="1" s="1"/>
  <c r="G1392" i="1"/>
  <c r="J1392" i="1" s="1"/>
  <c r="G1393" i="1"/>
  <c r="J1393" i="1" s="1"/>
  <c r="G1394" i="1"/>
  <c r="J1394" i="1" s="1"/>
  <c r="G1395" i="1"/>
  <c r="J1395" i="1" s="1"/>
  <c r="G1396" i="1"/>
  <c r="J1396" i="1" s="1"/>
  <c r="G1397" i="1"/>
  <c r="J1397" i="1" s="1"/>
  <c r="G1398" i="1"/>
  <c r="J1398" i="1" s="1"/>
  <c r="G1399" i="1"/>
  <c r="J1399" i="1" s="1"/>
  <c r="G1400" i="1"/>
  <c r="J1400" i="1" s="1"/>
  <c r="G1401" i="1"/>
  <c r="G1402" i="1"/>
  <c r="G1403" i="1"/>
  <c r="J1403" i="1" s="1"/>
  <c r="G1404" i="1"/>
  <c r="J1404" i="1" s="1"/>
  <c r="G1405" i="1"/>
  <c r="J1405" i="1" s="1"/>
  <c r="G1406" i="1"/>
  <c r="J1406" i="1" s="1"/>
  <c r="G1407" i="1"/>
  <c r="J1407" i="1" s="1"/>
  <c r="G1408" i="1"/>
  <c r="J1408" i="1" s="1"/>
  <c r="G1409" i="1"/>
  <c r="J1409" i="1" s="1"/>
  <c r="G1410" i="1"/>
  <c r="G1411" i="1"/>
  <c r="J1411" i="1" s="1"/>
  <c r="G1412" i="1"/>
  <c r="J1412" i="1" s="1"/>
  <c r="G1413" i="1"/>
  <c r="J1413" i="1" s="1"/>
  <c r="G1414" i="1"/>
  <c r="G1415" i="1"/>
  <c r="G1416" i="1"/>
  <c r="G1417" i="1"/>
  <c r="G1418" i="1"/>
  <c r="G1419" i="1"/>
  <c r="J1419" i="1" s="1"/>
  <c r="G1420" i="1"/>
  <c r="J1420" i="1" s="1"/>
  <c r="G1421" i="1"/>
  <c r="J1421" i="1" s="1"/>
  <c r="G1422" i="1"/>
  <c r="J1422" i="1" s="1"/>
  <c r="G1423" i="1"/>
  <c r="G1424" i="1"/>
  <c r="J1424" i="1" s="1"/>
  <c r="G1425" i="1"/>
  <c r="J1425" i="1" s="1"/>
  <c r="G1426" i="1"/>
  <c r="J1426" i="1" s="1"/>
  <c r="G1427" i="1"/>
  <c r="J1427" i="1" s="1"/>
  <c r="G1428" i="1"/>
  <c r="J1428" i="1" s="1"/>
  <c r="G1429" i="1"/>
  <c r="J1429" i="1" s="1"/>
  <c r="G1430" i="1"/>
  <c r="J1430" i="1" s="1"/>
  <c r="G1431" i="1"/>
  <c r="J1431" i="1" s="1"/>
  <c r="G1432" i="1"/>
  <c r="J1432" i="1" s="1"/>
  <c r="G1433" i="1"/>
  <c r="J1433" i="1" s="1"/>
  <c r="G1434" i="1"/>
  <c r="G1435" i="1"/>
  <c r="G1436" i="1"/>
  <c r="G1437" i="1"/>
  <c r="J1437" i="1" s="1"/>
  <c r="G1438" i="1"/>
  <c r="J1438" i="1" s="1"/>
  <c r="G1439" i="1"/>
  <c r="J1439" i="1" s="1"/>
  <c r="G1440" i="1"/>
  <c r="J1440" i="1" s="1"/>
  <c r="G1441" i="1"/>
  <c r="J1441" i="1" s="1"/>
  <c r="G1442" i="1"/>
  <c r="J1442" i="1" s="1"/>
  <c r="G1443" i="1"/>
  <c r="J1443" i="1" s="1"/>
  <c r="G1444" i="1"/>
  <c r="J1444" i="1" s="1"/>
  <c r="G1445" i="1"/>
  <c r="J1445" i="1" s="1"/>
  <c r="G1446" i="1"/>
  <c r="G1447" i="1"/>
  <c r="G1448" i="1"/>
  <c r="G1449" i="1"/>
  <c r="G1450" i="1"/>
  <c r="J1450" i="1" s="1"/>
  <c r="G1451" i="1"/>
  <c r="J1451" i="1" s="1"/>
  <c r="G1452" i="1"/>
  <c r="J1452" i="1" s="1"/>
  <c r="G1453" i="1"/>
  <c r="J1453" i="1" s="1"/>
  <c r="G1454" i="1"/>
  <c r="J1454" i="1" s="1"/>
  <c r="G1455" i="1"/>
  <c r="J1455" i="1" s="1"/>
  <c r="G1456" i="1"/>
  <c r="G1457" i="1"/>
  <c r="J1457" i="1" s="1"/>
  <c r="G1458" i="1"/>
  <c r="G1459" i="1"/>
  <c r="J1459" i="1" s="1"/>
  <c r="G1460" i="1"/>
  <c r="G1461" i="1"/>
  <c r="G1462" i="1"/>
  <c r="G1463" i="1"/>
  <c r="J1463" i="1" s="1"/>
  <c r="G1464" i="1"/>
  <c r="J1464" i="1" s="1"/>
  <c r="G1465" i="1"/>
  <c r="J1465" i="1" s="1"/>
  <c r="G1466" i="1"/>
  <c r="J1466" i="1" s="1"/>
  <c r="G1467" i="1"/>
  <c r="J1467" i="1" s="1"/>
  <c r="G1468" i="1"/>
  <c r="J1468" i="1" s="1"/>
  <c r="G1469" i="1"/>
  <c r="J1469" i="1" s="1"/>
  <c r="G1470" i="1"/>
  <c r="G1471" i="1"/>
  <c r="G1472" i="1"/>
  <c r="G1473" i="1"/>
  <c r="G1474" i="1"/>
  <c r="G1475" i="1"/>
  <c r="G1476" i="1"/>
  <c r="J1476" i="1" s="1"/>
  <c r="G1477" i="1"/>
  <c r="J1477" i="1" s="1"/>
  <c r="G1478" i="1"/>
  <c r="J1478" i="1" s="1"/>
  <c r="G1479" i="1"/>
  <c r="J1479" i="1" s="1"/>
  <c r="G1480" i="1"/>
  <c r="J1480" i="1" s="1"/>
  <c r="G1481" i="1"/>
  <c r="J1481" i="1" s="1"/>
  <c r="G1482" i="1"/>
  <c r="J1482" i="1" s="1"/>
  <c r="G1483" i="1"/>
  <c r="J1483" i="1" s="1"/>
  <c r="G1484" i="1"/>
  <c r="G1485" i="1"/>
  <c r="G1486" i="1"/>
  <c r="G1487" i="1"/>
  <c r="J1487" i="1" s="1"/>
  <c r="G1488" i="1"/>
  <c r="J1488" i="1" s="1"/>
  <c r="G1489" i="1"/>
  <c r="J1489" i="1" s="1"/>
  <c r="G1490" i="1"/>
  <c r="J1490" i="1" s="1"/>
  <c r="G1491" i="1"/>
  <c r="J1491" i="1" s="1"/>
  <c r="G1492" i="1"/>
  <c r="J1492" i="1" s="1"/>
  <c r="G1493" i="1"/>
  <c r="J1493" i="1" s="1"/>
  <c r="G1494" i="1"/>
  <c r="G1495" i="1"/>
  <c r="G1496" i="1"/>
  <c r="G1497" i="1"/>
  <c r="G1498" i="1"/>
  <c r="G1499" i="1"/>
  <c r="J1499" i="1" s="1"/>
  <c r="G1500" i="1"/>
  <c r="J1500" i="1" s="1"/>
  <c r="G1501" i="1"/>
  <c r="J1501" i="1" s="1"/>
  <c r="G1502" i="1"/>
  <c r="J1502" i="1" s="1"/>
  <c r="G1503" i="1"/>
  <c r="J1503" i="1" s="1"/>
  <c r="G1504" i="1"/>
  <c r="J1504" i="1" s="1"/>
  <c r="G1505" i="1"/>
  <c r="J1505" i="1" s="1"/>
  <c r="G1506" i="1"/>
  <c r="J1506" i="1" s="1"/>
  <c r="G1507" i="1"/>
  <c r="G1508" i="1"/>
  <c r="G1509" i="1"/>
  <c r="G1510" i="1"/>
  <c r="G1511" i="1"/>
  <c r="G1512" i="1"/>
  <c r="G1513" i="1"/>
  <c r="G1514" i="1"/>
  <c r="G1515" i="1"/>
  <c r="J1515" i="1" s="1"/>
  <c r="G1516" i="1"/>
  <c r="J1516" i="1" s="1"/>
  <c r="G1517" i="1"/>
  <c r="J1517" i="1" s="1"/>
  <c r="G1518" i="1"/>
  <c r="J1518" i="1" s="1"/>
  <c r="G1519" i="1"/>
  <c r="J1519" i="1" s="1"/>
  <c r="G1520" i="1"/>
  <c r="G1521" i="1"/>
  <c r="G1522" i="1"/>
  <c r="G1523" i="1"/>
  <c r="J1523" i="1" s="1"/>
  <c r="G1524" i="1"/>
  <c r="J1524" i="1" s="1"/>
  <c r="G1525" i="1"/>
  <c r="J1525" i="1" s="1"/>
  <c r="G1526" i="1"/>
  <c r="J1526" i="1" s="1"/>
  <c r="G1527" i="1"/>
  <c r="J1527" i="1" s="1"/>
  <c r="G1528" i="1"/>
  <c r="J1528" i="1" s="1"/>
  <c r="G1529" i="1"/>
  <c r="J1529" i="1" s="1"/>
  <c r="G1530" i="1"/>
  <c r="J1530" i="1" s="1"/>
  <c r="G1531" i="1"/>
  <c r="J1531" i="1" s="1"/>
  <c r="G1532" i="1"/>
  <c r="G1533" i="1"/>
  <c r="G1534" i="1"/>
  <c r="G1535" i="1"/>
  <c r="G1536" i="1"/>
  <c r="J1536" i="1" s="1"/>
  <c r="G1537" i="1"/>
  <c r="J1537" i="1" s="1"/>
  <c r="G1538" i="1"/>
  <c r="J1538" i="1" s="1"/>
  <c r="G1539" i="1"/>
  <c r="J1539" i="1" s="1"/>
  <c r="G1540" i="1"/>
  <c r="J1540" i="1" s="1"/>
  <c r="G1541" i="1"/>
  <c r="J1541" i="1" s="1"/>
  <c r="G1542" i="1"/>
  <c r="J1542" i="1" s="1"/>
  <c r="G1543" i="1"/>
  <c r="J1543" i="1" s="1"/>
  <c r="G1544" i="1"/>
  <c r="J1544" i="1" s="1"/>
  <c r="G1545" i="1"/>
  <c r="G1546" i="1"/>
  <c r="G1547" i="1"/>
  <c r="G1548" i="1"/>
  <c r="G1549" i="1"/>
  <c r="G1550" i="1"/>
  <c r="G1551" i="1"/>
  <c r="G1552" i="1"/>
  <c r="J1552" i="1" s="1"/>
  <c r="G1553" i="1"/>
  <c r="J1553" i="1" s="1"/>
  <c r="G1554" i="1"/>
  <c r="J1554" i="1" s="1"/>
  <c r="G1555" i="1"/>
  <c r="J1555" i="1" s="1"/>
  <c r="G1556" i="1"/>
  <c r="J1556" i="1" s="1"/>
  <c r="G1557" i="1"/>
  <c r="J1557" i="1" s="1"/>
  <c r="G1558" i="1"/>
  <c r="G1559" i="1"/>
  <c r="J1559" i="1" s="1"/>
  <c r="G1560" i="1"/>
  <c r="J1560" i="1" s="1"/>
  <c r="G1561" i="1"/>
  <c r="J1561" i="1" s="1"/>
  <c r="G1562" i="1"/>
  <c r="J1562" i="1" s="1"/>
  <c r="G1563" i="1"/>
  <c r="J1563" i="1" s="1"/>
  <c r="G1564" i="1"/>
  <c r="J1564" i="1" s="1"/>
  <c r="G1565" i="1"/>
  <c r="J1565" i="1" s="1"/>
  <c r="G1566" i="1"/>
  <c r="G1567" i="1"/>
  <c r="G1568" i="1"/>
  <c r="J1568" i="1" s="1"/>
  <c r="G1569" i="1"/>
  <c r="J1569" i="1" s="1"/>
  <c r="G1570" i="1"/>
  <c r="J1570" i="1" s="1"/>
  <c r="G1571" i="1"/>
  <c r="J1571" i="1" s="1"/>
  <c r="G1572" i="1"/>
  <c r="G1573" i="1"/>
  <c r="J1573" i="1" s="1"/>
  <c r="G1574" i="1"/>
  <c r="J1574" i="1" s="1"/>
  <c r="G1575" i="1"/>
  <c r="J1575" i="1" s="1"/>
  <c r="G1576" i="1"/>
  <c r="J1576" i="1" s="1"/>
  <c r="G1577" i="1"/>
  <c r="G1578" i="1"/>
  <c r="G1579" i="1"/>
  <c r="G1580" i="1"/>
  <c r="J1580" i="1" s="1"/>
  <c r="G1581" i="1"/>
  <c r="J1581" i="1" s="1"/>
  <c r="G1582" i="1"/>
  <c r="J1582" i="1" s="1"/>
  <c r="G1583" i="1"/>
  <c r="J1583" i="1" s="1"/>
  <c r="G1584" i="1"/>
  <c r="J1584" i="1" s="1"/>
  <c r="G1585" i="1"/>
  <c r="J1585" i="1" s="1"/>
  <c r="G1586" i="1"/>
  <c r="J1586" i="1" s="1"/>
  <c r="G1587" i="1"/>
  <c r="J1587" i="1" s="1"/>
  <c r="G1588" i="1"/>
  <c r="G1589" i="1"/>
  <c r="J1589" i="1" s="1"/>
  <c r="G1590" i="1"/>
  <c r="J1590" i="1" s="1"/>
  <c r="G1591" i="1"/>
  <c r="J1591" i="1" s="1"/>
  <c r="G1592" i="1"/>
  <c r="J1592" i="1" s="1"/>
  <c r="G1593" i="1"/>
  <c r="J1593" i="1" s="1"/>
  <c r="G1594" i="1"/>
  <c r="J1594" i="1" s="1"/>
  <c r="G1595" i="1"/>
  <c r="J1595" i="1" s="1"/>
  <c r="G1596" i="1"/>
  <c r="J1596" i="1" s="1"/>
  <c r="G1597" i="1"/>
  <c r="J1597" i="1" s="1"/>
  <c r="G1598" i="1"/>
  <c r="J1598" i="1" s="1"/>
  <c r="G1599" i="1"/>
  <c r="J1599" i="1" s="1"/>
  <c r="G1600" i="1"/>
  <c r="J1600" i="1" s="1"/>
  <c r="G1601" i="1"/>
  <c r="G1602" i="1"/>
  <c r="G1603" i="1"/>
  <c r="G1604" i="1"/>
  <c r="J1604" i="1" s="1"/>
  <c r="G1605" i="1"/>
  <c r="J1605" i="1" s="1"/>
  <c r="G1606" i="1"/>
  <c r="J1606" i="1" s="1"/>
  <c r="G1607" i="1"/>
  <c r="J1607" i="1" s="1"/>
  <c r="G1608" i="1"/>
  <c r="G1609" i="1"/>
  <c r="J1609" i="1" s="1"/>
  <c r="G1610" i="1"/>
  <c r="J1610" i="1" s="1"/>
  <c r="G1611" i="1"/>
  <c r="J1611" i="1" s="1"/>
  <c r="G1612" i="1"/>
  <c r="J1612" i="1" s="1"/>
  <c r="G1613" i="1"/>
  <c r="G1614" i="1"/>
  <c r="G1615" i="1"/>
  <c r="G1616" i="1"/>
  <c r="J1616" i="1" s="1"/>
  <c r="G1617" i="1"/>
  <c r="J1617" i="1" s="1"/>
  <c r="G1618" i="1"/>
  <c r="J1618" i="1" s="1"/>
  <c r="G1619" i="1"/>
  <c r="J1619" i="1" s="1"/>
  <c r="G1620" i="1"/>
  <c r="J1620" i="1" s="1"/>
  <c r="G1621" i="1"/>
  <c r="J1621" i="1" s="1"/>
  <c r="G1622" i="1"/>
  <c r="G1623" i="1"/>
  <c r="J1623" i="1" s="1"/>
  <c r="G1624" i="1"/>
  <c r="G1625" i="1"/>
  <c r="J1625" i="1" s="1"/>
  <c r="G1626" i="1"/>
  <c r="J1626" i="1" s="1"/>
  <c r="G1627" i="1"/>
  <c r="J1627" i="1" s="1"/>
  <c r="G1628" i="1"/>
  <c r="J1628" i="1" s="1"/>
  <c r="G1629" i="1"/>
  <c r="J1629" i="1" s="1"/>
  <c r="G1630" i="1"/>
  <c r="J1630" i="1" s="1"/>
  <c r="G1631" i="1"/>
  <c r="J1631" i="1" s="1"/>
  <c r="G1632" i="1"/>
  <c r="J1632" i="1" s="1"/>
  <c r="G1633" i="1"/>
  <c r="J1633" i="1" s="1"/>
  <c r="G1634" i="1"/>
  <c r="J1634" i="1" s="1"/>
  <c r="G1635" i="1"/>
  <c r="J1635" i="1" s="1"/>
  <c r="G1636" i="1"/>
  <c r="J1636" i="1" s="1"/>
  <c r="G1637" i="1"/>
  <c r="G1638" i="1"/>
  <c r="G1639" i="1"/>
  <c r="G1640" i="1"/>
  <c r="J1640" i="1" s="1"/>
  <c r="G1641" i="1"/>
  <c r="J1641" i="1" s="1"/>
  <c r="G1642" i="1"/>
  <c r="J1642" i="1" s="1"/>
  <c r="G1643" i="1"/>
  <c r="J1643" i="1" s="1"/>
  <c r="G1644" i="1"/>
  <c r="G1645" i="1"/>
  <c r="J1645" i="1" s="1"/>
  <c r="G1646" i="1"/>
  <c r="J1646" i="1" s="1"/>
  <c r="G1647" i="1"/>
  <c r="J1647" i="1" s="1"/>
  <c r="G1648" i="1"/>
  <c r="J1648" i="1" s="1"/>
  <c r="G1649" i="1"/>
  <c r="G1650" i="1"/>
  <c r="G1651" i="1"/>
  <c r="G1652" i="1"/>
  <c r="J1652" i="1" s="1"/>
  <c r="G1653" i="1"/>
  <c r="J1653" i="1" s="1"/>
  <c r="G1654" i="1"/>
  <c r="J1654" i="1" s="1"/>
  <c r="G1655" i="1"/>
  <c r="J1655" i="1" s="1"/>
  <c r="G1656" i="1"/>
  <c r="J1656" i="1" s="1"/>
  <c r="G1657" i="1"/>
  <c r="J1657" i="1" s="1"/>
  <c r="G1658" i="1"/>
  <c r="J1658" i="1" s="1"/>
  <c r="G1659" i="1"/>
  <c r="J1659" i="1" s="1"/>
  <c r="G1660" i="1"/>
  <c r="G1661" i="1"/>
  <c r="J1661" i="1" s="1"/>
  <c r="G1662" i="1"/>
  <c r="J1662" i="1" s="1"/>
  <c r="G1663" i="1"/>
  <c r="J1663" i="1" s="1"/>
  <c r="G1664" i="1"/>
  <c r="J1664" i="1" s="1"/>
  <c r="G1665" i="1"/>
  <c r="J1665" i="1" s="1"/>
  <c r="G1666" i="1"/>
  <c r="J1666" i="1" s="1"/>
  <c r="G1667" i="1"/>
  <c r="J1667" i="1" s="1"/>
  <c r="G1668" i="1"/>
  <c r="J1668" i="1" s="1"/>
  <c r="G1669" i="1"/>
  <c r="J1669" i="1" s="1"/>
  <c r="G1670" i="1"/>
  <c r="J1670" i="1" s="1"/>
  <c r="G1671" i="1"/>
  <c r="J1671" i="1" s="1"/>
  <c r="G1672" i="1"/>
  <c r="J1672" i="1" s="1"/>
  <c r="G1673" i="1"/>
  <c r="G1674" i="1"/>
  <c r="G1675" i="1"/>
  <c r="G1676" i="1"/>
  <c r="J1676" i="1" s="1"/>
  <c r="G1677" i="1"/>
  <c r="J1677" i="1" s="1"/>
  <c r="G1678" i="1"/>
  <c r="J1678" i="1" s="1"/>
  <c r="G1679" i="1"/>
  <c r="J1679" i="1" s="1"/>
  <c r="G1680" i="1"/>
  <c r="G1681" i="1"/>
  <c r="J1681" i="1" s="1"/>
  <c r="G1682" i="1"/>
  <c r="J1682" i="1" s="1"/>
  <c r="G1683" i="1"/>
  <c r="J1683" i="1" s="1"/>
  <c r="G1684" i="1"/>
  <c r="J1684" i="1" s="1"/>
  <c r="G1685" i="1"/>
  <c r="G1686" i="1"/>
  <c r="G1687" i="1"/>
  <c r="G1688" i="1"/>
  <c r="J1688" i="1" s="1"/>
  <c r="G1689" i="1"/>
  <c r="J1689" i="1" s="1"/>
  <c r="G1690" i="1"/>
  <c r="J1690" i="1" s="1"/>
  <c r="G1691" i="1"/>
  <c r="J1691" i="1" s="1"/>
  <c r="G1692" i="1"/>
  <c r="J1692" i="1" s="1"/>
  <c r="G1693" i="1"/>
  <c r="J1693" i="1" s="1"/>
  <c r="G1694" i="1"/>
  <c r="J1694" i="1" s="1"/>
  <c r="G1695" i="1"/>
  <c r="J1695" i="1" s="1"/>
  <c r="G1696" i="1"/>
  <c r="J1696" i="1" s="1"/>
  <c r="G1697" i="1"/>
  <c r="J1697" i="1" s="1"/>
  <c r="G1698" i="1"/>
  <c r="J1698" i="1" s="1"/>
  <c r="G1699" i="1"/>
  <c r="J1699" i="1" s="1"/>
  <c r="G1700" i="1"/>
  <c r="J1700" i="1" s="1"/>
  <c r="G1701" i="1"/>
  <c r="J1701" i="1" s="1"/>
  <c r="G1702" i="1"/>
  <c r="J1702" i="1" s="1"/>
  <c r="G1703" i="1"/>
  <c r="J1703" i="1" s="1"/>
  <c r="G1704" i="1"/>
  <c r="J1704" i="1" s="1"/>
  <c r="G1705" i="1"/>
  <c r="J1705" i="1" s="1"/>
  <c r="G1706" i="1"/>
  <c r="J1706" i="1" s="1"/>
  <c r="G1707" i="1"/>
  <c r="J1707" i="1" s="1"/>
  <c r="G1708" i="1"/>
  <c r="J1708" i="1" s="1"/>
  <c r="G1709" i="1"/>
  <c r="G1710" i="1"/>
  <c r="G1711" i="1"/>
  <c r="G1712" i="1"/>
  <c r="J1712" i="1" s="1"/>
  <c r="G1713" i="1"/>
  <c r="J1713" i="1" s="1"/>
  <c r="G1714" i="1"/>
  <c r="J1714" i="1" s="1"/>
  <c r="G1715" i="1"/>
  <c r="J1715" i="1" s="1"/>
  <c r="G1716" i="1"/>
  <c r="G1717" i="1"/>
  <c r="J1717" i="1" s="1"/>
  <c r="G1718" i="1"/>
  <c r="J1718" i="1" s="1"/>
  <c r="G1719" i="1"/>
  <c r="J1719" i="1" s="1"/>
  <c r="G1720" i="1"/>
  <c r="J1720" i="1" s="1"/>
  <c r="G1721" i="1"/>
  <c r="G1722" i="1"/>
  <c r="G1723" i="1"/>
  <c r="G1724" i="1"/>
  <c r="J1724" i="1" s="1"/>
  <c r="G1725" i="1"/>
  <c r="J1725" i="1" s="1"/>
  <c r="G1726" i="1"/>
  <c r="J1726" i="1" s="1"/>
  <c r="G1727" i="1"/>
  <c r="J1727" i="1" s="1"/>
  <c r="G1728" i="1"/>
  <c r="J1728" i="1" s="1"/>
  <c r="G1729" i="1"/>
  <c r="J1729" i="1" s="1"/>
  <c r="G1730" i="1"/>
  <c r="J1730" i="1" s="1"/>
  <c r="G1731" i="1"/>
  <c r="J1731" i="1" s="1"/>
  <c r="G1732" i="1"/>
  <c r="J1732" i="1" s="1"/>
  <c r="G1733" i="1"/>
  <c r="J1733" i="1" s="1"/>
  <c r="G1734" i="1"/>
  <c r="J1734" i="1" s="1"/>
  <c r="G1735" i="1"/>
  <c r="J1735" i="1" s="1"/>
  <c r="G1736" i="1"/>
  <c r="J1736" i="1" s="1"/>
  <c r="G1737" i="1"/>
  <c r="J1737" i="1" s="1"/>
  <c r="G1738" i="1"/>
  <c r="J1738" i="1" s="1"/>
  <c r="G1739" i="1"/>
  <c r="J1739" i="1" s="1"/>
  <c r="G1740" i="1"/>
  <c r="J1740" i="1" s="1"/>
  <c r="G1741" i="1"/>
  <c r="J1741" i="1" s="1"/>
  <c r="G1742" i="1"/>
  <c r="J1742" i="1" s="1"/>
  <c r="G1743" i="1"/>
  <c r="J1743" i="1" s="1"/>
  <c r="G1744" i="1"/>
  <c r="J1744" i="1" s="1"/>
  <c r="G1745" i="1"/>
  <c r="G1746" i="1"/>
  <c r="G1747" i="1"/>
  <c r="G1748" i="1"/>
  <c r="J1748" i="1" s="1"/>
  <c r="G1749" i="1"/>
  <c r="J1749" i="1" s="1"/>
  <c r="G1750" i="1"/>
  <c r="J1750" i="1" s="1"/>
  <c r="G1751" i="1"/>
  <c r="J1751" i="1" s="1"/>
  <c r="G1752" i="1"/>
  <c r="G1753" i="1"/>
  <c r="J1753" i="1" s="1"/>
  <c r="G1754" i="1"/>
  <c r="J1754" i="1" s="1"/>
  <c r="G1755" i="1"/>
  <c r="J1755" i="1" s="1"/>
  <c r="G1756" i="1"/>
  <c r="J1756" i="1" s="1"/>
  <c r="G1757" i="1"/>
  <c r="G1758" i="1"/>
  <c r="G1759" i="1"/>
  <c r="G1760" i="1"/>
  <c r="J1760" i="1" s="1"/>
  <c r="G1761" i="1"/>
  <c r="J1761" i="1" s="1"/>
  <c r="G1762" i="1"/>
  <c r="J1762" i="1" s="1"/>
  <c r="G1763" i="1"/>
  <c r="J1763" i="1" s="1"/>
  <c r="G1764" i="1"/>
  <c r="J1764" i="1" s="1"/>
  <c r="G1765" i="1"/>
  <c r="G1766" i="1"/>
  <c r="J1766" i="1" s="1"/>
  <c r="G1767" i="1"/>
  <c r="J1767" i="1" s="1"/>
  <c r="G1768" i="1"/>
  <c r="J1768" i="1" s="1"/>
  <c r="G1769" i="1"/>
  <c r="J1769" i="1" s="1"/>
  <c r="G1770" i="1"/>
  <c r="J1770" i="1" s="1"/>
  <c r="G1771" i="1"/>
  <c r="J1771" i="1" s="1"/>
  <c r="G1772" i="1"/>
  <c r="J1772" i="1" s="1"/>
  <c r="G1773" i="1"/>
  <c r="J1773" i="1" s="1"/>
  <c r="G1774" i="1"/>
  <c r="J1774" i="1" s="1"/>
  <c r="G1775" i="1"/>
  <c r="J1775" i="1" s="1"/>
  <c r="G1776" i="1"/>
  <c r="J1776" i="1" s="1"/>
  <c r="G1777" i="1"/>
  <c r="J1777" i="1" s="1"/>
  <c r="G1778" i="1"/>
  <c r="J1778" i="1" s="1"/>
  <c r="G1779" i="1"/>
  <c r="J1779" i="1" s="1"/>
  <c r="G1780" i="1"/>
  <c r="J1780" i="1" s="1"/>
  <c r="G1781" i="1"/>
  <c r="G1782" i="1"/>
  <c r="G1783" i="1"/>
  <c r="G1784" i="1"/>
  <c r="J1784" i="1" s="1"/>
  <c r="G1785" i="1"/>
  <c r="J1785" i="1" s="1"/>
  <c r="G1786" i="1"/>
  <c r="J1786" i="1" s="1"/>
  <c r="G1787" i="1"/>
  <c r="J1787" i="1" s="1"/>
  <c r="G1788" i="1"/>
  <c r="G1789" i="1"/>
  <c r="J1789" i="1" s="1"/>
  <c r="G1790" i="1"/>
  <c r="J1790" i="1" s="1"/>
  <c r="G1791" i="1"/>
  <c r="J1791" i="1" s="1"/>
  <c r="G1792" i="1"/>
  <c r="J1792" i="1" s="1"/>
  <c r="G1793" i="1"/>
  <c r="G1794" i="1"/>
  <c r="G1795" i="1"/>
  <c r="G1796" i="1"/>
  <c r="J1796" i="1" s="1"/>
  <c r="G1797" i="1"/>
  <c r="J1797" i="1" s="1"/>
  <c r="G1798" i="1"/>
  <c r="J1798" i="1" s="1"/>
  <c r="G1799" i="1"/>
  <c r="J1799" i="1" s="1"/>
  <c r="G1800" i="1"/>
  <c r="J1800" i="1" s="1"/>
  <c r="G1801" i="1"/>
  <c r="G1802" i="1"/>
  <c r="G1803" i="1"/>
  <c r="J1803" i="1" s="1"/>
  <c r="G1804" i="1"/>
  <c r="J1804" i="1" s="1"/>
  <c r="G1805" i="1"/>
  <c r="J1805" i="1" s="1"/>
  <c r="G1806" i="1"/>
  <c r="J1806" i="1" s="1"/>
  <c r="G1807" i="1"/>
  <c r="J1807" i="1" s="1"/>
  <c r="G1808" i="1"/>
  <c r="J1808" i="1" s="1"/>
  <c r="G1809" i="1"/>
  <c r="J1809" i="1" s="1"/>
  <c r="G1810" i="1"/>
  <c r="J1810" i="1" s="1"/>
  <c r="G1811" i="1"/>
  <c r="J1811" i="1" s="1"/>
  <c r="G1812" i="1"/>
  <c r="J1812" i="1" s="1"/>
  <c r="G1813" i="1"/>
  <c r="J1813" i="1" s="1"/>
  <c r="G1814" i="1"/>
  <c r="J1814" i="1" s="1"/>
  <c r="G1815" i="1"/>
  <c r="J1815" i="1" s="1"/>
  <c r="G1816" i="1"/>
  <c r="J1816" i="1" s="1"/>
  <c r="G1817" i="1"/>
  <c r="G1818" i="1"/>
  <c r="G1819" i="1"/>
  <c r="G1820" i="1"/>
  <c r="J1820" i="1" s="1"/>
  <c r="G1821" i="1"/>
  <c r="J1821" i="1" s="1"/>
  <c r="G1822" i="1"/>
  <c r="J1822" i="1" s="1"/>
  <c r="G1823" i="1"/>
  <c r="J1823" i="1" s="1"/>
  <c r="G1824" i="1"/>
  <c r="G1825" i="1"/>
  <c r="J1825" i="1" s="1"/>
  <c r="G1826" i="1"/>
  <c r="J1826" i="1" s="1"/>
  <c r="G1827" i="1"/>
  <c r="J1827" i="1" s="1"/>
  <c r="G1828" i="1"/>
  <c r="J1828" i="1" s="1"/>
  <c r="G1829" i="1"/>
  <c r="G1830" i="1"/>
  <c r="G1831" i="1"/>
  <c r="G1832" i="1"/>
  <c r="J1832" i="1" s="1"/>
  <c r="G1833" i="1"/>
  <c r="J1833" i="1" s="1"/>
  <c r="G1834" i="1"/>
  <c r="J1834" i="1" s="1"/>
  <c r="G1835" i="1"/>
  <c r="J1835" i="1" s="1"/>
  <c r="G1836" i="1"/>
  <c r="J1836" i="1" s="1"/>
  <c r="G1837" i="1"/>
  <c r="G1838" i="1"/>
  <c r="G1839" i="1"/>
  <c r="G1840" i="1"/>
  <c r="J1840" i="1" s="1"/>
  <c r="G1841" i="1"/>
  <c r="J1841" i="1" s="1"/>
  <c r="G1842" i="1"/>
  <c r="J1842" i="1" s="1"/>
  <c r="G1843" i="1"/>
  <c r="J1843" i="1" s="1"/>
  <c r="G1844" i="1"/>
  <c r="J1844" i="1" s="1"/>
  <c r="G1845" i="1"/>
  <c r="J1845" i="1" s="1"/>
  <c r="G1846" i="1"/>
  <c r="J1846" i="1" s="1"/>
  <c r="G1847" i="1"/>
  <c r="J1847" i="1" s="1"/>
  <c r="G1848" i="1"/>
  <c r="J1848" i="1" s="1"/>
  <c r="G1849" i="1"/>
  <c r="J1849" i="1" s="1"/>
  <c r="G1850" i="1"/>
  <c r="J1850" i="1" s="1"/>
  <c r="G1851" i="1"/>
  <c r="J1851" i="1" s="1"/>
  <c r="G1852" i="1"/>
  <c r="J1852" i="1" s="1"/>
  <c r="G1853" i="1"/>
  <c r="G1854" i="1"/>
  <c r="G1855" i="1"/>
  <c r="G1856" i="1"/>
  <c r="J1856" i="1" s="1"/>
  <c r="G1857" i="1"/>
  <c r="J1857" i="1" s="1"/>
  <c r="G1858" i="1"/>
  <c r="J1858" i="1" s="1"/>
  <c r="G1859" i="1"/>
  <c r="J1859" i="1" s="1"/>
  <c r="G1860" i="1"/>
  <c r="G1861" i="1"/>
  <c r="J1861" i="1" s="1"/>
  <c r="G1862" i="1"/>
  <c r="J1862" i="1" s="1"/>
  <c r="G1863" i="1"/>
  <c r="J1863" i="1" s="1"/>
  <c r="G1864" i="1"/>
  <c r="J1864" i="1" s="1"/>
  <c r="G1865" i="1"/>
  <c r="G1866" i="1"/>
  <c r="G1867" i="1"/>
  <c r="G1868" i="1"/>
  <c r="J1868" i="1" s="1"/>
  <c r="G1869" i="1"/>
  <c r="J1869" i="1" s="1"/>
  <c r="G1870" i="1"/>
  <c r="J1870" i="1" s="1"/>
  <c r="G1871" i="1"/>
  <c r="J1871" i="1" s="1"/>
  <c r="G1872" i="1"/>
  <c r="J1872" i="1" s="1"/>
  <c r="G1873" i="1"/>
  <c r="G1874" i="1"/>
  <c r="G1875" i="1"/>
  <c r="G1876" i="1"/>
  <c r="G1877" i="1"/>
  <c r="J1877" i="1" s="1"/>
  <c r="G1878" i="1"/>
  <c r="J1878" i="1" s="1"/>
  <c r="G1879" i="1"/>
  <c r="J1879" i="1" s="1"/>
  <c r="G1880" i="1"/>
  <c r="J1880" i="1" s="1"/>
  <c r="G1881" i="1"/>
  <c r="J1881" i="1" s="1"/>
  <c r="G1882" i="1"/>
  <c r="J1882" i="1" s="1"/>
  <c r="G1883" i="1"/>
  <c r="J1883" i="1" s="1"/>
  <c r="G1884" i="1"/>
  <c r="J1884" i="1" s="1"/>
  <c r="G1885" i="1"/>
  <c r="J1885" i="1" s="1"/>
  <c r="G1886" i="1"/>
  <c r="J1886" i="1" s="1"/>
  <c r="G1887" i="1"/>
  <c r="J1887" i="1" s="1"/>
  <c r="G1888" i="1"/>
  <c r="J1888" i="1" s="1"/>
  <c r="G1889" i="1"/>
  <c r="G1890" i="1"/>
  <c r="G1891" i="1"/>
  <c r="G1892" i="1"/>
  <c r="J1892" i="1" s="1"/>
  <c r="G1893" i="1"/>
  <c r="J1893" i="1" s="1"/>
  <c r="G1894" i="1"/>
  <c r="J1894" i="1" s="1"/>
  <c r="G1895" i="1"/>
  <c r="J1895" i="1" s="1"/>
  <c r="G1896" i="1"/>
  <c r="G1897" i="1"/>
  <c r="J1897" i="1" s="1"/>
  <c r="G1898" i="1"/>
  <c r="J1898" i="1" s="1"/>
  <c r="G1899" i="1"/>
  <c r="J1899" i="1" s="1"/>
  <c r="G1900" i="1"/>
  <c r="J1900" i="1" s="1"/>
  <c r="G1901" i="1"/>
  <c r="G1902" i="1"/>
  <c r="G1903" i="1"/>
  <c r="G1904" i="1"/>
  <c r="J1904" i="1" s="1"/>
  <c r="G1905" i="1"/>
  <c r="J1905" i="1" s="1"/>
  <c r="G1906" i="1"/>
  <c r="J1906" i="1" s="1"/>
  <c r="G1907" i="1"/>
  <c r="J1907" i="1" s="1"/>
  <c r="G1908" i="1"/>
  <c r="J1908" i="1" s="1"/>
  <c r="G1909" i="1"/>
  <c r="G1910" i="1"/>
  <c r="G1911" i="1"/>
  <c r="G1912" i="1"/>
  <c r="G1913" i="1"/>
  <c r="J1913" i="1" s="1"/>
  <c r="G1914" i="1"/>
  <c r="J1914" i="1" s="1"/>
  <c r="G1915" i="1"/>
  <c r="J1915" i="1" s="1"/>
  <c r="G1916" i="1"/>
  <c r="J1916" i="1" s="1"/>
  <c r="G1917" i="1"/>
  <c r="J1917" i="1" s="1"/>
  <c r="G1918" i="1"/>
  <c r="J1918" i="1" s="1"/>
  <c r="G1919" i="1"/>
  <c r="J1919" i="1" s="1"/>
  <c r="G1920" i="1"/>
  <c r="J1920" i="1" s="1"/>
  <c r="G1921" i="1"/>
  <c r="J1921" i="1" s="1"/>
  <c r="G1922" i="1"/>
  <c r="J1922" i="1" s="1"/>
  <c r="G1923" i="1"/>
  <c r="J1923" i="1" s="1"/>
  <c r="G1924" i="1"/>
  <c r="G1925" i="1"/>
  <c r="G1926" i="1"/>
  <c r="G1927" i="1"/>
  <c r="G1928" i="1"/>
  <c r="J1928" i="1" s="1"/>
  <c r="G1929" i="1"/>
  <c r="J1929" i="1" s="1"/>
  <c r="G1930" i="1"/>
  <c r="J1930" i="1" s="1"/>
  <c r="G1931" i="1"/>
  <c r="J1931" i="1" s="1"/>
  <c r="G1932" i="1"/>
  <c r="J1932" i="1" s="1"/>
  <c r="G1933" i="1"/>
  <c r="J1933" i="1" s="1"/>
  <c r="G1934" i="1"/>
  <c r="J1934" i="1" s="1"/>
  <c r="G1935" i="1"/>
  <c r="J1935" i="1" s="1"/>
  <c r="G1936" i="1"/>
  <c r="J1936" i="1" s="1"/>
  <c r="G1937" i="1"/>
  <c r="G1938" i="1"/>
  <c r="G1939" i="1"/>
  <c r="G1940" i="1"/>
  <c r="J1940" i="1" s="1"/>
  <c r="G1941" i="1"/>
  <c r="J1941" i="1" s="1"/>
  <c r="G1942" i="1"/>
  <c r="J1942" i="1" s="1"/>
  <c r="G1943" i="1"/>
  <c r="G1944" i="1"/>
  <c r="G1945" i="1"/>
  <c r="G1946" i="1"/>
  <c r="J1946" i="1" s="1"/>
  <c r="G1947" i="1"/>
  <c r="J1947" i="1" s="1"/>
  <c r="G1948" i="1"/>
  <c r="J1948" i="1" s="1"/>
  <c r="G1949" i="1"/>
  <c r="G1950" i="1"/>
  <c r="G1951" i="1"/>
  <c r="G1952" i="1"/>
  <c r="J1952" i="1" s="1"/>
  <c r="G1953" i="1"/>
  <c r="J1953" i="1" s="1"/>
  <c r="G1954" i="1"/>
  <c r="J1954" i="1" s="1"/>
  <c r="G1955" i="1"/>
  <c r="J1955" i="1" s="1"/>
  <c r="G1956" i="1"/>
  <c r="J1956" i="1" s="1"/>
  <c r="G1957" i="1"/>
  <c r="J1957" i="1" s="1"/>
  <c r="G1958" i="1"/>
  <c r="J1958" i="1" s="1"/>
  <c r="G1959" i="1"/>
  <c r="J1959" i="1" s="1"/>
  <c r="G1960" i="1"/>
  <c r="J1960" i="1" s="1"/>
  <c r="G1961" i="1"/>
  <c r="J1961" i="1" s="1"/>
  <c r="G1962" i="1"/>
  <c r="J1962" i="1" s="1"/>
  <c r="G1963" i="1"/>
  <c r="J1963" i="1" s="1"/>
  <c r="G1964" i="1"/>
  <c r="J1964" i="1" s="1"/>
  <c r="G1965" i="1"/>
  <c r="J1965" i="1" s="1"/>
  <c r="G1966" i="1"/>
  <c r="J1966" i="1" s="1"/>
  <c r="G1967" i="1"/>
  <c r="J1967" i="1" s="1"/>
  <c r="G1968" i="1"/>
  <c r="J1968" i="1" s="1"/>
  <c r="G1969" i="1"/>
  <c r="J1969" i="1" s="1"/>
  <c r="G1970" i="1"/>
  <c r="J1970" i="1" s="1"/>
  <c r="G1971" i="1"/>
  <c r="J1971" i="1" s="1"/>
  <c r="G1972" i="1"/>
  <c r="J1972" i="1" s="1"/>
  <c r="G1973" i="1"/>
  <c r="G1974" i="1"/>
  <c r="G1975" i="1"/>
  <c r="G1976" i="1"/>
  <c r="J1976" i="1" s="1"/>
  <c r="G1977" i="1"/>
  <c r="J1977" i="1" s="1"/>
  <c r="G1978" i="1"/>
  <c r="J1978" i="1" s="1"/>
  <c r="G1979" i="1"/>
  <c r="J1979" i="1" s="1"/>
  <c r="G1980" i="1"/>
  <c r="J1980" i="1" s="1"/>
  <c r="G1981" i="1"/>
  <c r="J1981" i="1" s="1"/>
  <c r="G1982" i="1"/>
  <c r="J1982" i="1" s="1"/>
  <c r="G1983" i="1"/>
  <c r="J1983" i="1" s="1"/>
  <c r="G1984" i="1"/>
  <c r="J1984" i="1" s="1"/>
  <c r="G1985" i="1"/>
  <c r="G1986" i="1"/>
  <c r="G1987" i="1"/>
  <c r="G1988" i="1"/>
  <c r="J1988" i="1" s="1"/>
  <c r="G1989" i="1"/>
  <c r="J1989" i="1" s="1"/>
  <c r="G1990" i="1"/>
  <c r="J1990" i="1" s="1"/>
  <c r="G1991" i="1"/>
  <c r="G1992" i="1"/>
  <c r="G1993" i="1"/>
  <c r="J1993" i="1" s="1"/>
  <c r="G1994" i="1"/>
  <c r="J1994" i="1" s="1"/>
  <c r="G1995" i="1"/>
  <c r="J1995" i="1" s="1"/>
  <c r="G1996" i="1"/>
  <c r="J1996" i="1" s="1"/>
  <c r="G1997" i="1"/>
  <c r="G1998" i="1"/>
  <c r="G1999" i="1"/>
  <c r="G2000" i="1"/>
  <c r="J2000" i="1" s="1"/>
  <c r="G2001" i="1"/>
  <c r="J2001" i="1" s="1"/>
  <c r="G2002" i="1"/>
  <c r="J2002" i="1" s="1"/>
  <c r="G2003" i="1"/>
  <c r="J2003" i="1" s="1"/>
  <c r="G2004" i="1"/>
  <c r="J2004" i="1" s="1"/>
  <c r="G2005" i="1"/>
  <c r="G2006" i="1"/>
  <c r="J2006" i="1" s="1"/>
  <c r="G2007" i="1"/>
  <c r="J2007" i="1" s="1"/>
  <c r="G2008" i="1"/>
  <c r="G2009" i="1"/>
  <c r="J2009" i="1" s="1"/>
  <c r="G2010" i="1"/>
  <c r="J2010" i="1" s="1"/>
  <c r="G2011" i="1"/>
  <c r="J2011" i="1" s="1"/>
  <c r="G2012" i="1"/>
  <c r="J2012" i="1" s="1"/>
  <c r="G2013" i="1"/>
  <c r="J2013" i="1" s="1"/>
  <c r="G2014" i="1"/>
  <c r="J2014" i="1" s="1"/>
  <c r="G2015" i="1"/>
  <c r="J2015" i="1" s="1"/>
  <c r="G2016" i="1"/>
  <c r="J2016" i="1" s="1"/>
  <c r="G2017" i="1"/>
  <c r="J2017" i="1" s="1"/>
  <c r="G2018" i="1"/>
  <c r="J2018" i="1" s="1"/>
  <c r="G2019" i="1"/>
  <c r="J2019" i="1" s="1"/>
  <c r="G2020" i="1"/>
  <c r="G2021" i="1"/>
  <c r="G2022" i="1"/>
  <c r="G2023" i="1"/>
  <c r="G2024" i="1"/>
  <c r="J2024" i="1" s="1"/>
  <c r="G2025" i="1"/>
  <c r="J2025" i="1" s="1"/>
  <c r="G2026" i="1"/>
  <c r="J2026" i="1" s="1"/>
  <c r="G2027" i="1"/>
  <c r="J2027" i="1" s="1"/>
  <c r="G2028" i="1"/>
  <c r="J2028" i="1" s="1"/>
  <c r="G2029" i="1"/>
  <c r="J2029" i="1" s="1"/>
  <c r="G2030" i="1"/>
  <c r="J2030" i="1" s="1"/>
  <c r="G2031" i="1"/>
  <c r="J2031" i="1" s="1"/>
  <c r="G2032" i="1"/>
  <c r="J2032" i="1" s="1"/>
  <c r="G2033" i="1"/>
  <c r="G2034" i="1"/>
  <c r="G2035" i="1"/>
  <c r="G2036" i="1"/>
  <c r="J2036" i="1" s="1"/>
  <c r="G2037" i="1"/>
  <c r="J2037" i="1" s="1"/>
  <c r="G2038" i="1"/>
  <c r="J2038" i="1" s="1"/>
  <c r="G2039" i="1"/>
  <c r="G2040" i="1"/>
  <c r="G2041" i="1"/>
  <c r="J2041" i="1" s="1"/>
  <c r="G2042" i="1"/>
  <c r="J2042" i="1" s="1"/>
  <c r="G2043" i="1"/>
  <c r="J2043" i="1" s="1"/>
  <c r="G2044" i="1"/>
  <c r="J2044" i="1" s="1"/>
  <c r="G2045" i="1"/>
  <c r="G2046" i="1"/>
  <c r="G2047" i="1"/>
  <c r="G2048" i="1"/>
  <c r="J2048" i="1" s="1"/>
  <c r="G2049" i="1"/>
  <c r="J2049" i="1" s="1"/>
  <c r="G2050" i="1"/>
  <c r="J2050" i="1" s="1"/>
  <c r="G2051" i="1"/>
  <c r="J2051" i="1" s="1"/>
  <c r="G2052" i="1"/>
  <c r="J2052" i="1" s="1"/>
  <c r="G2053" i="1"/>
  <c r="G2054" i="1"/>
  <c r="G2055" i="1"/>
  <c r="J2055" i="1" s="1"/>
  <c r="G2056" i="1"/>
  <c r="J2056" i="1" s="1"/>
  <c r="G2057" i="1"/>
  <c r="J2057" i="1" s="1"/>
  <c r="G2058" i="1"/>
  <c r="J2058" i="1" s="1"/>
  <c r="G2059" i="1"/>
  <c r="J2059" i="1" s="1"/>
  <c r="G2060" i="1"/>
  <c r="J2060" i="1" s="1"/>
  <c r="G2061" i="1"/>
  <c r="J2061" i="1" s="1"/>
  <c r="G2062" i="1"/>
  <c r="J2062" i="1" s="1"/>
  <c r="G2063" i="1"/>
  <c r="J2063" i="1" s="1"/>
  <c r="G2064" i="1"/>
  <c r="J2064" i="1" s="1"/>
  <c r="G2065" i="1"/>
  <c r="J2065" i="1" s="1"/>
  <c r="G2066" i="1"/>
  <c r="J2066" i="1" s="1"/>
  <c r="G2067" i="1"/>
  <c r="J2067" i="1" s="1"/>
  <c r="G2068" i="1"/>
  <c r="J2068" i="1" s="1"/>
  <c r="G2069" i="1"/>
  <c r="G2070" i="1"/>
  <c r="G2071" i="1"/>
  <c r="G2072" i="1"/>
  <c r="J2072" i="1" s="1"/>
  <c r="G2073" i="1"/>
  <c r="J2073" i="1" s="1"/>
  <c r="G2074" i="1"/>
  <c r="J2074" i="1" s="1"/>
  <c r="G2075" i="1"/>
  <c r="J2075" i="1" s="1"/>
  <c r="G2076" i="1"/>
  <c r="J2076" i="1" s="1"/>
  <c r="G2077" i="1"/>
  <c r="J2077" i="1" s="1"/>
  <c r="G2078" i="1"/>
  <c r="J2078" i="1" s="1"/>
  <c r="G2079" i="1"/>
  <c r="J2079" i="1" s="1"/>
  <c r="G2080" i="1"/>
  <c r="J2080" i="1" s="1"/>
  <c r="G2081" i="1"/>
  <c r="G2082" i="1"/>
  <c r="G2083" i="1"/>
  <c r="G2084" i="1"/>
  <c r="J2084" i="1" s="1"/>
  <c r="G2085" i="1"/>
  <c r="J2085" i="1" s="1"/>
  <c r="G2086" i="1"/>
  <c r="J2086" i="1" s="1"/>
  <c r="G2087" i="1"/>
  <c r="G2088" i="1"/>
  <c r="G2089" i="1"/>
  <c r="G2090" i="1"/>
  <c r="J2090" i="1" s="1"/>
  <c r="G2091" i="1"/>
  <c r="J2091" i="1" s="1"/>
  <c r="G2092" i="1"/>
  <c r="J2092" i="1" s="1"/>
  <c r="G2093" i="1"/>
  <c r="G2094" i="1"/>
  <c r="G2095" i="1"/>
  <c r="G2096" i="1"/>
  <c r="J2096" i="1" s="1"/>
  <c r="G2097" i="1"/>
  <c r="J2097" i="1" s="1"/>
  <c r="G2098" i="1"/>
  <c r="J2098" i="1" s="1"/>
  <c r="G2099" i="1"/>
  <c r="J2099" i="1" s="1"/>
  <c r="G2100" i="1"/>
  <c r="J2100" i="1" s="1"/>
  <c r="G2101" i="1"/>
  <c r="J2101" i="1" s="1"/>
  <c r="G2" i="1"/>
  <c r="J2" i="1" s="1"/>
  <c r="G2102" i="1" l="1"/>
  <c r="J4" i="1"/>
  <c r="J934" i="1"/>
</calcChain>
</file>

<file path=xl/sharedStrings.xml><?xml version="1.0" encoding="utf-8"?>
<sst xmlns="http://schemas.openxmlformats.org/spreadsheetml/2006/main" count="23164" uniqueCount="124">
  <si>
    <t>Date</t>
  </si>
  <si>
    <t>Product Name</t>
  </si>
  <si>
    <t>Category</t>
  </si>
  <si>
    <t>Variant</t>
  </si>
  <si>
    <t>Qty Sold</t>
  </si>
  <si>
    <t>Unit Price</t>
  </si>
  <si>
    <t>Total Sale</t>
  </si>
  <si>
    <t>Cost Price</t>
  </si>
  <si>
    <t>Total Cost</t>
  </si>
  <si>
    <t>Profit/Loss</t>
  </si>
  <si>
    <t>Buyer Type</t>
  </si>
  <si>
    <t>Sales Channel</t>
  </si>
  <si>
    <t>Payment Method</t>
  </si>
  <si>
    <t>Delivery Status</t>
  </si>
  <si>
    <t>Stock In</t>
  </si>
  <si>
    <t>Stock Out</t>
  </si>
  <si>
    <t>Branch City</t>
  </si>
  <si>
    <t>Branch State</t>
  </si>
  <si>
    <t>Delivery Zone Area</t>
  </si>
  <si>
    <t>Year</t>
  </si>
  <si>
    <t>Month</t>
  </si>
  <si>
    <t>Takeaway Box</t>
  </si>
  <si>
    <t>Takeaway Boxes</t>
  </si>
  <si>
    <t>Large</t>
  </si>
  <si>
    <t>Online</t>
  </si>
  <si>
    <t>3rd Party</t>
  </si>
  <si>
    <t>UPI</t>
  </si>
  <si>
    <t>Delayed</t>
  </si>
  <si>
    <t>Surat</t>
  </si>
  <si>
    <t>Gujarat</t>
  </si>
  <si>
    <t>West Surat</t>
  </si>
  <si>
    <t>January</t>
  </si>
  <si>
    <t>Glass Bottle</t>
  </si>
  <si>
    <t>Glass &amp; Bottles</t>
  </si>
  <si>
    <t>750ml</t>
  </si>
  <si>
    <t>Distributor</t>
  </si>
  <si>
    <t>Phone</t>
  </si>
  <si>
    <t>Cash</t>
  </si>
  <si>
    <t>Returned</t>
  </si>
  <si>
    <t>Kolkata</t>
  </si>
  <si>
    <t>West Bengal</t>
  </si>
  <si>
    <t>North Kolkata</t>
  </si>
  <si>
    <t>Walk-in</t>
  </si>
  <si>
    <t>Delivered</t>
  </si>
  <si>
    <t>Mumbai</t>
  </si>
  <si>
    <t>Maharashtra</t>
  </si>
  <si>
    <t>Central Mumbai</t>
  </si>
  <si>
    <t>April</t>
  </si>
  <si>
    <t>Mop Set</t>
  </si>
  <si>
    <t>Housekeeping Items</t>
  </si>
  <si>
    <t>Standard</t>
  </si>
  <si>
    <t>Nagpur</t>
  </si>
  <si>
    <t>Central Nagpur</t>
  </si>
  <si>
    <t>September</t>
  </si>
  <si>
    <t>Lucknow</t>
  </si>
  <si>
    <t>Uttar Pradesh</t>
  </si>
  <si>
    <t>Central Lucknow</t>
  </si>
  <si>
    <t>May</t>
  </si>
  <si>
    <t>Plastic Container</t>
  </si>
  <si>
    <t>Containers</t>
  </si>
  <si>
    <t>1L</t>
  </si>
  <si>
    <t>Credit</t>
  </si>
  <si>
    <t>July</t>
  </si>
  <si>
    <t>App</t>
  </si>
  <si>
    <t>Ahmedabad</t>
  </si>
  <si>
    <t>North Ahmedabad</t>
  </si>
  <si>
    <t>February</t>
  </si>
  <si>
    <t>Bhopal</t>
  </si>
  <si>
    <t>Madhya Pradesh</t>
  </si>
  <si>
    <t>West Bhopal</t>
  </si>
  <si>
    <t>Bengaluru</t>
  </si>
  <si>
    <t>Karnataka</t>
  </si>
  <si>
    <t>East Bengaluru</t>
  </si>
  <si>
    <t>Warehouse</t>
  </si>
  <si>
    <t>Coimbatore</t>
  </si>
  <si>
    <t>Tamil Nadu</t>
  </si>
  <si>
    <t>North Coimbatore</t>
  </si>
  <si>
    <t>Guwahati</t>
  </si>
  <si>
    <t>Assam</t>
  </si>
  <si>
    <t>Central Guwahati</t>
  </si>
  <si>
    <t>Paper Bowl</t>
  </si>
  <si>
    <t>Plates &amp; Bowls</t>
  </si>
  <si>
    <t>500ml</t>
  </si>
  <si>
    <t>Chandigarh</t>
  </si>
  <si>
    <t>Punjab</t>
  </si>
  <si>
    <t>General Delivery Zone</t>
  </si>
  <si>
    <t>March</t>
  </si>
  <si>
    <t>Patna</t>
  </si>
  <si>
    <t>Bihar</t>
  </si>
  <si>
    <t>South Patna</t>
  </si>
  <si>
    <t>Noida</t>
  </si>
  <si>
    <t>June</t>
  </si>
  <si>
    <t>Pune</t>
  </si>
  <si>
    <t>East Pune</t>
  </si>
  <si>
    <t>Chennai</t>
  </si>
  <si>
    <t>Central Chennai</t>
  </si>
  <si>
    <t>October</t>
  </si>
  <si>
    <t>August</t>
  </si>
  <si>
    <t>Wooden Cutlery Set</t>
  </si>
  <si>
    <t>Cutlery</t>
  </si>
  <si>
    <t>3pcs</t>
  </si>
  <si>
    <t>Delhi</t>
  </si>
  <si>
    <t>South Delhi</t>
  </si>
  <si>
    <t>Indore</t>
  </si>
  <si>
    <t>East Indore</t>
  </si>
  <si>
    <t>November</t>
  </si>
  <si>
    <t>Hyderabad</t>
  </si>
  <si>
    <t>Telangana</t>
  </si>
  <si>
    <t>West Hyderabad</t>
  </si>
  <si>
    <t>December</t>
  </si>
  <si>
    <t>Jaipur</t>
  </si>
  <si>
    <t>Rajasthan</t>
  </si>
  <si>
    <t>North Jaipur</t>
  </si>
  <si>
    <t>Ranchi</t>
  </si>
  <si>
    <t>Jharkhand</t>
  </si>
  <si>
    <t>East Ranchi</t>
  </si>
  <si>
    <t xml:space="preserve"> </t>
  </si>
  <si>
    <t>Column1</t>
  </si>
  <si>
    <t>Row Labels</t>
  </si>
  <si>
    <t>Grand Total</t>
  </si>
  <si>
    <t>Sum of Total Sale</t>
  </si>
  <si>
    <t>Sum of Profit/Loss</t>
  </si>
  <si>
    <t>Column Labels</t>
  </si>
  <si>
    <t>Sum of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</si>
</sst>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7"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NumberFormat="1"/>
    <xf numFmtId="0" fontId="0" fillId="3" borderId="0" xfId="0" applyFill="1"/>
  </cellXfs>
  <cellStyles count="1">
    <cellStyle name="Normal" xfId="0" builtinId="0"/>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Dashboard.xlsx]pivot table!PivotTable5</c:name>
    <c:fmtId val="2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46559310945669"/>
          <c:y val="0.23338202923225568"/>
          <c:w val="0.68981564037424981"/>
          <c:h val="0.48437203819830593"/>
        </c:manualLayout>
      </c:layout>
      <c:bar3DChart>
        <c:barDir val="col"/>
        <c:grouping val="stacked"/>
        <c:varyColors val="0"/>
        <c:ser>
          <c:idx val="0"/>
          <c:order val="0"/>
          <c:tx>
            <c:strRef>
              <c:f>'pivot table'!$C$10</c:f>
              <c:strCache>
                <c:ptCount val="1"/>
                <c:pt idx="0">
                  <c:v>Sum of Total Sale</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table'!$B$11:$B$15</c:f>
              <c:strCache>
                <c:ptCount val="4"/>
                <c:pt idx="0">
                  <c:v>July</c:v>
                </c:pt>
                <c:pt idx="1">
                  <c:v>September</c:v>
                </c:pt>
                <c:pt idx="2">
                  <c:v>November</c:v>
                </c:pt>
                <c:pt idx="3">
                  <c:v>December</c:v>
                </c:pt>
              </c:strCache>
            </c:strRef>
          </c:cat>
          <c:val>
            <c:numRef>
              <c:f>'pivot table'!$C$11:$C$15</c:f>
              <c:numCache>
                <c:formatCode>General</c:formatCode>
                <c:ptCount val="4"/>
                <c:pt idx="0">
                  <c:v>8900</c:v>
                </c:pt>
                <c:pt idx="1">
                  <c:v>4480</c:v>
                </c:pt>
                <c:pt idx="2">
                  <c:v>8500</c:v>
                </c:pt>
                <c:pt idx="3">
                  <c:v>800</c:v>
                </c:pt>
              </c:numCache>
            </c:numRef>
          </c:val>
          <c:extLst>
            <c:ext xmlns:c16="http://schemas.microsoft.com/office/drawing/2014/chart" uri="{C3380CC4-5D6E-409C-BE32-E72D297353CC}">
              <c16:uniqueId val="{00000000-D6C5-489B-A1FF-8141E986BEAE}"/>
            </c:ext>
          </c:extLst>
        </c:ser>
        <c:ser>
          <c:idx val="1"/>
          <c:order val="1"/>
          <c:tx>
            <c:strRef>
              <c:f>'pivot table'!$D$10</c:f>
              <c:strCache>
                <c:ptCount val="1"/>
                <c:pt idx="0">
                  <c:v>Sum of Profit/Loss</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table'!$B$11:$B$15</c:f>
              <c:strCache>
                <c:ptCount val="4"/>
                <c:pt idx="0">
                  <c:v>July</c:v>
                </c:pt>
                <c:pt idx="1">
                  <c:v>September</c:v>
                </c:pt>
                <c:pt idx="2">
                  <c:v>November</c:v>
                </c:pt>
                <c:pt idx="3">
                  <c:v>December</c:v>
                </c:pt>
              </c:strCache>
            </c:strRef>
          </c:cat>
          <c:val>
            <c:numRef>
              <c:f>'pivot table'!$D$11:$D$15</c:f>
              <c:numCache>
                <c:formatCode>General</c:formatCode>
                <c:ptCount val="4"/>
                <c:pt idx="0">
                  <c:v>3560</c:v>
                </c:pt>
                <c:pt idx="1">
                  <c:v>1792</c:v>
                </c:pt>
                <c:pt idx="2">
                  <c:v>3400</c:v>
                </c:pt>
                <c:pt idx="3">
                  <c:v>320</c:v>
                </c:pt>
              </c:numCache>
            </c:numRef>
          </c:val>
          <c:extLst>
            <c:ext xmlns:c16="http://schemas.microsoft.com/office/drawing/2014/chart" uri="{C3380CC4-5D6E-409C-BE32-E72D297353CC}">
              <c16:uniqueId val="{00000001-D6C5-489B-A1FF-8141E986BEAE}"/>
            </c:ext>
          </c:extLst>
        </c:ser>
        <c:dLbls>
          <c:showLegendKey val="0"/>
          <c:showVal val="1"/>
          <c:showCatName val="0"/>
          <c:showSerName val="0"/>
          <c:showPercent val="0"/>
          <c:showBubbleSize val="0"/>
        </c:dLbls>
        <c:gapWidth val="150"/>
        <c:shape val="box"/>
        <c:axId val="1101482368"/>
        <c:axId val="1101485248"/>
        <c:axId val="0"/>
      </c:bar3DChart>
      <c:catAx>
        <c:axId val="1101482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485248"/>
        <c:crosses val="autoZero"/>
        <c:auto val="1"/>
        <c:lblAlgn val="ctr"/>
        <c:lblOffset val="100"/>
        <c:noMultiLvlLbl val="0"/>
      </c:catAx>
      <c:valAx>
        <c:axId val="11014852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48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Dashboard.xlsx]pivot table!PivotTable7</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2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06084351385996"/>
          <c:y val="0.43974347598907654"/>
          <c:w val="0.66578399896685303"/>
          <c:h val="0.22167871943821557"/>
        </c:manualLayout>
      </c:layout>
      <c:pie3DChart>
        <c:varyColors val="1"/>
        <c:ser>
          <c:idx val="0"/>
          <c:order val="0"/>
          <c:tx>
            <c:strRef>
              <c:f>'pivot table'!$C$18</c:f>
              <c:strCache>
                <c:ptCount val="1"/>
                <c:pt idx="0">
                  <c:v>Sum of Total Sale</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1-32B9-4F35-8F2D-EB60FFCCF672}"/>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3-32B9-4F35-8F2D-EB60FFCCF672}"/>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5-E25E-4C24-9FAE-593908F64F7D}"/>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table'!$B$19:$B$23</c:f>
              <c:strCache>
                <c:ptCount val="4"/>
                <c:pt idx="0">
                  <c:v>2020</c:v>
                </c:pt>
                <c:pt idx="1">
                  <c:v>2021</c:v>
                </c:pt>
                <c:pt idx="2">
                  <c:v>2022</c:v>
                </c:pt>
                <c:pt idx="3">
                  <c:v>2023</c:v>
                </c:pt>
              </c:strCache>
            </c:strRef>
          </c:cat>
          <c:val>
            <c:numRef>
              <c:f>'pivot table'!$C$19:$C$23</c:f>
              <c:numCache>
                <c:formatCode>General</c:formatCode>
                <c:ptCount val="4"/>
                <c:pt idx="0">
                  <c:v>12980</c:v>
                </c:pt>
                <c:pt idx="1">
                  <c:v>800</c:v>
                </c:pt>
                <c:pt idx="2">
                  <c:v>5220</c:v>
                </c:pt>
                <c:pt idx="3">
                  <c:v>3680</c:v>
                </c:pt>
              </c:numCache>
            </c:numRef>
          </c:val>
          <c:extLst>
            <c:ext xmlns:c16="http://schemas.microsoft.com/office/drawing/2014/chart" uri="{C3380CC4-5D6E-409C-BE32-E72D297353CC}">
              <c16:uniqueId val="{00000004-32B9-4F35-8F2D-EB60FFCCF672}"/>
            </c:ext>
          </c:extLst>
        </c:ser>
        <c:ser>
          <c:idx val="1"/>
          <c:order val="1"/>
          <c:tx>
            <c:strRef>
              <c:f>'pivot table'!$D$18</c:f>
              <c:strCache>
                <c:ptCount val="1"/>
                <c:pt idx="0">
                  <c:v>Sum of Profit/Loss</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6-32B9-4F35-8F2D-EB60FFCCF672}"/>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8-32B9-4F35-8F2D-EB60FFCCF672}"/>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B-E25E-4C24-9FAE-593908F64F7D}"/>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table'!$B$19:$B$23</c:f>
              <c:strCache>
                <c:ptCount val="4"/>
                <c:pt idx="0">
                  <c:v>2020</c:v>
                </c:pt>
                <c:pt idx="1">
                  <c:v>2021</c:v>
                </c:pt>
                <c:pt idx="2">
                  <c:v>2022</c:v>
                </c:pt>
                <c:pt idx="3">
                  <c:v>2023</c:v>
                </c:pt>
              </c:strCache>
            </c:strRef>
          </c:cat>
          <c:val>
            <c:numRef>
              <c:f>'pivot table'!$D$19:$D$23</c:f>
              <c:numCache>
                <c:formatCode>General</c:formatCode>
                <c:ptCount val="4"/>
                <c:pt idx="0">
                  <c:v>5192</c:v>
                </c:pt>
                <c:pt idx="1">
                  <c:v>320</c:v>
                </c:pt>
                <c:pt idx="2">
                  <c:v>2088</c:v>
                </c:pt>
                <c:pt idx="3">
                  <c:v>1472</c:v>
                </c:pt>
              </c:numCache>
            </c:numRef>
          </c:val>
          <c:extLst>
            <c:ext xmlns:c16="http://schemas.microsoft.com/office/drawing/2014/chart" uri="{C3380CC4-5D6E-409C-BE32-E72D297353CC}">
              <c16:uniqueId val="{00000009-32B9-4F35-8F2D-EB60FFCCF672}"/>
            </c:ext>
          </c:extLst>
        </c:ser>
        <c:ser>
          <c:idx val="2"/>
          <c:order val="2"/>
          <c:tx>
            <c:strRef>
              <c:f>'pivot table'!$E$18</c:f>
              <c:strCache>
                <c:ptCount val="1"/>
                <c:pt idx="0">
                  <c:v>Sum of Qty Sold</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B-32B9-4F35-8F2D-EB60FFCCF672}"/>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D-32B9-4F35-8F2D-EB60FFCCF672}"/>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11-E25E-4C24-9FAE-593908F64F7D}"/>
              </c:ext>
            </c:extLst>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table'!$B$19:$B$23</c:f>
              <c:strCache>
                <c:ptCount val="4"/>
                <c:pt idx="0">
                  <c:v>2020</c:v>
                </c:pt>
                <c:pt idx="1">
                  <c:v>2021</c:v>
                </c:pt>
                <c:pt idx="2">
                  <c:v>2022</c:v>
                </c:pt>
                <c:pt idx="3">
                  <c:v>2023</c:v>
                </c:pt>
              </c:strCache>
            </c:strRef>
          </c:cat>
          <c:val>
            <c:numRef>
              <c:f>'pivot table'!$E$19:$E$23</c:f>
              <c:numCache>
                <c:formatCode>General</c:formatCode>
                <c:ptCount val="4"/>
                <c:pt idx="0">
                  <c:v>649</c:v>
                </c:pt>
                <c:pt idx="1">
                  <c:v>40</c:v>
                </c:pt>
                <c:pt idx="2">
                  <c:v>261</c:v>
                </c:pt>
                <c:pt idx="3">
                  <c:v>184</c:v>
                </c:pt>
              </c:numCache>
            </c:numRef>
          </c:val>
          <c:extLst>
            <c:ext xmlns:c16="http://schemas.microsoft.com/office/drawing/2014/chart" uri="{C3380CC4-5D6E-409C-BE32-E72D297353CC}">
              <c16:uniqueId val="{0000000E-32B9-4F35-8F2D-EB60FFCCF672}"/>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Dashboard.xlsx]pivot table!PivotTable10</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Sum of Profit/Loss</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trendline>
            <c:spPr>
              <a:ln w="19050" cap="rnd">
                <a:solidFill>
                  <a:schemeClr val="accent1"/>
                </a:solidFill>
              </a:ln>
              <a:effectLst/>
            </c:spPr>
            <c:trendlineType val="linear"/>
            <c:dispRSqr val="0"/>
            <c:dispEq val="0"/>
          </c:trendline>
          <c:cat>
            <c:strRef>
              <c:f>'pivot table'!$G$5:$G$10</c:f>
              <c:strCache>
                <c:ptCount val="5"/>
                <c:pt idx="0">
                  <c:v>Ahmedabad</c:v>
                </c:pt>
                <c:pt idx="1">
                  <c:v>Bhopal</c:v>
                </c:pt>
                <c:pt idx="2">
                  <c:v>Patna</c:v>
                </c:pt>
                <c:pt idx="3">
                  <c:v>Pune</c:v>
                </c:pt>
                <c:pt idx="4">
                  <c:v>Ranchi</c:v>
                </c:pt>
              </c:strCache>
            </c:strRef>
          </c:cat>
          <c:val>
            <c:numRef>
              <c:f>'pivot table'!$H$5:$H$10</c:f>
              <c:numCache>
                <c:formatCode>General</c:formatCode>
                <c:ptCount val="5"/>
                <c:pt idx="0">
                  <c:v>2088</c:v>
                </c:pt>
                <c:pt idx="1">
                  <c:v>3400</c:v>
                </c:pt>
                <c:pt idx="2">
                  <c:v>1792</c:v>
                </c:pt>
                <c:pt idx="3">
                  <c:v>320</c:v>
                </c:pt>
                <c:pt idx="4">
                  <c:v>1472</c:v>
                </c:pt>
              </c:numCache>
            </c:numRef>
          </c:val>
          <c:extLst>
            <c:ext xmlns:c16="http://schemas.microsoft.com/office/drawing/2014/chart" uri="{C3380CC4-5D6E-409C-BE32-E72D297353CC}">
              <c16:uniqueId val="{00000001-0B23-41BC-89ED-8D6D34F76EDF}"/>
            </c:ext>
          </c:extLst>
        </c:ser>
        <c:dLbls>
          <c:showLegendKey val="0"/>
          <c:showVal val="0"/>
          <c:showCatName val="0"/>
          <c:showSerName val="0"/>
          <c:showPercent val="0"/>
          <c:showBubbleSize val="0"/>
        </c:dLbls>
        <c:gapWidth val="150"/>
        <c:axId val="1101477568"/>
        <c:axId val="1101483808"/>
      </c:barChart>
      <c:lineChart>
        <c:grouping val="standard"/>
        <c:varyColors val="0"/>
        <c:ser>
          <c:idx val="1"/>
          <c:order val="1"/>
          <c:tx>
            <c:strRef>
              <c:f>'pivot table'!$I$4</c:f>
              <c:strCache>
                <c:ptCount val="1"/>
                <c:pt idx="0">
                  <c:v>Sum of Qty Sold</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cat>
            <c:strRef>
              <c:f>'pivot table'!$G$5:$G$10</c:f>
              <c:strCache>
                <c:ptCount val="5"/>
                <c:pt idx="0">
                  <c:v>Ahmedabad</c:v>
                </c:pt>
                <c:pt idx="1">
                  <c:v>Bhopal</c:v>
                </c:pt>
                <c:pt idx="2">
                  <c:v>Patna</c:v>
                </c:pt>
                <c:pt idx="3">
                  <c:v>Pune</c:v>
                </c:pt>
                <c:pt idx="4">
                  <c:v>Ranchi</c:v>
                </c:pt>
              </c:strCache>
            </c:strRef>
          </c:cat>
          <c:val>
            <c:numRef>
              <c:f>'pivot table'!$I$5:$I$10</c:f>
              <c:numCache>
                <c:formatCode>General</c:formatCode>
                <c:ptCount val="5"/>
                <c:pt idx="0">
                  <c:v>261</c:v>
                </c:pt>
                <c:pt idx="1">
                  <c:v>425</c:v>
                </c:pt>
                <c:pt idx="2">
                  <c:v>224</c:v>
                </c:pt>
                <c:pt idx="3">
                  <c:v>40</c:v>
                </c:pt>
                <c:pt idx="4">
                  <c:v>184</c:v>
                </c:pt>
              </c:numCache>
            </c:numRef>
          </c:val>
          <c:smooth val="0"/>
          <c:extLst>
            <c:ext xmlns:c16="http://schemas.microsoft.com/office/drawing/2014/chart" uri="{C3380CC4-5D6E-409C-BE32-E72D297353CC}">
              <c16:uniqueId val="{00000002-0B23-41BC-89ED-8D6D34F76EDF}"/>
            </c:ext>
          </c:extLst>
        </c:ser>
        <c:dLbls>
          <c:showLegendKey val="0"/>
          <c:showVal val="0"/>
          <c:showCatName val="0"/>
          <c:showSerName val="0"/>
          <c:showPercent val="0"/>
          <c:showBubbleSize val="0"/>
        </c:dLbls>
        <c:marker val="1"/>
        <c:smooth val="0"/>
        <c:axId val="1101476128"/>
        <c:axId val="1101484768"/>
      </c:lineChart>
      <c:catAx>
        <c:axId val="11014775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483808"/>
        <c:crosses val="autoZero"/>
        <c:auto val="1"/>
        <c:lblAlgn val="ctr"/>
        <c:lblOffset val="100"/>
        <c:noMultiLvlLbl val="0"/>
      </c:catAx>
      <c:valAx>
        <c:axId val="1101483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477568"/>
        <c:crosses val="autoZero"/>
        <c:crossBetween val="between"/>
      </c:valAx>
      <c:valAx>
        <c:axId val="11014847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1476128"/>
        <c:crosses val="max"/>
        <c:crossBetween val="between"/>
      </c:valAx>
      <c:catAx>
        <c:axId val="1101476128"/>
        <c:scaling>
          <c:orientation val="minMax"/>
        </c:scaling>
        <c:delete val="1"/>
        <c:axPos val="b"/>
        <c:numFmt formatCode="General" sourceLinked="1"/>
        <c:majorTickMark val="none"/>
        <c:minorTickMark val="none"/>
        <c:tickLblPos val="nextTo"/>
        <c:crossAx val="1101484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Profitability Dashboard.xlsx]pivot table!PivotTable8</c:name>
    <c:fmtId val="11"/>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table'!$H$13:$H$14</c:f>
              <c:strCache>
                <c:ptCount val="1"/>
                <c:pt idx="0">
                  <c:v>2020</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multiLvlStrRef>
              <c:f>'pivot table'!$G$15:$G$25</c:f>
              <c:multiLvlStrCache>
                <c:ptCount val="5"/>
                <c:lvl>
                  <c:pt idx="0">
                    <c:v>Patna</c:v>
                  </c:pt>
                  <c:pt idx="1">
                    <c:v>Ahmedabad</c:v>
                  </c:pt>
                  <c:pt idx="2">
                    <c:v>Ranchi</c:v>
                  </c:pt>
                  <c:pt idx="3">
                    <c:v>Bhopal</c:v>
                  </c:pt>
                  <c:pt idx="4">
                    <c:v>Pune</c:v>
                  </c:pt>
                </c:lvl>
                <c:lvl>
                  <c:pt idx="0">
                    <c:v>Bihar</c:v>
                  </c:pt>
                  <c:pt idx="1">
                    <c:v>Gujarat</c:v>
                  </c:pt>
                  <c:pt idx="2">
                    <c:v>Jharkhand</c:v>
                  </c:pt>
                  <c:pt idx="3">
                    <c:v>Madhya Pradesh</c:v>
                  </c:pt>
                  <c:pt idx="4">
                    <c:v>Maharashtra</c:v>
                  </c:pt>
                </c:lvl>
              </c:multiLvlStrCache>
            </c:multiLvlStrRef>
          </c:cat>
          <c:val>
            <c:numRef>
              <c:f>'pivot table'!$H$15:$H$25</c:f>
              <c:numCache>
                <c:formatCode>General</c:formatCode>
                <c:ptCount val="5"/>
                <c:pt idx="0">
                  <c:v>1792</c:v>
                </c:pt>
                <c:pt idx="3">
                  <c:v>3400</c:v>
                </c:pt>
              </c:numCache>
            </c:numRef>
          </c:val>
          <c:extLst>
            <c:ext xmlns:c16="http://schemas.microsoft.com/office/drawing/2014/chart" uri="{C3380CC4-5D6E-409C-BE32-E72D297353CC}">
              <c16:uniqueId val="{00000000-FF66-498C-87FA-809993F573DA}"/>
            </c:ext>
          </c:extLst>
        </c:ser>
        <c:ser>
          <c:idx val="1"/>
          <c:order val="1"/>
          <c:tx>
            <c:strRef>
              <c:f>'pivot table'!$I$13:$I$14</c:f>
              <c:strCache>
                <c:ptCount val="1"/>
                <c:pt idx="0">
                  <c:v>2021</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multiLvlStrRef>
              <c:f>'pivot table'!$G$15:$G$25</c:f>
              <c:multiLvlStrCache>
                <c:ptCount val="5"/>
                <c:lvl>
                  <c:pt idx="0">
                    <c:v>Patna</c:v>
                  </c:pt>
                  <c:pt idx="1">
                    <c:v>Ahmedabad</c:v>
                  </c:pt>
                  <c:pt idx="2">
                    <c:v>Ranchi</c:v>
                  </c:pt>
                  <c:pt idx="3">
                    <c:v>Bhopal</c:v>
                  </c:pt>
                  <c:pt idx="4">
                    <c:v>Pune</c:v>
                  </c:pt>
                </c:lvl>
                <c:lvl>
                  <c:pt idx="0">
                    <c:v>Bihar</c:v>
                  </c:pt>
                  <c:pt idx="1">
                    <c:v>Gujarat</c:v>
                  </c:pt>
                  <c:pt idx="2">
                    <c:v>Jharkhand</c:v>
                  </c:pt>
                  <c:pt idx="3">
                    <c:v>Madhya Pradesh</c:v>
                  </c:pt>
                  <c:pt idx="4">
                    <c:v>Maharashtra</c:v>
                  </c:pt>
                </c:lvl>
              </c:multiLvlStrCache>
            </c:multiLvlStrRef>
          </c:cat>
          <c:val>
            <c:numRef>
              <c:f>'pivot table'!$I$15:$I$25</c:f>
              <c:numCache>
                <c:formatCode>General</c:formatCode>
                <c:ptCount val="5"/>
                <c:pt idx="4">
                  <c:v>320</c:v>
                </c:pt>
              </c:numCache>
            </c:numRef>
          </c:val>
          <c:extLst>
            <c:ext xmlns:c16="http://schemas.microsoft.com/office/drawing/2014/chart" uri="{C3380CC4-5D6E-409C-BE32-E72D297353CC}">
              <c16:uniqueId val="{00000001-A080-45F0-B7D7-9BA69A07C640}"/>
            </c:ext>
          </c:extLst>
        </c:ser>
        <c:ser>
          <c:idx val="2"/>
          <c:order val="2"/>
          <c:tx>
            <c:strRef>
              <c:f>'pivot table'!$J$13:$J$14</c:f>
              <c:strCache>
                <c:ptCount val="1"/>
                <c:pt idx="0">
                  <c:v>2022</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multiLvlStrRef>
              <c:f>'pivot table'!$G$15:$G$25</c:f>
              <c:multiLvlStrCache>
                <c:ptCount val="5"/>
                <c:lvl>
                  <c:pt idx="0">
                    <c:v>Patna</c:v>
                  </c:pt>
                  <c:pt idx="1">
                    <c:v>Ahmedabad</c:v>
                  </c:pt>
                  <c:pt idx="2">
                    <c:v>Ranchi</c:v>
                  </c:pt>
                  <c:pt idx="3">
                    <c:v>Bhopal</c:v>
                  </c:pt>
                  <c:pt idx="4">
                    <c:v>Pune</c:v>
                  </c:pt>
                </c:lvl>
                <c:lvl>
                  <c:pt idx="0">
                    <c:v>Bihar</c:v>
                  </c:pt>
                  <c:pt idx="1">
                    <c:v>Gujarat</c:v>
                  </c:pt>
                  <c:pt idx="2">
                    <c:v>Jharkhand</c:v>
                  </c:pt>
                  <c:pt idx="3">
                    <c:v>Madhya Pradesh</c:v>
                  </c:pt>
                  <c:pt idx="4">
                    <c:v>Maharashtra</c:v>
                  </c:pt>
                </c:lvl>
              </c:multiLvlStrCache>
            </c:multiLvlStrRef>
          </c:cat>
          <c:val>
            <c:numRef>
              <c:f>'pivot table'!$J$15:$J$25</c:f>
              <c:numCache>
                <c:formatCode>General</c:formatCode>
                <c:ptCount val="5"/>
                <c:pt idx="1">
                  <c:v>2088</c:v>
                </c:pt>
              </c:numCache>
            </c:numRef>
          </c:val>
          <c:extLst>
            <c:ext xmlns:c16="http://schemas.microsoft.com/office/drawing/2014/chart" uri="{C3380CC4-5D6E-409C-BE32-E72D297353CC}">
              <c16:uniqueId val="{00000002-A080-45F0-B7D7-9BA69A07C640}"/>
            </c:ext>
          </c:extLst>
        </c:ser>
        <c:ser>
          <c:idx val="3"/>
          <c:order val="3"/>
          <c:tx>
            <c:strRef>
              <c:f>'pivot table'!$K$13:$K$14</c:f>
              <c:strCache>
                <c:ptCount val="1"/>
                <c:pt idx="0">
                  <c:v>2023</c:v>
                </c:pt>
              </c:strCache>
            </c:strRef>
          </c:tx>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multiLvlStrRef>
              <c:f>'pivot table'!$G$15:$G$25</c:f>
              <c:multiLvlStrCache>
                <c:ptCount val="5"/>
                <c:lvl>
                  <c:pt idx="0">
                    <c:v>Patna</c:v>
                  </c:pt>
                  <c:pt idx="1">
                    <c:v>Ahmedabad</c:v>
                  </c:pt>
                  <c:pt idx="2">
                    <c:v>Ranchi</c:v>
                  </c:pt>
                  <c:pt idx="3">
                    <c:v>Bhopal</c:v>
                  </c:pt>
                  <c:pt idx="4">
                    <c:v>Pune</c:v>
                  </c:pt>
                </c:lvl>
                <c:lvl>
                  <c:pt idx="0">
                    <c:v>Bihar</c:v>
                  </c:pt>
                  <c:pt idx="1">
                    <c:v>Gujarat</c:v>
                  </c:pt>
                  <c:pt idx="2">
                    <c:v>Jharkhand</c:v>
                  </c:pt>
                  <c:pt idx="3">
                    <c:v>Madhya Pradesh</c:v>
                  </c:pt>
                  <c:pt idx="4">
                    <c:v>Maharashtra</c:v>
                  </c:pt>
                </c:lvl>
              </c:multiLvlStrCache>
            </c:multiLvlStrRef>
          </c:cat>
          <c:val>
            <c:numRef>
              <c:f>'pivot table'!$K$15:$K$25</c:f>
              <c:numCache>
                <c:formatCode>General</c:formatCode>
                <c:ptCount val="5"/>
                <c:pt idx="2">
                  <c:v>1472</c:v>
                </c:pt>
              </c:numCache>
            </c:numRef>
          </c:val>
          <c:extLst>
            <c:ext xmlns:c16="http://schemas.microsoft.com/office/drawing/2014/chart" uri="{C3380CC4-5D6E-409C-BE32-E72D297353CC}">
              <c16:uniqueId val="{00000003-A080-45F0-B7D7-9BA69A07C640}"/>
            </c:ext>
          </c:extLst>
        </c:ser>
        <c:dLbls>
          <c:showLegendKey val="0"/>
          <c:showVal val="0"/>
          <c:showCatName val="0"/>
          <c:showSerName val="0"/>
          <c:showPercent val="0"/>
          <c:showBubbleSize val="0"/>
        </c:dLbls>
        <c:gapWidth val="150"/>
        <c:overlap val="100"/>
        <c:axId val="1363479952"/>
        <c:axId val="1363481392"/>
      </c:barChart>
      <c:catAx>
        <c:axId val="13634799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481392"/>
        <c:crosses val="autoZero"/>
        <c:auto val="1"/>
        <c:lblAlgn val="ctr"/>
        <c:lblOffset val="100"/>
        <c:noMultiLvlLbl val="0"/>
      </c:catAx>
      <c:valAx>
        <c:axId val="136348139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34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879704</xdr:colOff>
      <xdr:row>2</xdr:row>
      <xdr:rowOff>28624</xdr:rowOff>
    </xdr:from>
    <xdr:to>
      <xdr:col>13</xdr:col>
      <xdr:colOff>452664</xdr:colOff>
      <xdr:row>13</xdr:row>
      <xdr:rowOff>42333</xdr:rowOff>
    </xdr:to>
    <mc:AlternateContent xmlns:mc="http://schemas.openxmlformats.org/markup-compatibility/2006">
      <mc:Choice xmlns:a14="http://schemas.microsoft.com/office/drawing/2010/main" Requires="a14">
        <xdr:graphicFrame macro="">
          <xdr:nvGraphicFramePr>
            <xdr:cNvPr id="25" name="Profit/Loss">
              <a:extLst>
                <a:ext uri="{FF2B5EF4-FFF2-40B4-BE49-F238E27FC236}">
                  <a16:creationId xmlns:a16="http://schemas.microsoft.com/office/drawing/2014/main" id="{F98F308B-3014-C1D7-A616-8534CCA86822}"/>
                </a:ext>
              </a:extLst>
            </xdr:cNvPr>
            <xdr:cNvGraphicFramePr/>
          </xdr:nvGraphicFramePr>
          <xdr:xfrm>
            <a:off x="0" y="0"/>
            <a:ext cx="0" cy="0"/>
          </xdr:xfrm>
          <a:graphic>
            <a:graphicData uri="http://schemas.microsoft.com/office/drawing/2010/slicer">
              <sle:slicer xmlns:sle="http://schemas.microsoft.com/office/drawing/2010/slicer" name="Profit/Loss"/>
            </a:graphicData>
          </a:graphic>
        </xdr:graphicFrame>
      </mc:Choice>
      <mc:Fallback>
        <xdr:sp macro="" textlink="">
          <xdr:nvSpPr>
            <xdr:cNvPr id="0" name=""/>
            <xdr:cNvSpPr>
              <a:spLocks noTextEdit="1"/>
            </xdr:cNvSpPr>
          </xdr:nvSpPr>
          <xdr:spPr>
            <a:xfrm>
              <a:off x="9454321" y="401157"/>
              <a:ext cx="2318276" cy="2062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914399</xdr:colOff>
      <xdr:row>14</xdr:row>
      <xdr:rowOff>33866</xdr:rowOff>
    </xdr:from>
    <xdr:to>
      <xdr:col>13</xdr:col>
      <xdr:colOff>430590</xdr:colOff>
      <xdr:row>25</xdr:row>
      <xdr:rowOff>93133</xdr:rowOff>
    </xdr:to>
    <mc:AlternateContent xmlns:mc="http://schemas.openxmlformats.org/markup-compatibility/2006">
      <mc:Choice xmlns:a14="http://schemas.microsoft.com/office/drawing/2010/main" Requires="a14">
        <xdr:graphicFrame macro="">
          <xdr:nvGraphicFramePr>
            <xdr:cNvPr id="2" name="Total Sale">
              <a:extLst>
                <a:ext uri="{FF2B5EF4-FFF2-40B4-BE49-F238E27FC236}">
                  <a16:creationId xmlns:a16="http://schemas.microsoft.com/office/drawing/2014/main" id="{36BAED08-D134-4702-B69E-9AEC661EE47A}"/>
                </a:ext>
              </a:extLst>
            </xdr:cNvPr>
            <xdr:cNvGraphicFramePr/>
          </xdr:nvGraphicFramePr>
          <xdr:xfrm>
            <a:off x="0" y="0"/>
            <a:ext cx="0" cy="0"/>
          </xdr:xfrm>
          <a:graphic>
            <a:graphicData uri="http://schemas.microsoft.com/office/drawing/2010/slicer">
              <sle:slicer xmlns:sle="http://schemas.microsoft.com/office/drawing/2010/slicer" name="Total Sale"/>
            </a:graphicData>
          </a:graphic>
        </xdr:graphicFrame>
      </mc:Choice>
      <mc:Fallback>
        <xdr:sp macro="" textlink="">
          <xdr:nvSpPr>
            <xdr:cNvPr id="0" name=""/>
            <xdr:cNvSpPr>
              <a:spLocks noTextEdit="1"/>
            </xdr:cNvSpPr>
          </xdr:nvSpPr>
          <xdr:spPr>
            <a:xfrm>
              <a:off x="9457266" y="2641599"/>
              <a:ext cx="2293257" cy="2108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568438</xdr:colOff>
      <xdr:row>1</xdr:row>
      <xdr:rowOff>94170</xdr:rowOff>
    </xdr:from>
    <xdr:to>
      <xdr:col>12</xdr:col>
      <xdr:colOff>117592</xdr:colOff>
      <xdr:row>3</xdr:row>
      <xdr:rowOff>152931</xdr:rowOff>
    </xdr:to>
    <xdr:sp macro="" textlink="">
      <xdr:nvSpPr>
        <xdr:cNvPr id="2" name="Rectangle: Rounded Corners 1">
          <a:extLst>
            <a:ext uri="{FF2B5EF4-FFF2-40B4-BE49-F238E27FC236}">
              <a16:creationId xmlns:a16="http://schemas.microsoft.com/office/drawing/2014/main" id="{4B3A1865-0263-6567-129E-657C0FD4CB5A}"/>
            </a:ext>
          </a:extLst>
        </xdr:cNvPr>
        <xdr:cNvSpPr/>
      </xdr:nvSpPr>
      <xdr:spPr>
        <a:xfrm>
          <a:off x="3014364" y="274479"/>
          <a:ext cx="4441006" cy="4193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latin typeface="+mn-lt"/>
            </a:rPr>
            <a:t>Sales Performance &amp; Profitability Dashboard</a:t>
          </a:r>
        </a:p>
      </xdr:txBody>
    </xdr:sp>
    <xdr:clientData/>
  </xdr:twoCellAnchor>
  <xdr:twoCellAnchor>
    <xdr:from>
      <xdr:col>0</xdr:col>
      <xdr:colOff>109979</xdr:colOff>
      <xdr:row>2</xdr:row>
      <xdr:rowOff>164969</xdr:rowOff>
    </xdr:from>
    <xdr:to>
      <xdr:col>3</xdr:col>
      <xdr:colOff>7855</xdr:colOff>
      <xdr:row>15</xdr:row>
      <xdr:rowOff>39279</xdr:rowOff>
    </xdr:to>
    <xdr:sp macro="" textlink="">
      <xdr:nvSpPr>
        <xdr:cNvPr id="5" name="Rectangle 4">
          <a:extLst>
            <a:ext uri="{FF2B5EF4-FFF2-40B4-BE49-F238E27FC236}">
              <a16:creationId xmlns:a16="http://schemas.microsoft.com/office/drawing/2014/main" id="{8239AFE1-8A95-2DCE-90A3-C66CBFA9DAA9}"/>
            </a:ext>
          </a:extLst>
        </xdr:cNvPr>
        <xdr:cNvSpPr/>
      </xdr:nvSpPr>
      <xdr:spPr>
        <a:xfrm>
          <a:off x="109979" y="526330"/>
          <a:ext cx="1736103" cy="222315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117835</xdr:colOff>
      <xdr:row>15</xdr:row>
      <xdr:rowOff>125692</xdr:rowOff>
    </xdr:from>
    <xdr:to>
      <xdr:col>3</xdr:col>
      <xdr:colOff>15711</xdr:colOff>
      <xdr:row>28</xdr:row>
      <xdr:rowOff>1</xdr:rowOff>
    </xdr:to>
    <xdr:sp macro="" textlink="">
      <xdr:nvSpPr>
        <xdr:cNvPr id="6" name="Rectangle 5">
          <a:extLst>
            <a:ext uri="{FF2B5EF4-FFF2-40B4-BE49-F238E27FC236}">
              <a16:creationId xmlns:a16="http://schemas.microsoft.com/office/drawing/2014/main" id="{56565A2D-AEFB-404C-8264-81041720673C}"/>
            </a:ext>
          </a:extLst>
        </xdr:cNvPr>
        <xdr:cNvSpPr/>
      </xdr:nvSpPr>
      <xdr:spPr>
        <a:xfrm>
          <a:off x="117835" y="2835898"/>
          <a:ext cx="1736103" cy="222315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201831</xdr:colOff>
      <xdr:row>0</xdr:row>
      <xdr:rowOff>149776</xdr:rowOff>
    </xdr:from>
    <xdr:to>
      <xdr:col>18</xdr:col>
      <xdr:colOff>162551</xdr:colOff>
      <xdr:row>4</xdr:row>
      <xdr:rowOff>86930</xdr:rowOff>
    </xdr:to>
    <xdr:sp macro="" textlink="">
      <xdr:nvSpPr>
        <xdr:cNvPr id="18" name="Rectangle 17">
          <a:extLst>
            <a:ext uri="{FF2B5EF4-FFF2-40B4-BE49-F238E27FC236}">
              <a16:creationId xmlns:a16="http://schemas.microsoft.com/office/drawing/2014/main" id="{290AC701-07FA-424F-B209-16A5700BE83D}"/>
            </a:ext>
          </a:extLst>
        </xdr:cNvPr>
        <xdr:cNvSpPr/>
      </xdr:nvSpPr>
      <xdr:spPr>
        <a:xfrm>
          <a:off x="8148402" y="149776"/>
          <a:ext cx="3017094" cy="674033"/>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236025</xdr:colOff>
      <xdr:row>5</xdr:row>
      <xdr:rowOff>3834</xdr:rowOff>
    </xdr:from>
    <xdr:to>
      <xdr:col>18</xdr:col>
      <xdr:colOff>170671</xdr:colOff>
      <xdr:row>8</xdr:row>
      <xdr:rowOff>37793</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BCD7747F-D509-48F8-81A4-1E883AEC291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69849" y="924933"/>
              <a:ext cx="9103767" cy="586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251382</xdr:colOff>
      <xdr:row>9</xdr:row>
      <xdr:rowOff>15712</xdr:rowOff>
    </xdr:from>
    <xdr:to>
      <xdr:col>6</xdr:col>
      <xdr:colOff>274949</xdr:colOff>
      <xdr:row>19</xdr:row>
      <xdr:rowOff>31424</xdr:rowOff>
    </xdr:to>
    <xdr:sp macro="" textlink="">
      <xdr:nvSpPr>
        <xdr:cNvPr id="20" name="Rectangle 19">
          <a:extLst>
            <a:ext uri="{FF2B5EF4-FFF2-40B4-BE49-F238E27FC236}">
              <a16:creationId xmlns:a16="http://schemas.microsoft.com/office/drawing/2014/main" id="{03B88EC1-2D42-41AC-A98E-833592792921}"/>
            </a:ext>
          </a:extLst>
        </xdr:cNvPr>
        <xdr:cNvSpPr/>
      </xdr:nvSpPr>
      <xdr:spPr>
        <a:xfrm>
          <a:off x="2089609" y="1641836"/>
          <a:ext cx="1861794" cy="1822516"/>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250864</xdr:colOff>
      <xdr:row>20</xdr:row>
      <xdr:rowOff>140365</xdr:rowOff>
    </xdr:from>
    <xdr:to>
      <xdr:col>6</xdr:col>
      <xdr:colOff>250864</xdr:colOff>
      <xdr:row>27</xdr:row>
      <xdr:rowOff>22531</xdr:rowOff>
    </xdr:to>
    <xdr:sp macro="" textlink="">
      <xdr:nvSpPr>
        <xdr:cNvPr id="21" name="Rectangle 20">
          <a:extLst>
            <a:ext uri="{FF2B5EF4-FFF2-40B4-BE49-F238E27FC236}">
              <a16:creationId xmlns:a16="http://schemas.microsoft.com/office/drawing/2014/main" id="{DB4A17C6-2A92-4D13-8EF0-79A9E05F2C71}"/>
            </a:ext>
          </a:extLst>
        </xdr:cNvPr>
        <xdr:cNvSpPr/>
      </xdr:nvSpPr>
      <xdr:spPr>
        <a:xfrm>
          <a:off x="2084688" y="3824761"/>
          <a:ext cx="1833824" cy="117170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298516</xdr:colOff>
      <xdr:row>9</xdr:row>
      <xdr:rowOff>62845</xdr:rowOff>
    </xdr:from>
    <xdr:to>
      <xdr:col>6</xdr:col>
      <xdr:colOff>219959</xdr:colOff>
      <xdr:row>18</xdr:row>
      <xdr:rowOff>172825</xdr:rowOff>
    </xdr:to>
    <mc:AlternateContent xmlns:mc="http://schemas.openxmlformats.org/markup-compatibility/2006" xmlns:a14="http://schemas.microsoft.com/office/drawing/2010/main">
      <mc:Choice Requires="a14">
        <xdr:graphicFrame macro="">
          <xdr:nvGraphicFramePr>
            <xdr:cNvPr id="22" name="Product Name">
              <a:extLst>
                <a:ext uri="{FF2B5EF4-FFF2-40B4-BE49-F238E27FC236}">
                  <a16:creationId xmlns:a16="http://schemas.microsoft.com/office/drawing/2014/main" id="{F83D88CE-A2C9-4661-9148-8E83DED485B1}"/>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132340" y="1720823"/>
              <a:ext cx="1755267" cy="1767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314227</xdr:colOff>
      <xdr:row>21</xdr:row>
      <xdr:rowOff>22013</xdr:rowOff>
    </xdr:from>
    <xdr:to>
      <xdr:col>6</xdr:col>
      <xdr:colOff>204247</xdr:colOff>
      <xdr:row>26</xdr:row>
      <xdr:rowOff>155559</xdr:rowOff>
    </xdr:to>
    <mc:AlternateContent xmlns:mc="http://schemas.openxmlformats.org/markup-compatibility/2006" xmlns:a14="http://schemas.microsoft.com/office/drawing/2010/main">
      <mc:Choice Requires="a14">
        <xdr:graphicFrame macro="">
          <xdr:nvGraphicFramePr>
            <xdr:cNvPr id="23" name="Buyer Type">
              <a:extLst>
                <a:ext uri="{FF2B5EF4-FFF2-40B4-BE49-F238E27FC236}">
                  <a16:creationId xmlns:a16="http://schemas.microsoft.com/office/drawing/2014/main" id="{5C727959-DD28-4229-ADF9-ED618991504E}"/>
                </a:ext>
              </a:extLst>
            </xdr:cNvPr>
            <xdr:cNvGraphicFramePr/>
          </xdr:nvGraphicFramePr>
          <xdr:xfrm>
            <a:off x="0" y="0"/>
            <a:ext cx="0" cy="0"/>
          </xdr:xfrm>
          <a:graphic>
            <a:graphicData uri="http://schemas.microsoft.com/office/drawing/2010/slicer">
              <sle:slicer xmlns:sle="http://schemas.microsoft.com/office/drawing/2010/slicer" name="Buyer Type"/>
            </a:graphicData>
          </a:graphic>
        </xdr:graphicFrame>
      </mc:Choice>
      <mc:Fallback xmlns="">
        <xdr:sp macro="" textlink="">
          <xdr:nvSpPr>
            <xdr:cNvPr id="0" name=""/>
            <xdr:cNvSpPr>
              <a:spLocks noTextEdit="1"/>
            </xdr:cNvSpPr>
          </xdr:nvSpPr>
          <xdr:spPr>
            <a:xfrm>
              <a:off x="2148051" y="3890628"/>
              <a:ext cx="1723844" cy="1054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294286</xdr:colOff>
      <xdr:row>2</xdr:row>
      <xdr:rowOff>144508</xdr:rowOff>
    </xdr:from>
    <xdr:to>
      <xdr:col>21</xdr:col>
      <xdr:colOff>364987</xdr:colOff>
      <xdr:row>8</xdr:row>
      <xdr:rowOff>89520</xdr:rowOff>
    </xdr:to>
    <xdr:sp macro="" textlink="">
      <xdr:nvSpPr>
        <xdr:cNvPr id="26" name="Rectangle 25">
          <a:extLst>
            <a:ext uri="{FF2B5EF4-FFF2-40B4-BE49-F238E27FC236}">
              <a16:creationId xmlns:a16="http://schemas.microsoft.com/office/drawing/2014/main" id="{EF97372B-3A75-4E8D-AC8E-13BDAF3E9A38}"/>
            </a:ext>
          </a:extLst>
        </xdr:cNvPr>
        <xdr:cNvSpPr/>
      </xdr:nvSpPr>
      <xdr:spPr>
        <a:xfrm>
          <a:off x="11297231" y="512948"/>
          <a:ext cx="1904525" cy="105033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333046</xdr:colOff>
      <xdr:row>3</xdr:row>
      <xdr:rowOff>23653</xdr:rowOff>
    </xdr:from>
    <xdr:to>
      <xdr:col>21</xdr:col>
      <xdr:colOff>324050</xdr:colOff>
      <xdr:row>8</xdr:row>
      <xdr:rowOff>47219</xdr:rowOff>
    </xdr:to>
    <mc:AlternateContent xmlns:mc="http://schemas.openxmlformats.org/markup-compatibility/2006" xmlns:a14="http://schemas.microsoft.com/office/drawing/2010/main">
      <mc:Choice Requires="a14">
        <xdr:graphicFrame macro="">
          <xdr:nvGraphicFramePr>
            <xdr:cNvPr id="24" name="Payment Method">
              <a:extLst>
                <a:ext uri="{FF2B5EF4-FFF2-40B4-BE49-F238E27FC236}">
                  <a16:creationId xmlns:a16="http://schemas.microsoft.com/office/drawing/2014/main" id="{EADACB63-ADE3-473F-BD66-73145F2CF16A}"/>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335991" y="576312"/>
              <a:ext cx="1824828" cy="944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196393</xdr:colOff>
      <xdr:row>4</xdr:row>
      <xdr:rowOff>86413</xdr:rowOff>
    </xdr:from>
    <xdr:to>
      <xdr:col>2</xdr:col>
      <xdr:colOff>518474</xdr:colOff>
      <xdr:row>26</xdr:row>
      <xdr:rowOff>7856</xdr:rowOff>
    </xdr:to>
    <mc:AlternateContent xmlns:mc="http://schemas.openxmlformats.org/markup-compatibility/2006" xmlns:a14="http://schemas.microsoft.com/office/drawing/2010/main">
      <mc:Choice Requires="a14">
        <xdr:graphicFrame macro="">
          <xdr:nvGraphicFramePr>
            <xdr:cNvPr id="27" name="Branch State">
              <a:extLst>
                <a:ext uri="{FF2B5EF4-FFF2-40B4-BE49-F238E27FC236}">
                  <a16:creationId xmlns:a16="http://schemas.microsoft.com/office/drawing/2014/main" id="{A37CCC6B-9792-4F57-ABE0-7523D9B46EB1}"/>
                </a:ext>
              </a:extLst>
            </xdr:cNvPr>
            <xdr:cNvGraphicFramePr/>
          </xdr:nvGraphicFramePr>
          <xdr:xfrm>
            <a:off x="0" y="0"/>
            <a:ext cx="0" cy="0"/>
          </xdr:xfrm>
          <a:graphic>
            <a:graphicData uri="http://schemas.microsoft.com/office/drawing/2010/slicer">
              <sle:slicer xmlns:sle="http://schemas.microsoft.com/office/drawing/2010/slicer" name="Branch State"/>
            </a:graphicData>
          </a:graphic>
        </xdr:graphicFrame>
      </mc:Choice>
      <mc:Fallback xmlns="">
        <xdr:sp macro="" textlink="">
          <xdr:nvSpPr>
            <xdr:cNvPr id="0" name=""/>
            <xdr:cNvSpPr>
              <a:spLocks noTextEdit="1"/>
            </xdr:cNvSpPr>
          </xdr:nvSpPr>
          <xdr:spPr>
            <a:xfrm>
              <a:off x="196393" y="823292"/>
              <a:ext cx="1544630" cy="3974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167473</xdr:colOff>
      <xdr:row>19</xdr:row>
      <xdr:rowOff>50329</xdr:rowOff>
    </xdr:from>
    <xdr:to>
      <xdr:col>24</xdr:col>
      <xdr:colOff>388907</xdr:colOff>
      <xdr:row>28</xdr:row>
      <xdr:rowOff>159098</xdr:rowOff>
    </xdr:to>
    <xdr:graphicFrame macro="">
      <xdr:nvGraphicFramePr>
        <xdr:cNvPr id="28" name="Chart 27">
          <a:extLst>
            <a:ext uri="{FF2B5EF4-FFF2-40B4-BE49-F238E27FC236}">
              <a16:creationId xmlns:a16="http://schemas.microsoft.com/office/drawing/2014/main" id="{5482330C-35CD-467E-8AFC-9E79C5E77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142352</xdr:colOff>
      <xdr:row>8</xdr:row>
      <xdr:rowOff>171704</xdr:rowOff>
    </xdr:from>
    <xdr:to>
      <xdr:col>24</xdr:col>
      <xdr:colOff>349101</xdr:colOff>
      <xdr:row>18</xdr:row>
      <xdr:rowOff>83736</xdr:rowOff>
    </xdr:to>
    <xdr:graphicFrame macro="">
      <xdr:nvGraphicFramePr>
        <xdr:cNvPr id="29" name="Chart 28">
          <a:extLst>
            <a:ext uri="{FF2B5EF4-FFF2-40B4-BE49-F238E27FC236}">
              <a16:creationId xmlns:a16="http://schemas.microsoft.com/office/drawing/2014/main" id="{88A278F9-964E-4BF9-AF27-D1DE6EBBE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385962</xdr:colOff>
      <xdr:row>9</xdr:row>
      <xdr:rowOff>25121</xdr:rowOff>
    </xdr:from>
    <xdr:to>
      <xdr:col>11</xdr:col>
      <xdr:colOff>569407</xdr:colOff>
      <xdr:row>28</xdr:row>
      <xdr:rowOff>125604</xdr:rowOff>
    </xdr:to>
    <xdr:graphicFrame macro="">
      <xdr:nvGraphicFramePr>
        <xdr:cNvPr id="30" name="Chart 29">
          <a:extLst>
            <a:ext uri="{FF2B5EF4-FFF2-40B4-BE49-F238E27FC236}">
              <a16:creationId xmlns:a16="http://schemas.microsoft.com/office/drawing/2014/main" id="{6611286D-532B-4B77-B50F-EE5DE6C24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249483</xdr:colOff>
      <xdr:row>1</xdr:row>
      <xdr:rowOff>30386</xdr:rowOff>
    </xdr:from>
    <xdr:to>
      <xdr:col>18</xdr:col>
      <xdr:colOff>115935</xdr:colOff>
      <xdr:row>3</xdr:row>
      <xdr:rowOff>167473</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2FE1FB30-BFB9-43FD-B043-2D55D98EC8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96054" y="214606"/>
              <a:ext cx="2922826" cy="505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83736</xdr:colOff>
      <xdr:row>9</xdr:row>
      <xdr:rowOff>25121</xdr:rowOff>
    </xdr:from>
    <xdr:to>
      <xdr:col>18</xdr:col>
      <xdr:colOff>16748</xdr:colOff>
      <xdr:row>28</xdr:row>
      <xdr:rowOff>108857</xdr:rowOff>
    </xdr:to>
    <xdr:graphicFrame macro="">
      <xdr:nvGraphicFramePr>
        <xdr:cNvPr id="32" name="Chart 31">
          <a:extLst>
            <a:ext uri="{FF2B5EF4-FFF2-40B4-BE49-F238E27FC236}">
              <a16:creationId xmlns:a16="http://schemas.microsoft.com/office/drawing/2014/main" id="{50697807-D829-41C5-9578-B31F2D48A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19</xdr:row>
      <xdr:rowOff>0</xdr:rowOff>
    </xdr:from>
    <xdr:to>
      <xdr:col>15</xdr:col>
      <xdr:colOff>533400</xdr:colOff>
      <xdr:row>20</xdr:row>
      <xdr:rowOff>7620</xdr:rowOff>
    </xdr:to>
    <xdr:pic>
      <xdr:nvPicPr>
        <xdr:cNvPr id="33" name="Picture 32">
          <a:extLst>
            <a:ext uri="{FF2B5EF4-FFF2-40B4-BE49-F238E27FC236}">
              <a16:creationId xmlns:a16="http://schemas.microsoft.com/office/drawing/2014/main" id="{D55CDDB4-D608-92E9-E958-2FF34A9C979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534400" y="3474720"/>
          <a:ext cx="1143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19</xdr:row>
      <xdr:rowOff>0</xdr:rowOff>
    </xdr:from>
    <xdr:to>
      <xdr:col>15</xdr:col>
      <xdr:colOff>533400</xdr:colOff>
      <xdr:row>20</xdr:row>
      <xdr:rowOff>7620</xdr:rowOff>
    </xdr:to>
    <xdr:pic>
      <xdr:nvPicPr>
        <xdr:cNvPr id="34" name="Picture 33">
          <a:extLst>
            <a:ext uri="{FF2B5EF4-FFF2-40B4-BE49-F238E27FC236}">
              <a16:creationId xmlns:a16="http://schemas.microsoft.com/office/drawing/2014/main" id="{1D51223C-D67B-52BD-4A80-F1198DFD7FD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534400" y="3474720"/>
          <a:ext cx="1143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561034</xdr:colOff>
      <xdr:row>1</xdr:row>
      <xdr:rowOff>125604</xdr:rowOff>
    </xdr:from>
    <xdr:to>
      <xdr:col>24</xdr:col>
      <xdr:colOff>460550</xdr:colOff>
      <xdr:row>8</xdr:row>
      <xdr:rowOff>92109</xdr:rowOff>
    </xdr:to>
    <mc:AlternateContent xmlns:mc="http://schemas.openxmlformats.org/markup-compatibility/2006" xmlns:a14="http://schemas.microsoft.com/office/drawing/2010/main">
      <mc:Choice Requires="a14">
        <xdr:graphicFrame macro="">
          <xdr:nvGraphicFramePr>
            <xdr:cNvPr id="36" name="Sales Channel">
              <a:extLst>
                <a:ext uri="{FF2B5EF4-FFF2-40B4-BE49-F238E27FC236}">
                  <a16:creationId xmlns:a16="http://schemas.microsoft.com/office/drawing/2014/main" id="{9981421E-0E52-448A-B98D-22BF7A512C38}"/>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97803" y="309824"/>
              <a:ext cx="1733340" cy="1256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5821.975117939815" createdVersion="8" refreshedVersion="8" minRefreshableVersion="3" recordCount="2100" xr:uid="{131E045D-9A72-4F0A-AF76-B19EAF40D4EA}">
  <cacheSource type="worksheet">
    <worksheetSource name="SalesDataTbl"/>
  </cacheSource>
  <cacheFields count="22">
    <cacheField name="Date" numFmtId="14">
      <sharedItems containsSemiMixedTypes="0" containsNonDate="0" containsDate="1" containsString="0" minDate="2022-01-31T00:00:00" maxDate="2027-11-01T00:00:00"/>
    </cacheField>
    <cacheField name="Product Name" numFmtId="0">
      <sharedItems count="6">
        <s v="Takeaway Box"/>
        <s v="Glass Bottle"/>
        <s v="Mop Set"/>
        <s v="Plastic Container"/>
        <s v="Paper Bowl"/>
        <s v="Wooden Cutlery Set"/>
      </sharedItems>
    </cacheField>
    <cacheField name="Category" numFmtId="0">
      <sharedItems/>
    </cacheField>
    <cacheField name="Variant" numFmtId="0">
      <sharedItems/>
    </cacheField>
    <cacheField name="Qty Sold" numFmtId="0">
      <sharedItems containsSemiMixedTypes="0" containsString="0" containsNumber="1" containsInteger="1" minValue="10" maxValue="500" count="485">
        <n v="210"/>
        <n v="196"/>
        <n v="201"/>
        <n v="55"/>
        <n v="358"/>
        <n v="202"/>
        <n v="159"/>
        <n v="175"/>
        <n v="183"/>
        <n v="375"/>
        <n v="493"/>
        <n v="389"/>
        <n v="168"/>
        <n v="382"/>
        <n v="301"/>
        <n v="369"/>
        <n v="236"/>
        <n v="399"/>
        <n v="360"/>
        <n v="86"/>
        <n v="102"/>
        <n v="229"/>
        <n v="69"/>
        <n v="310"/>
        <n v="326"/>
        <n v="431"/>
        <n v="405"/>
        <n v="408"/>
        <n v="309"/>
        <n v="295"/>
        <n v="191"/>
        <n v="340"/>
        <n v="332"/>
        <n v="264"/>
        <n v="338"/>
        <n v="134"/>
        <n v="128"/>
        <n v="247"/>
        <n v="316"/>
        <n v="443"/>
        <n v="303"/>
        <n v="71"/>
        <n v="91"/>
        <n v="418"/>
        <n v="499"/>
        <n v="20"/>
        <n v="427"/>
        <n v="58"/>
        <n v="305"/>
        <n v="258"/>
        <n v="341"/>
        <n v="472"/>
        <n v="455"/>
        <n v="153"/>
        <n v="171"/>
        <n v="241"/>
        <n v="437"/>
        <n v="434"/>
        <n v="158"/>
        <n v="387"/>
        <n v="64"/>
        <n v="398"/>
        <n v="145"/>
        <n v="428"/>
        <n v="141"/>
        <n v="52"/>
        <n v="384"/>
        <n v="47"/>
        <n v="270"/>
        <n v="372"/>
        <n v="487"/>
        <n v="63"/>
        <n v="184"/>
        <n v="90"/>
        <n v="347"/>
        <n v="35"/>
        <n v="312"/>
        <n v="272"/>
        <n v="378"/>
        <n v="13"/>
        <n v="188"/>
        <n v="271"/>
        <n v="174"/>
        <n v="468"/>
        <n v="60"/>
        <n v="194"/>
        <n v="261"/>
        <n v="495"/>
        <n v="163"/>
        <n v="107"/>
        <n v="457"/>
        <n v="222"/>
        <n v="432"/>
        <n v="429"/>
        <n v="255"/>
        <n v="231"/>
        <n v="294"/>
        <n v="230"/>
        <n v="146"/>
        <n v="374"/>
        <n v="476"/>
        <n v="152"/>
        <n v="377"/>
        <n v="57"/>
        <n v="232"/>
        <n v="317"/>
        <n v="33"/>
        <n v="104"/>
        <n v="300"/>
        <n v="356"/>
        <n v="351"/>
        <n v="251"/>
        <n v="36"/>
        <n v="329"/>
        <n v="281"/>
        <n v="140"/>
        <n v="138"/>
        <n v="440"/>
        <n v="266"/>
        <n v="257"/>
        <n v="81"/>
        <n v="22"/>
        <n v="156"/>
        <n v="430"/>
        <n v="114"/>
        <n v="216"/>
        <n v="436"/>
        <n v="87"/>
        <n v="348"/>
        <n v="488"/>
        <n v="331"/>
        <n v="390"/>
        <n v="438"/>
        <n v="453"/>
        <n v="240"/>
        <n v="147"/>
        <n v="50"/>
        <n v="82"/>
        <n v="491"/>
        <n v="195"/>
        <n v="366"/>
        <n v="19"/>
        <n v="414"/>
        <n v="117"/>
        <n v="413"/>
        <n v="200"/>
        <n v="357"/>
        <n v="489"/>
        <n v="289"/>
        <n v="160"/>
        <n v="334"/>
        <n v="166"/>
        <n v="17"/>
        <n v="324"/>
        <n v="474"/>
        <n v="291"/>
        <n v="224"/>
        <n v="190"/>
        <n v="475"/>
        <n v="239"/>
        <n v="237"/>
        <n v="268"/>
        <n v="361"/>
        <n v="311"/>
        <n v="376"/>
        <n v="25"/>
        <n v="78"/>
        <n v="253"/>
        <n v="95"/>
        <n v="127"/>
        <n v="479"/>
        <n v="352"/>
        <n v="74"/>
        <n v="246"/>
        <n v="333"/>
        <n v="462"/>
        <n v="37"/>
        <n v="339"/>
        <n v="346"/>
        <n v="39"/>
        <n v="148"/>
        <n v="323"/>
        <n v="252"/>
        <n v="197"/>
        <n v="130"/>
        <n v="43"/>
        <n v="165"/>
        <n v="320"/>
        <n v="24"/>
        <n v="40"/>
        <n v="120"/>
        <n v="425"/>
        <n v="105"/>
        <n v="93"/>
        <n v="394"/>
        <n v="411"/>
        <n v="205"/>
        <n v="162"/>
        <n v="121"/>
        <n v="400"/>
        <n v="319"/>
        <n v="186"/>
        <n v="445"/>
        <n v="337"/>
        <n v="273"/>
        <n v="254"/>
        <n v="242"/>
        <n v="454"/>
        <n v="198"/>
        <n v="407"/>
        <n v="370"/>
        <n v="85"/>
        <n v="381"/>
        <n v="143"/>
        <n v="41"/>
        <n v="490"/>
        <n v="173"/>
        <n v="441"/>
        <n v="276"/>
        <n v="223"/>
        <n v="31"/>
        <n v="80"/>
        <n v="182"/>
        <n v="403"/>
        <n v="397"/>
        <n v="458"/>
        <n v="111"/>
        <n v="396"/>
        <n v="496"/>
        <n v="136"/>
        <n v="54"/>
        <n v="177"/>
        <n v="439"/>
        <n v="417"/>
        <n v="409"/>
        <n v="395"/>
        <n v="76"/>
        <n v="124"/>
        <n v="53"/>
        <n v="412"/>
        <n v="404"/>
        <n v="274"/>
        <n v="221"/>
        <n v="262"/>
        <n v="97"/>
        <n v="256"/>
        <n v="459"/>
        <n v="497"/>
        <n v="433"/>
        <n v="169"/>
        <n v="383"/>
        <n v="426"/>
        <n v="68"/>
        <n v="21"/>
        <n v="362"/>
        <n v="486"/>
        <n v="204"/>
        <n v="103"/>
        <n v="288"/>
        <n v="467"/>
        <n v="410"/>
        <n v="187"/>
        <n v="485"/>
        <n v="185"/>
        <n v="62"/>
        <n v="446"/>
        <n v="193"/>
        <n v="419"/>
        <n v="79"/>
        <n v="483"/>
        <n v="214"/>
        <n v="363"/>
        <n v="83"/>
        <n v="11"/>
        <n v="119"/>
        <n v="401"/>
        <n v="109"/>
        <n v="421"/>
        <n v="100"/>
        <n v="211"/>
        <n v="180"/>
        <n v="233"/>
        <n v="51"/>
        <n v="364"/>
        <n v="139"/>
        <n v="115"/>
        <n v="30"/>
        <n v="131"/>
        <n v="250"/>
        <n v="133"/>
        <n v="388"/>
        <n v="112"/>
        <n v="482"/>
        <n v="15"/>
        <n v="172"/>
        <n v="386"/>
        <n v="371"/>
        <n v="304"/>
        <n v="94"/>
        <n v="72"/>
        <n v="460"/>
        <n v="126"/>
        <n v="473"/>
        <n v="98"/>
        <n v="448"/>
        <n v="343"/>
        <n v="283"/>
        <n v="353"/>
        <n v="314"/>
        <n v="330"/>
        <n v="161"/>
        <n v="321"/>
        <n v="217"/>
        <n v="113"/>
        <n v="280"/>
        <n v="122"/>
        <n v="359"/>
        <n v="84"/>
        <n v="244"/>
        <n v="263"/>
        <n v="235"/>
        <n v="49"/>
        <n v="219"/>
        <n v="46"/>
        <n v="335"/>
        <n v="213"/>
        <n v="203"/>
        <n v="424"/>
        <n v="391"/>
        <n v="484"/>
        <n v="325"/>
        <n v="73"/>
        <n v="28"/>
        <n v="226"/>
        <n v="66"/>
        <n v="498"/>
        <n v="477"/>
        <n v="61"/>
        <n v="142"/>
        <n v="259"/>
        <n v="464"/>
        <n v="207"/>
        <n v="373"/>
        <n v="308"/>
        <n v="123"/>
        <n v="181"/>
        <n v="318"/>
        <n v="164"/>
        <n v="392"/>
        <n v="277"/>
        <n v="328"/>
        <n v="292"/>
        <n v="293"/>
        <n v="344"/>
        <n v="282"/>
        <n v="42"/>
        <n v="34"/>
        <n v="209"/>
        <n v="192"/>
        <n v="238"/>
        <n v="447"/>
        <n v="110"/>
        <n v="278"/>
        <n v="199"/>
        <n v="336"/>
        <n v="75"/>
        <n v="471"/>
        <n v="106"/>
        <n v="267"/>
        <n v="500"/>
        <n v="284"/>
        <n v="23"/>
        <n v="435"/>
        <n v="132"/>
        <n v="415"/>
        <n v="245"/>
        <n v="96"/>
        <n v="144"/>
        <n v="14"/>
        <n v="355"/>
        <n v="416"/>
        <n v="206"/>
        <n v="157"/>
        <n v="248"/>
        <n v="118"/>
        <n v="290"/>
        <n v="354"/>
        <n v="170"/>
        <n v="420"/>
        <n v="442"/>
        <n v="249"/>
        <n v="478"/>
        <n v="135"/>
        <n v="456"/>
        <n v="99"/>
        <n v="77"/>
        <n v="349"/>
        <n v="466"/>
        <n v="167"/>
        <n v="92"/>
        <n v="327"/>
        <n v="286"/>
        <n v="494"/>
        <n v="350"/>
        <n v="342"/>
        <n v="480"/>
        <n v="65"/>
        <n v="59"/>
        <n v="307"/>
        <n v="402"/>
        <n v="179"/>
        <n v="243"/>
        <n v="116"/>
        <n v="70"/>
        <n v="38"/>
        <n v="313"/>
        <n v="452"/>
        <n v="265"/>
        <n v="89"/>
        <n v="101"/>
        <n v="463"/>
        <n v="481"/>
        <n v="26"/>
        <n v="367"/>
        <n v="27"/>
        <n v="137"/>
        <n v="260"/>
        <n v="393"/>
        <n v="470"/>
        <n v="302"/>
        <n v="450"/>
        <n v="380"/>
        <n v="322"/>
        <n v="29"/>
        <n v="461"/>
        <n v="155"/>
        <n v="368"/>
        <n v="176"/>
        <n v="444"/>
        <n v="279"/>
        <n v="129"/>
        <n v="215"/>
        <n v="12"/>
        <n v="379"/>
        <n v="385"/>
        <n v="423"/>
        <n v="422"/>
        <n v="220"/>
        <n v="296"/>
        <n v="178"/>
        <n v="225"/>
        <n v="10"/>
        <n v="469"/>
        <n v="212"/>
        <n v="234"/>
        <n v="406"/>
        <n v="44"/>
        <n v="285"/>
        <n v="315"/>
        <n v="227"/>
        <n v="218"/>
        <n v="88"/>
        <n v="45"/>
        <n v="451"/>
        <n v="48"/>
        <n v="228"/>
        <n v="151"/>
        <n v="150"/>
        <n v="298"/>
        <n v="492"/>
        <n v="108"/>
        <n v="149"/>
        <n v="287"/>
        <n v="299"/>
        <n v="16"/>
        <n v="18"/>
        <n v="56"/>
        <n v="125"/>
        <n v="465"/>
        <n v="297"/>
        <n v="449"/>
        <n v="275"/>
        <n v="189"/>
        <n v="269"/>
        <n v="32"/>
      </sharedItems>
    </cacheField>
    <cacheField name="Unit Price" numFmtId="0">
      <sharedItems containsSemiMixedTypes="0" containsString="0" containsNumber="1" minValue="2.5" maxValue="150" count="6">
        <n v="8"/>
        <n v="20"/>
        <n v="150"/>
        <n v="5"/>
        <n v="2.5"/>
        <n v="6"/>
      </sharedItems>
    </cacheField>
    <cacheField name="Total Sale" numFmtId="0">
      <sharedItems containsSemiMixedTypes="0" containsString="0" containsNumber="1" minValue="25" maxValue="74850" count="1303">
        <n v="1680"/>
        <n v="3920"/>
        <n v="1608"/>
        <n v="8250"/>
        <n v="53700"/>
        <n v="1010"/>
        <n v="1272"/>
        <n v="1400"/>
        <n v="3660"/>
        <n v="795"/>
        <n v="7500"/>
        <n v="1232.5"/>
        <n v="972.5"/>
        <n v="3360"/>
        <n v="955"/>
        <n v="45150"/>
        <n v="7380"/>
        <n v="1180"/>
        <n v="59850"/>
        <n v="1800"/>
        <n v="215"/>
        <n v="2040"/>
        <n v="1145"/>
        <n v="414"/>
        <n v="775"/>
        <n v="1956"/>
        <n v="2586"/>
        <n v="3240"/>
        <n v="2448"/>
        <n v="2472"/>
        <n v="2360"/>
        <n v="28650"/>
        <n v="51000"/>
        <n v="830"/>
        <n v="39600"/>
        <n v="6760"/>
        <n v="335"/>
        <n v="320"/>
        <n v="4940"/>
        <n v="47400"/>
        <n v="1107.5"/>
        <n v="45450"/>
        <n v="426"/>
        <n v="546"/>
        <n v="2508"/>
        <n v="3992"/>
        <n v="100"/>
        <n v="612"/>
        <n v="64050"/>
        <n v="290"/>
        <n v="2440"/>
        <n v="38700"/>
        <n v="2728"/>
        <n v="2275"/>
        <n v="3060"/>
        <n v="1026"/>
        <n v="1928"/>
        <n v="2185"/>
        <n v="1085"/>
        <n v="790"/>
        <n v="1935"/>
        <n v="1280"/>
        <n v="7960"/>
        <n v="21750"/>
        <n v="1224"/>
        <n v="3424"/>
        <n v="1128"/>
        <n v="1040"/>
        <n v="57600"/>
        <n v="117.5"/>
        <n v="1350"/>
        <n v="7440"/>
        <n v="2435"/>
        <n v="948"/>
        <n v="9450"/>
        <n v="3680"/>
        <n v="540"/>
        <n v="1735"/>
        <n v="5250"/>
        <n v="225"/>
        <n v="1872"/>
        <n v="5440"/>
        <n v="1890"/>
        <n v="104"/>
        <n v="940"/>
        <n v="677.5"/>
        <n v="1044"/>
        <n v="9360"/>
        <n v="480"/>
        <n v="970"/>
        <n v="39150"/>
        <n v="1237.5"/>
        <n v="978"/>
        <n v="16050"/>
        <n v="2285"/>
        <n v="4440"/>
        <n v="3456"/>
        <n v="64350"/>
        <n v="1275"/>
        <n v="1386"/>
        <n v="735"/>
        <n v="1380"/>
        <n v="2920"/>
        <n v="1870"/>
        <n v="3808"/>
        <n v="22800"/>
        <n v="1885"/>
        <n v="8550"/>
        <n v="1856"/>
        <n v="2536"/>
        <n v="660"/>
        <n v="260"/>
        <n v="1024"/>
        <n v="6000"/>
        <n v="7120"/>
        <n v="1755"/>
        <n v="2008"/>
        <n v="216"/>
        <n v="1645"/>
        <n v="42150"/>
        <n v="21000"/>
        <n v="20700"/>
        <n v="2640"/>
        <n v="1596"/>
        <n v="2056"/>
        <n v="486"/>
        <n v="55"/>
        <n v="23400"/>
        <n v="2580"/>
        <n v="455"/>
        <n v="912"/>
        <n v="4320"/>
        <n v="3488"/>
        <n v="696"/>
        <n v="52200"/>
        <n v="1860"/>
        <n v="10350"/>
        <n v="1655"/>
        <n v="7800"/>
        <n v="4580"/>
        <n v="2628"/>
        <n v="2265"/>
        <n v="1440"/>
        <n v="2940"/>
        <n v="400"/>
        <n v="3432"/>
        <n v="492"/>
        <n v="1227.5"/>
        <n v="3900"/>
        <n v="54900"/>
        <n v="380"/>
        <n v="410"/>
        <n v="68250"/>
        <n v="1568"/>
        <n v="62100"/>
        <n v="780"/>
        <n v="292.5"/>
        <n v="3304"/>
        <n v="500"/>
        <n v="2140"/>
        <n v="7140"/>
        <n v="2934"/>
        <n v="5780"/>
        <n v="2380"/>
        <n v="8760"/>
        <n v="24000"/>
        <n v="2672"/>
        <n v="502.5"/>
        <n v="1328"/>
        <n v="136"/>
        <n v="2592"/>
        <n v="175"/>
        <n v="2844"/>
        <n v="5820"/>
        <n v="345"/>
        <n v="7640"/>
        <n v="560"/>
        <n v="1140"/>
        <n v="2375"/>
        <n v="1195"/>
        <n v="2070"/>
        <n v="35550"/>
        <n v="5360"/>
        <n v="2888"/>
        <n v="34350"/>
        <n v="777.5"/>
        <n v="525"/>
        <n v="3008"/>
        <n v="200"/>
        <n v="624"/>
        <n v="1265"/>
        <n v="760"/>
        <n v="19050"/>
        <n v="71850"/>
        <n v="300"/>
        <n v="1760"/>
        <n v="975"/>
        <n v="1480"/>
        <n v="36900"/>
        <n v="6660"/>
        <n v="2772"/>
        <n v="1446"/>
        <n v="92.5"/>
        <n v="6780"/>
        <n v="2768"/>
        <n v="2340"/>
        <n v="312"/>
        <n v="1184"/>
        <n v="1615"/>
        <n v="1512"/>
        <n v="1576"/>
        <n v="1806"/>
        <n v="325"/>
        <n v="344"/>
        <n v="652.5"/>
        <n v="412.5"/>
        <n v="1600"/>
        <n v="144"/>
        <n v="46350"/>
        <n v="800"/>
        <n v="2400"/>
        <n v="3400"/>
        <n v="262.5"/>
        <n v="465"/>
        <n v="7880"/>
        <n v="2466"/>
        <n v="1025"/>
        <n v="810"/>
        <n v="605"/>
        <n v="8000"/>
        <n v="47850"/>
        <n v="1488"/>
        <n v="8900"/>
        <n v="50550"/>
        <n v="5460"/>
        <n v="635"/>
        <n v="36300"/>
        <n v="7200"/>
        <n v="9080"/>
        <n v="9240"/>
        <n v="555"/>
        <n v="1374"/>
        <n v="1188"/>
        <n v="3072"/>
        <n v="1017.5"/>
        <n v="60"/>
        <n v="24750"/>
        <n v="925"/>
        <n v="12750"/>
        <n v="64800"/>
        <n v="57150"/>
        <n v="858"/>
        <n v="820"/>
        <n v="53400"/>
        <n v="2450"/>
        <n v="865"/>
        <n v="1102.5"/>
        <n v="827.5"/>
        <n v="41400"/>
        <n v="557.5"/>
        <n v="77.5"/>
        <n v="1164"/>
        <n v="12000"/>
        <n v="910"/>
        <n v="1095"/>
        <n v="3224"/>
        <n v="7940"/>
        <n v="2168"/>
        <n v="68700"/>
        <n v="1980"/>
        <n v="3968"/>
        <n v="360"/>
        <n v="20400"/>
        <n v="1620"/>
        <n v="246"/>
        <n v="135"/>
        <n v="59400"/>
        <n v="378"/>
        <n v="157.5"/>
        <n v="26550"/>
        <n v="3512"/>
        <n v="2085"/>
        <n v="8180"/>
        <n v="1975"/>
        <n v="62700"/>
        <n v="1705"/>
        <n v="1520"/>
        <n v="2480"/>
        <n v="7950"/>
        <n v="2060"/>
        <n v="2748"/>
        <n v="1370"/>
        <n v="680"/>
        <n v="1105"/>
        <n v="1518"/>
        <n v="655"/>
        <n v="242.5"/>
        <n v="1008"/>
        <n v="8540"/>
        <n v="1147.5"/>
        <n v="2982"/>
        <n v="3896"/>
        <n v="2165"/>
        <n v="1434"/>
        <n v="2150"/>
        <n v="1014"/>
        <n v="2370"/>
        <n v="61650"/>
        <n v="57450"/>
        <n v="1065"/>
        <n v="1944"/>
        <n v="2144"/>
        <n v="8740"/>
        <n v="170"/>
        <n v="105"/>
        <n v="1810"/>
        <n v="72900"/>
        <n v="30600"/>
        <n v="3750"/>
        <n v="1848"/>
        <n v="257.5"/>
        <n v="285"/>
        <n v="70800"/>
        <n v="504"/>
        <n v="2304"/>
        <n v="70050"/>
        <n v="3232"/>
        <n v="2460"/>
        <n v="28050"/>
        <n v="2910"/>
        <n v="1110"/>
        <n v="7020"/>
        <n v="882"/>
        <n v="2135"/>
        <n v="2608"/>
        <n v="155"/>
        <n v="66900"/>
        <n v="482.5"/>
        <n v="3352"/>
        <n v="632"/>
        <n v="7480"/>
        <n v="9660"/>
        <n v="4280"/>
        <n v="1815"/>
        <n v="498"/>
        <n v="13650"/>
        <n v="920"/>
        <n v="66"/>
        <n v="714"/>
        <n v="8020"/>
        <n v="16350"/>
        <n v="3368"/>
        <n v="700"/>
        <n v="726"/>
        <n v="435"/>
        <n v="54300"/>
        <n v="54150"/>
        <n v="1266"/>
        <n v="4000"/>
        <n v="4800"/>
        <n v="1384"/>
        <n v="27000"/>
        <n v="3740"/>
        <n v="8700"/>
        <n v="407.5"/>
        <n v="1016"/>
        <n v="1880"/>
        <n v="967.5"/>
        <n v="1695"/>
        <n v="8780"/>
        <n v="34950"/>
        <n v="5140"/>
        <n v="1020"/>
        <n v="467.5"/>
        <n v="11100"/>
        <n v="7280"/>
        <n v="1112"/>
        <n v="575"/>
        <n v="6220"/>
        <n v="3880"/>
        <n v="64650"/>
        <n v="6400"/>
        <n v="645"/>
        <n v="49650"/>
        <n v="150"/>
        <n v="618"/>
        <n v="585"/>
        <n v="3150"/>
        <n v="786"/>
        <n v="625"/>
        <n v="1038"/>
        <n v="9720"/>
        <n v="1060"/>
        <n v="1064"/>
        <n v="2112"/>
        <n v="485"/>
        <n v="3104"/>
        <n v="56550"/>
        <n v="1205"/>
        <n v="776"/>
        <n v="2250"/>
        <n v="860"/>
        <n v="5120"/>
        <n v="62550"/>
        <n v="15450"/>
        <n v="11400"/>
        <n v="63150"/>
        <n v="3088"/>
        <n v="927.5"/>
        <n v="180"/>
        <n v="935"/>
        <n v="684"/>
        <n v="1850"/>
        <n v="730"/>
        <n v="35850"/>
        <n v="69000"/>
        <n v="315"/>
        <n v="1182.5"/>
        <n v="784"/>
        <n v="1132.5"/>
        <n v="1176"/>
        <n v="67200"/>
        <n v="2744"/>
        <n v="42450"/>
        <n v="60750"/>
        <n v="475"/>
        <n v="3520"/>
        <n v="6680"/>
        <n v="882.5"/>
        <n v="102"/>
        <n v="1242.5"/>
        <n v="30300"/>
        <n v="9100"/>
        <n v="1570"/>
        <n v="1398"/>
        <n v="5850"/>
        <n v="6600"/>
        <n v="28200"/>
        <n v="3220"/>
        <n v="802.5"/>
        <n v="2704"/>
        <n v="1027.5"/>
        <n v="565"/>
        <n v="695"/>
        <n v="2568"/>
        <n v="1644"/>
        <n v="33600"/>
        <n v="2946"/>
        <n v="18300"/>
        <n v="12150"/>
        <n v="340"/>
        <n v="25200"/>
        <n v="9780"/>
        <n v="897.5"/>
        <n v="2495"/>
        <n v="570"/>
        <n v="2816"/>
        <n v="12600"/>
        <n v="3496"/>
        <n v="36600"/>
        <n v="1080"/>
        <n v="657.5"/>
        <n v="7620"/>
        <n v="990"/>
        <n v="1410"/>
        <n v="875"/>
        <n v="6240"/>
        <n v="1472"/>
        <n v="392"/>
        <n v="227.5"/>
        <n v="840"/>
        <n v="3380"/>
        <n v="1332"/>
        <n v="66150"/>
        <n v="2696"/>
        <n v="115"/>
        <n v="6700"/>
        <n v="1278"/>
        <n v="7740"/>
        <n v="2364"/>
        <n v="507.5"/>
        <n v="3392"/>
        <n v="82.5"/>
        <n v="2346"/>
        <n v="892.5"/>
        <n v="3872"/>
        <n v="28500"/>
        <n v="47550"/>
        <n v="6500"/>
        <n v="10950"/>
        <n v="3120"/>
        <n v="140"/>
        <n v="34500"/>
        <n v="1464"/>
        <n v="33900"/>
        <n v="18900"/>
        <n v="396"/>
        <n v="60450"/>
        <n v="6460"/>
        <n v="74700"/>
        <n v="71550"/>
        <n v="9340"/>
        <n v="2976"/>
        <n v="847.5"/>
        <n v="1360"/>
        <n v="12300"/>
        <n v="59550"/>
        <n v="1220"/>
        <n v="1240"/>
        <n v="21300"/>
        <n v="2552"/>
        <n v="647.5"/>
        <n v="69600"/>
        <n v="235"/>
        <n v="1242"/>
        <n v="1530"/>
        <n v="740"/>
        <n v="30000"/>
        <n v="1285"/>
        <n v="7460"/>
        <n v="3288"/>
        <n v="1082.5"/>
        <n v="46200"/>
        <n v="5880"/>
        <n v="2648"/>
        <n v="2166"/>
        <n v="18450"/>
        <n v="1086"/>
        <n v="2544"/>
        <n v="2724"/>
        <n v="2352"/>
        <n v="1662"/>
        <n v="1968"/>
        <n v="1460"/>
        <n v="1465"/>
        <n v="51600"/>
        <n v="7160"/>
        <n v="390"/>
        <n v="5100"/>
        <n v="3344"/>
        <n v="522.5"/>
        <n v="702"/>
        <n v="2010"/>
        <n v="38400"/>
        <n v="442.5"/>
        <n v="50100"/>
        <n v="1904"/>
        <n v="2682"/>
        <n v="275"/>
        <n v="5220"/>
        <n v="2020"/>
        <n v="2224"/>
        <n v="1007.5"/>
        <n v="1592"/>
        <n v="4020"/>
        <n v="50400"/>
        <n v="3656"/>
        <n v="1070"/>
        <n v="1500"/>
        <n v="2355"/>
        <n v="2634"/>
        <n v="1864"/>
        <n v="13050"/>
        <n v="15900"/>
        <n v="27300"/>
        <n v="40050"/>
        <n v="725"/>
        <n v="516"/>
        <n v="3000"/>
        <n v="1420"/>
        <n v="2928"/>
        <n v="71400"/>
        <n v="4200"/>
        <n v="3272"/>
        <n v="138"/>
        <n v="65250"/>
        <n v="330"/>
        <n v="62250"/>
        <n v="1225"/>
        <n v="64200"/>
        <n v="768"/>
        <n v="1448"/>
        <n v="6280"/>
        <n v="1182"/>
        <n v="420"/>
        <n v="6800"/>
        <n v="522"/>
        <n v="3480"/>
        <n v="112"/>
        <n v="19950"/>
        <n v="9760"/>
        <n v="29250"/>
        <n v="2840"/>
        <n v="1728"/>
        <n v="3980"/>
        <n v="2496"/>
        <n v="7350"/>
        <n v="2130"/>
        <n v="907.5"/>
        <n v="1236"/>
        <n v="785"/>
        <n v="1984"/>
        <n v="602.5"/>
        <n v="1920"/>
        <n v="5600"/>
        <n v="168"/>
        <n v="295"/>
        <n v="1632"/>
        <n v="4650"/>
        <n v="2832"/>
        <n v="63000"/>
        <n v="66300"/>
        <n v="3528"/>
        <n v="240"/>
        <n v="4980"/>
        <n v="9560"/>
        <n v="2700"/>
        <n v="13500"/>
        <n v="45000"/>
        <n v="9180"/>
        <n v="415"/>
        <n v="2465"/>
        <n v="9120"/>
        <n v="14850"/>
        <n v="2912"/>
        <n v="1045"/>
        <n v="385"/>
        <n v="6480"/>
        <n v="872.5"/>
        <n v="53550"/>
        <n v="3500"/>
        <n v="2848"/>
        <n v="8280"/>
        <n v="2960"/>
        <n v="450"/>
        <n v="2760"/>
        <n v="2796"/>
        <n v="630"/>
        <n v="2952"/>
        <n v="30150"/>
        <n v="32550"/>
        <n v="8620"/>
        <n v="395"/>
        <n v="1602"/>
        <n v="2550"/>
        <n v="678"/>
        <n v="1168"/>
        <n v="165"/>
        <n v="160"/>
        <n v="3944"/>
        <n v="9980"/>
        <n v="1152"/>
        <n v="3340"/>
        <n v="736"/>
        <n v="3928"/>
        <n v="25350"/>
        <n v="1820"/>
        <n v="49050"/>
        <n v="1716"/>
        <n v="24300"/>
        <n v="21150"/>
        <n v="63900"/>
        <n v="9880"/>
        <n v="5860"/>
        <n v="440"/>
        <n v="1536"/>
        <n v="9150"/>
        <n v="2826"/>
        <n v="52500"/>
        <n v="66450"/>
        <n v="67050"/>
        <n v="6840"/>
        <n v="2256"/>
        <n v="1200"/>
        <n v="2470"/>
        <n v="5620"/>
        <n v="402.5"/>
        <n v="5640"/>
        <n v="2170"/>
        <n v="1235"/>
        <n v="520"/>
        <n v="69300"/>
        <n v="354"/>
        <n v="307.5"/>
        <n v="640"/>
        <n v="7780"/>
        <n v="667.5"/>
        <n v="56400"/>
        <n v="10000"/>
        <n v="767.5"/>
        <n v="2100"/>
        <n v="1960"/>
        <n v="272"/>
        <n v="62400"/>
        <n v="25800"/>
        <n v="1770"/>
        <n v="8520"/>
        <n v="3264"/>
        <n v="38100"/>
        <n v="3192"/>
        <n v="65850"/>
        <n v="3016"/>
        <n v="1884"/>
        <n v="665"/>
        <n v="8400"/>
        <n v="4520"/>
        <n v="2994"/>
        <n v="690"/>
        <n v="49500"/>
        <n v="8040"/>
        <n v="527.5"/>
        <n v="392.5"/>
        <n v="8940"/>
        <n v="995"/>
        <n v="666"/>
        <n v="1074"/>
        <n v="126"/>
        <n v="2024"/>
        <n v="616"/>
        <n v="195"/>
        <n v="607.5"/>
        <n v="17400"/>
        <n v="10500"/>
        <n v="304"/>
        <n v="1700"/>
        <n v="1648"/>
        <n v="1216"/>
        <n v="812.5"/>
        <n v="2622"/>
        <n v="30450"/>
        <n v="2784"/>
        <n v="230"/>
        <n v="9860"/>
        <n v="900"/>
        <n v="1840"/>
        <n v="4880"/>
        <n v="1222.5"/>
        <n v="492.5"/>
        <n v="782.5"/>
        <n v="2712"/>
        <n v="2656"/>
        <n v="2220"/>
        <n v="1255"/>
        <n v="1590"/>
        <n v="534"/>
        <n v="606"/>
        <n v="33300"/>
        <n v="8840"/>
        <n v="2778"/>
        <n v="1905"/>
        <n v="73350"/>
        <n v="2405"/>
        <n v="2632"/>
        <n v="65"/>
        <n v="7760"/>
        <n v="43200"/>
        <n v="1915"/>
        <n v="367.5"/>
        <n v="2936"/>
        <n v="39300"/>
        <n v="15300"/>
        <n v="1260"/>
        <n v="4050"/>
        <n v="2898"/>
        <n v="6150"/>
        <n v="2072"/>
        <n v="1580"/>
        <n v="1202.5"/>
        <n v="1552"/>
        <n v="74850"/>
        <n v="27450"/>
        <n v="73050"/>
        <n v="3816"/>
        <n v="1096"/>
        <n v="347.5"/>
        <n v="1300"/>
        <n v="2320"/>
        <n v="7680"/>
        <n v="37.5"/>
        <n v="1288"/>
        <n v="210"/>
        <n v="2230"/>
        <n v="6360"/>
        <n v="305"/>
        <n v="6960"/>
        <n v="3144"/>
        <n v="8340"/>
        <n v="3448"/>
        <n v="3760"/>
        <n v="1812"/>
        <n v="2155"/>
        <n v="637.5"/>
        <n v="42300"/>
        <n v="636"/>
        <n v="2300"/>
        <n v="1122"/>
        <n v="1940"/>
        <n v="67500"/>
        <n v="28950"/>
        <n v="472"/>
        <n v="950"/>
        <n v="2235"/>
        <n v="48300"/>
        <n v="487.5"/>
        <n v="580"/>
        <n v="90"/>
        <n v="2088"/>
        <n v="1482"/>
        <n v="3300"/>
        <n v="40500"/>
        <n v="2244"/>
        <n v="2358"/>
        <n v="937.5"/>
        <n v="3856"/>
        <n v="3688"/>
        <n v="208"/>
        <n v="3632"/>
        <n v="6720"/>
        <n v="2418"/>
        <n v="8380"/>
        <n v="3720"/>
        <n v="2052"/>
        <n v="70"/>
        <n v="280"/>
        <n v="7600"/>
        <n v="905"/>
        <n v="2425"/>
        <n v="942.5"/>
        <n v="47100"/>
        <n v="1218"/>
        <n v="960"/>
        <n v="1120"/>
        <n v="355"/>
        <n v="17550"/>
        <n v="5080"/>
        <n v="3280"/>
        <n v="880"/>
        <n v="1320"/>
        <n v="3328"/>
        <n v="727.5"/>
        <n v="2080"/>
        <n v="4480"/>
        <n v="4960"/>
        <n v="107.5"/>
        <n v="1245"/>
        <n v="750"/>
        <n v="255"/>
        <n v="8360"/>
        <n v="8140"/>
        <n v="1395"/>
        <n v="2214"/>
        <n v="384"/>
        <n v="19350"/>
        <n v="490"/>
        <n v="697.5"/>
        <n v="4300"/>
        <n v="720"/>
        <n v="2670"/>
        <n v="620"/>
        <n v="1976"/>
        <n v="68100"/>
        <n v="2046"/>
        <n v="7220"/>
        <n v="58950"/>
        <n v="3032"/>
        <n v="962.5"/>
        <n v="1057.5"/>
        <n v="744"/>
        <n v="63300"/>
        <n v="33000"/>
        <n v="2286"/>
        <n v="688"/>
        <n v="4140"/>
        <n v="1775"/>
        <n v="1776"/>
        <n v="73650"/>
        <n v="1068"/>
        <n v="2526"/>
        <n v="4380"/>
        <n v="825"/>
        <n v="1475"/>
        <n v="2420"/>
        <n v="5480"/>
        <n v="26850"/>
        <n v="1125"/>
        <n v="25"/>
        <n v="1210"/>
        <n v="1504"/>
        <n v="447.5"/>
        <n v="9380"/>
        <n v="1542"/>
        <n v="51150"/>
        <n v="2298"/>
        <n v="1355"/>
        <n v="2208"/>
        <n v="37950"/>
        <n v="2334"/>
        <n v="174"/>
        <n v="2896"/>
        <n v="1035"/>
        <n v="1696"/>
        <n v="40800"/>
        <n v="9260"/>
        <n v="35100"/>
        <n v="72.5"/>
        <n v="50"/>
        <n v="348"/>
        <n v="4260"/>
        <n v="615"/>
        <n v="48450"/>
        <n v="915"/>
        <n v="30750"/>
        <n v="460"/>
        <n v="1247.5"/>
        <n v="8500"/>
        <n v="987.5"/>
        <n v="572.5"/>
        <n v="1866"/>
        <n v="9420"/>
        <n v="1144"/>
        <n v="29550"/>
        <n v="9400"/>
        <n v="245"/>
        <n v="1555"/>
        <n v="267.5"/>
        <n v="172.5"/>
        <n v="984"/>
        <n v="6020"/>
        <n v="65100"/>
        <n v="2988"/>
        <n v="4220"/>
        <n v="1032"/>
        <n v="1470"/>
        <n v="702.5"/>
        <n v="1304"/>
        <n v="648"/>
        <n v="2180"/>
        <n v="9620"/>
        <n v="3248"/>
        <n v="1902"/>
        <n v="32250"/>
        <n v="1185"/>
        <n v="61950"/>
        <n v="457.5"/>
        <n v="2412"/>
        <n v="3620"/>
        <n v="1062.5"/>
        <n v="39000"/>
        <n v="5520"/>
        <n v="2305"/>
        <n v="53250"/>
        <n v="1855"/>
        <n v="8920"/>
        <n v="58650"/>
        <n v="1656"/>
        <n v="1425"/>
        <n v="787.5"/>
        <n v="1050"/>
        <n v="567.5"/>
        <n v="712.5"/>
        <n v="2900"/>
        <n v="1896"/>
        <n v="29850"/>
        <n v="488"/>
        <n v="2574"/>
        <n v="1206"/>
        <n v="1087.5"/>
        <n v="2860"/>
        <n v="9900"/>
        <n v="4920"/>
        <n v="318"/>
        <n v="2808"/>
        <n v="8720"/>
        <n v="22050"/>
        <n v="14100"/>
        <n v="1450"/>
        <n v="1992"/>
        <n v="6980"/>
        <n v="32700"/>
        <n v="704"/>
        <n v="1212"/>
        <n v="36750"/>
        <n v="952.5"/>
        <n v="1710"/>
        <n v="61500"/>
        <n v="56850"/>
        <n v="2225"/>
        <n v="2415"/>
        <n v="1686"/>
        <n v="60000"/>
        <n v="212.5"/>
        <n v="9020"/>
        <n v="2240"/>
        <n v="19650"/>
        <n v="1895"/>
        <n v="2406"/>
        <n v="1032.5"/>
        <n v="1415"/>
        <n v="4620"/>
        <n v="855"/>
        <n v="1824"/>
        <n v="18000"/>
        <n v="204"/>
        <n v="535"/>
        <n v="1688"/>
        <n v="1768"/>
        <n v="22650"/>
        <n v="1452"/>
        <n v="2232"/>
        <n v="972"/>
        <n v="755"/>
        <n v="2050"/>
        <n v="375"/>
        <n v="61800"/>
        <n v="1416"/>
        <n v="745"/>
        <n v="366"/>
        <n v="430"/>
        <n v="1230"/>
        <n v="37350"/>
        <n v="592"/>
        <n v="17100"/>
        <n v="18150"/>
        <n v="177.5"/>
        <n v="49200"/>
        <n v="3312"/>
        <n v="532.5"/>
        <n v="6140"/>
        <n v="1310"/>
        <n v="1616"/>
        <n v="2154"/>
        <n v="2584"/>
        <n v="2295"/>
        <n v="2034"/>
        <n v="43500"/>
        <n v="2238"/>
        <n v="372.5"/>
        <n v="985"/>
        <n v="47250"/>
        <n v="42900"/>
        <n v="186"/>
        <n v="2095"/>
        <n v="43050"/>
        <n v="1344"/>
        <n v="1175"/>
        <n v="1970"/>
        <n v="2288"/>
        <n v="9220"/>
        <n v="896"/>
        <n v="515"/>
        <n v="2868"/>
        <n v="1794"/>
        <n v="3440"/>
        <n v="9640"/>
        <n v="21450"/>
        <n v="3600"/>
        <n v="128"/>
        <n v="2032"/>
        <n v="2850"/>
        <n v="965"/>
        <n v="1067.5"/>
        <n v="902.5"/>
        <n v="1160"/>
        <n v="112.5"/>
        <n v="822"/>
        <n v="8240"/>
        <n v="2110"/>
        <n v="4360"/>
        <n v="1338"/>
        <n v="2128"/>
        <n v="774"/>
        <n v="1830"/>
        <n v="2328"/>
        <n v="45600"/>
        <n v="710"/>
        <n v="427.5"/>
        <n v="88"/>
        <n v="1392"/>
        <n v="600"/>
        <n v="997.5"/>
        <n v="45"/>
        <n v="9200"/>
        <n v="3544"/>
        <n v="15150"/>
        <n v="2260"/>
        <n v="8460"/>
        <n v="9300"/>
        <n v="2226"/>
        <n v="3704"/>
        <n v="512"/>
        <n v="42750"/>
        <n v="1072.5"/>
        <n v="2075"/>
        <n v="2280"/>
        <n v="1945"/>
        <n v="2184"/>
        <n v="2310"/>
        <n v="917.5"/>
        <n v="1690"/>
        <n v="2394"/>
        <n v="16950"/>
        <n v="24600"/>
        <n v="3840"/>
        <n v="1215"/>
        <n v="1758"/>
        <n v="856"/>
        <n v="152"/>
        <n v="15600"/>
        <n v="29700"/>
        <n v="130"/>
        <n v="3112"/>
        <n v="4660"/>
        <n v="27.5"/>
        <n v="5300"/>
        <n v="3472"/>
        <n v="470"/>
        <n v="2436"/>
        <n v="834"/>
        <n v="12900"/>
        <n v="890"/>
        <n v="3152"/>
        <n v="3640"/>
        <n v="110"/>
        <n v="2160"/>
        <n v="31800"/>
        <n v="37050"/>
        <n v="537.5"/>
        <n v="670"/>
        <n v="1356"/>
        <n v="1115"/>
        <n v="31500"/>
        <n v="15000"/>
        <n v="1314"/>
        <n v="752"/>
        <n v="120"/>
        <n v="55200"/>
        <n v="405"/>
        <n v="1925"/>
        <n v="4420"/>
        <n v="9750"/>
        <n v="2094"/>
        <n v="187.5"/>
        <n v="885"/>
        <n v="85"/>
        <n v="205"/>
        <n v="1187.5"/>
        <n v="1000"/>
        <n v="544"/>
        <n v="2325"/>
        <n v="4950"/>
        <n v="3536"/>
        <n v="756"/>
        <n v="705"/>
        <n v="264"/>
        <n v="2736"/>
        <n v="765"/>
        <n v="8220"/>
        <n v="2652"/>
        <n v="850"/>
        <n v="7540"/>
        <n v="474"/>
        <n v="1005"/>
        <n v="220"/>
        <n v="822.5"/>
        <n v="1385"/>
        <n v="1190"/>
        <n v="3580"/>
        <n v="2600"/>
        <n v="2598"/>
        <n v="1674"/>
        <n v="562.5"/>
        <n v="445"/>
        <n v="2720"/>
        <n v="2560"/>
        <n v="5720"/>
        <n v="2290"/>
        <n v="552"/>
        <n v="67.5"/>
        <n v="3200"/>
        <n v="1908"/>
        <n v="276"/>
        <n v="2416"/>
        <n v="992.5"/>
        <n v="1990"/>
        <n v="35400"/>
        <n v="60300"/>
        <n v="888"/>
        <n v="2368"/>
        <n v="44550"/>
        <n v="2210"/>
        <n v="250"/>
        <n v="8100"/>
        <n v="1075"/>
        <n v="265"/>
        <n v="3608"/>
        <n v="650"/>
        <n v="5800"/>
        <n v="2520"/>
        <n v="2664"/>
        <n v="2820"/>
        <n v="237.5"/>
        <n v="2030"/>
        <n v="25650"/>
        <n v="64500"/>
        <n v="2488"/>
        <n v="1535"/>
        <n v="3168"/>
        <n v="1408"/>
        <n v="7860"/>
        <n v="22350"/>
        <n v="1100"/>
        <n v="12450"/>
        <n v="1842"/>
        <n v="2464"/>
        <n v="184"/>
        <n v="8980"/>
        <n v="1155"/>
        <n v="75"/>
        <n v="72600"/>
        <n v="1720"/>
        <n v="1544"/>
        <n v="3568"/>
        <n v="72"/>
        <n v="365"/>
        <n v="8800"/>
        <n v="3256"/>
        <n v="815"/>
        <n v="74100"/>
        <n v="1368"/>
        <n v="5400"/>
        <n v="3176"/>
        <n v="1610"/>
        <n v="1900"/>
        <n v="3216"/>
        <n v="1428"/>
        <n v="2874"/>
        <n v="1575"/>
        <n v="687.5"/>
        <n v="2064"/>
        <n v="382.5"/>
        <n v="7180"/>
        <n v="6560"/>
        <n v="1015"/>
        <n v="1104"/>
        <n v="2200"/>
        <n v="2058"/>
        <n v="57300"/>
        <n v="3024"/>
        <n v="28350"/>
        <n v="928"/>
        <n v="50250"/>
        <n v="372"/>
        <n v="1325"/>
        <n v="5680"/>
        <n v="9740"/>
        <n v="5380"/>
        <n v="9280"/>
        <n v="1254"/>
        <n v="4060"/>
        <n v="33750"/>
        <n v="9840"/>
        <n v="2730"/>
        <n v="942"/>
        <n v="30900"/>
        <n v="247.5"/>
        <n v="2556"/>
        <n v="517.5"/>
        <n v="5280"/>
        <n v="2478"/>
        <n v="1698"/>
        <n v="2864"/>
        <n v="642"/>
        <n v="337.5"/>
        <n v="296"/>
        <n v="5200"/>
        <n v="3752"/>
        <n v="114"/>
        <n v="71700"/>
        <n v="192"/>
        <n v="732.5"/>
        <n v="550"/>
        <n v="2694"/>
        <n v="2000"/>
        <n v="4180"/>
        <n v="944"/>
        <n v="7400"/>
        <n v="4540"/>
        <n v="2296"/>
        <n v="1540"/>
        <n v="6200"/>
        <n v="2142"/>
        <n v="1290"/>
        <n v="224"/>
        <n v="357.5"/>
        <n v="1137.5"/>
        <n v="270"/>
        <n v="17700"/>
        <n v="2838"/>
        <n v="2125"/>
        <n v="2176"/>
        <n v="7580"/>
        <n v="7240"/>
        <n v="1135"/>
      </sharedItems>
    </cacheField>
    <cacheField name="Cost Price" numFmtId="0">
      <sharedItems containsSemiMixedTypes="0" containsString="0" containsNumber="1" minValue="1.5" maxValue="100"/>
    </cacheField>
    <cacheField name="Total Cost" numFmtId="0">
      <sharedItems containsSemiMixedTypes="0" containsString="0" containsNumber="1" minValue="15" maxValue="49900"/>
    </cacheField>
    <cacheField name="Profit/Loss" numFmtId="0">
      <sharedItems containsSemiMixedTypes="0" containsString="0" containsNumber="1" containsInteger="1" minValue="10" maxValue="24950" count="1121">
        <n v="630"/>
        <n v="1568"/>
        <n v="603"/>
        <n v="2750"/>
        <n v="17900"/>
        <n v="404"/>
        <n v="477"/>
        <n v="525"/>
        <n v="1464"/>
        <n v="318"/>
        <n v="3000"/>
        <n v="493"/>
        <n v="389"/>
        <n v="1344"/>
        <n v="382"/>
        <n v="15050"/>
        <n v="2952"/>
        <n v="472"/>
        <n v="19950"/>
        <n v="720"/>
        <n v="86"/>
        <n v="816"/>
        <n v="458"/>
        <n v="138"/>
        <n v="310"/>
        <n v="652"/>
        <n v="862"/>
        <n v="1215"/>
        <n v="927"/>
        <n v="885"/>
        <n v="9550"/>
        <n v="17000"/>
        <n v="332"/>
        <n v="13200"/>
        <n v="2704"/>
        <n v="134"/>
        <n v="128"/>
        <n v="1976"/>
        <n v="15800"/>
        <n v="443"/>
        <n v="15150"/>
        <n v="142"/>
        <n v="182"/>
        <n v="836"/>
        <n v="1497"/>
        <n v="40"/>
        <n v="204"/>
        <n v="21350"/>
        <n v="116"/>
        <n v="915"/>
        <n v="12900"/>
        <n v="1023"/>
        <n v="910"/>
        <n v="1224"/>
        <n v="342"/>
        <n v="723"/>
        <n v="874"/>
        <n v="434"/>
        <n v="316"/>
        <n v="774"/>
        <n v="512"/>
        <n v="3184"/>
        <n v="7250"/>
        <n v="459"/>
        <n v="1284"/>
        <n v="423"/>
        <n v="416"/>
        <n v="19200"/>
        <n v="47"/>
        <n v="540"/>
        <n v="2976"/>
        <n v="974"/>
        <n v="3150"/>
        <n v="1472"/>
        <n v="180"/>
        <n v="694"/>
        <n v="1750"/>
        <n v="90"/>
        <n v="624"/>
        <n v="2176"/>
        <n v="756"/>
        <n v="39"/>
        <n v="376"/>
        <n v="271"/>
        <n v="348"/>
        <n v="3744"/>
        <n v="388"/>
        <n v="13050"/>
        <n v="495"/>
        <n v="326"/>
        <n v="5350"/>
        <n v="914"/>
        <n v="1776"/>
        <n v="1296"/>
        <n v="21450"/>
        <n v="510"/>
        <n v="462"/>
        <n v="294"/>
        <n v="460"/>
        <n v="1168"/>
        <n v="748"/>
        <n v="1428"/>
        <n v="7600"/>
        <n v="754"/>
        <n v="2850"/>
        <n v="696"/>
        <n v="951"/>
        <n v="264"/>
        <n v="104"/>
        <n v="384"/>
        <n v="2400"/>
        <n v="2848"/>
        <n v="702"/>
        <n v="753"/>
        <n v="72"/>
        <n v="658"/>
        <n v="14050"/>
        <n v="7000"/>
        <n v="6900"/>
        <n v="880"/>
        <n v="532"/>
        <n v="771"/>
        <n v="162"/>
        <n v="22"/>
        <n v="7800"/>
        <n v="860"/>
        <n v="1728"/>
        <n v="1308"/>
        <n v="261"/>
        <n v="17400"/>
        <n v="620"/>
        <n v="976"/>
        <n v="3450"/>
        <n v="662"/>
        <n v="3120"/>
        <n v="1832"/>
        <n v="876"/>
        <n v="906"/>
        <n v="480"/>
        <n v="1176"/>
        <n v="150"/>
        <n v="1287"/>
        <n v="164"/>
        <n v="491"/>
        <n v="1560"/>
        <n v="18300"/>
        <n v="152"/>
        <n v="22750"/>
        <n v="588"/>
        <n v="20700"/>
        <n v="312"/>
        <n v="117"/>
        <n v="1239"/>
        <n v="200"/>
        <n v="856"/>
        <n v="2856"/>
        <n v="978"/>
        <n v="2312"/>
        <n v="952"/>
        <n v="3504"/>
        <n v="8000"/>
        <n v="1002"/>
        <n v="201"/>
        <n v="498"/>
        <n v="51"/>
        <n v="972"/>
        <n v="70"/>
        <n v="948"/>
        <n v="2328"/>
        <n v="680"/>
        <n v="3056"/>
        <n v="224"/>
        <n v="380"/>
        <n v="950"/>
        <n v="478"/>
        <n v="828"/>
        <n v="11850"/>
        <n v="2144"/>
        <n v="1083"/>
        <n v="11450"/>
        <n v="311"/>
        <n v="210"/>
        <n v="1128"/>
        <n v="75"/>
        <n v="234"/>
        <n v="506"/>
        <n v="285"/>
        <n v="765"/>
        <n v="6350"/>
        <n v="23950"/>
        <n v="120"/>
        <n v="704"/>
        <n v="390"/>
        <n v="592"/>
        <n v="12300"/>
        <n v="2664"/>
        <n v="924"/>
        <n v="482"/>
        <n v="37"/>
        <n v="2712"/>
        <n v="1038"/>
        <n v="936"/>
        <n v="444"/>
        <n v="646"/>
        <n v="504"/>
        <n v="591"/>
        <n v="602"/>
        <n v="130"/>
        <n v="129"/>
        <n v="165"/>
        <n v="640"/>
        <n v="48"/>
        <n v="15450"/>
        <n v="320"/>
        <n v="960"/>
        <n v="1275"/>
        <n v="105"/>
        <n v="186"/>
        <n v="3152"/>
        <n v="822"/>
        <n v="410"/>
        <n v="324"/>
        <n v="242"/>
        <n v="3200"/>
        <n v="15950"/>
        <n v="558"/>
        <n v="3560"/>
        <n v="16850"/>
        <n v="2184"/>
        <n v="254"/>
        <n v="12100"/>
        <n v="2880"/>
        <n v="3632"/>
        <n v="3696"/>
        <n v="222"/>
        <n v="396"/>
        <n v="1152"/>
        <n v="407"/>
        <n v="24"/>
        <n v="8250"/>
        <n v="370"/>
        <n v="4250"/>
        <n v="21600"/>
        <n v="19050"/>
        <n v="286"/>
        <n v="328"/>
        <n v="17800"/>
        <n v="980"/>
        <n v="346"/>
        <n v="441"/>
        <n v="331"/>
        <n v="13800"/>
        <n v="223"/>
        <n v="31"/>
        <n v="4000"/>
        <n v="364"/>
        <n v="438"/>
        <n v="1209"/>
        <n v="3176"/>
        <n v="813"/>
        <n v="22900"/>
        <n v="792"/>
        <n v="1488"/>
        <n v="6800"/>
        <n v="648"/>
        <n v="82"/>
        <n v="54"/>
        <n v="19800"/>
        <n v="126"/>
        <n v="63"/>
        <n v="8850"/>
        <n v="1317"/>
        <n v="834"/>
        <n v="3272"/>
        <n v="790"/>
        <n v="20900"/>
        <n v="682"/>
        <n v="608"/>
        <n v="992"/>
        <n v="2650"/>
        <n v="824"/>
        <n v="916"/>
        <n v="548"/>
        <n v="272"/>
        <n v="442"/>
        <n v="262"/>
        <n v="97"/>
        <n v="336"/>
        <n v="3416"/>
        <n v="994"/>
        <n v="1461"/>
        <n v="866"/>
        <n v="338"/>
        <n v="20550"/>
        <n v="19150"/>
        <n v="426"/>
        <n v="804"/>
        <n v="3496"/>
        <n v="68"/>
        <n v="42"/>
        <n v="724"/>
        <n v="24300"/>
        <n v="10200"/>
        <n v="1250"/>
        <n v="693"/>
        <n v="103"/>
        <n v="114"/>
        <n v="23600"/>
        <n v="189"/>
        <n v="864"/>
        <n v="23350"/>
        <n v="1212"/>
        <n v="820"/>
        <n v="9350"/>
        <n v="970"/>
        <n v="2808"/>
        <n v="854"/>
        <n v="62"/>
        <n v="22300"/>
        <n v="193"/>
        <n v="1257"/>
        <n v="237"/>
        <n v="2992"/>
        <n v="3864"/>
        <n v="1712"/>
        <n v="726"/>
        <n v="166"/>
        <n v="4550"/>
        <n v="368"/>
        <n v="238"/>
        <n v="3208"/>
        <n v="5450"/>
        <n v="1263"/>
        <n v="280"/>
        <n v="174"/>
        <n v="18100"/>
        <n v="18050"/>
        <n v="300"/>
        <n v="422"/>
        <n v="1600"/>
        <n v="1920"/>
        <n v="519"/>
        <n v="9000"/>
        <n v="1496"/>
        <n v="780"/>
        <n v="2900"/>
        <n v="163"/>
        <n v="381"/>
        <n v="752"/>
        <n v="387"/>
        <n v="678"/>
        <n v="3512"/>
        <n v="11650"/>
        <n v="2056"/>
        <n v="408"/>
        <n v="187"/>
        <n v="3700"/>
        <n v="2912"/>
        <n v="417"/>
        <n v="230"/>
        <n v="2488"/>
        <n v="1552"/>
        <n v="21550"/>
        <n v="2560"/>
        <n v="258"/>
        <n v="16550"/>
        <n v="60"/>
        <n v="206"/>
        <n v="1050"/>
        <n v="250"/>
        <n v="3888"/>
        <n v="424"/>
        <n v="399"/>
        <n v="194"/>
        <n v="1164"/>
        <n v="18850"/>
        <n v="291"/>
        <n v="750"/>
        <n v="344"/>
        <n v="2048"/>
        <n v="20850"/>
        <n v="5150"/>
        <n v="3800"/>
        <n v="21050"/>
        <n v="1158"/>
        <n v="371"/>
        <n v="374"/>
        <n v="228"/>
        <n v="740"/>
        <n v="292"/>
        <n v="11950"/>
        <n v="23000"/>
        <n v="473"/>
        <n v="453"/>
        <n v="392"/>
        <n v="570"/>
        <n v="22400"/>
        <n v="1029"/>
        <n v="14150"/>
        <n v="20250"/>
        <n v="190"/>
        <n v="1320"/>
        <n v="2672"/>
        <n v="353"/>
        <n v="34"/>
        <n v="497"/>
        <n v="10100"/>
        <n v="3640"/>
        <n v="628"/>
        <n v="466"/>
        <n v="1950"/>
        <n v="2640"/>
        <n v="9400"/>
        <n v="1288"/>
        <n v="321"/>
        <n v="1014"/>
        <n v="411"/>
        <n v="226"/>
        <n v="278"/>
        <n v="963"/>
        <n v="11200"/>
        <n v="560"/>
        <n v="982"/>
        <n v="6100"/>
        <n v="4050"/>
        <n v="136"/>
        <n v="8400"/>
        <n v="3912"/>
        <n v="359"/>
        <n v="998"/>
        <n v="345"/>
        <n v="1056"/>
        <n v="4200"/>
        <n v="1311"/>
        <n v="12200"/>
        <n v="432"/>
        <n v="263"/>
        <n v="3048"/>
        <n v="470"/>
        <n v="350"/>
        <n v="2496"/>
        <n v="552"/>
        <n v="147"/>
        <n v="91"/>
        <n v="315"/>
        <n v="1352"/>
        <n v="22050"/>
        <n v="1011"/>
        <n v="46"/>
        <n v="2680"/>
        <n v="3096"/>
        <n v="788"/>
        <n v="203"/>
        <n v="1272"/>
        <n v="33"/>
        <n v="782"/>
        <n v="357"/>
        <n v="1452"/>
        <n v="9500"/>
        <n v="15850"/>
        <n v="2600"/>
        <n v="705"/>
        <n v="3650"/>
        <n v="1248"/>
        <n v="56"/>
        <n v="11500"/>
        <n v="488"/>
        <n v="11300"/>
        <n v="168"/>
        <n v="6300"/>
        <n v="132"/>
        <n v="20150"/>
        <n v="2584"/>
        <n v="24900"/>
        <n v="23850"/>
        <n v="3736"/>
        <n v="1116"/>
        <n v="339"/>
        <n v="544"/>
        <n v="4100"/>
        <n v="19850"/>
        <n v="496"/>
        <n v="7100"/>
        <n v="957"/>
        <n v="259"/>
        <n v="23200"/>
        <n v="94"/>
        <n v="414"/>
        <n v="296"/>
        <n v="10000"/>
        <n v="514"/>
        <n v="2984"/>
        <n v="1233"/>
        <n v="433"/>
        <n v="15400"/>
        <n v="2352"/>
        <n v="993"/>
        <n v="722"/>
        <n v="6150"/>
        <n v="362"/>
        <n v="954"/>
        <n v="908"/>
        <n v="784"/>
        <n v="554"/>
        <n v="656"/>
        <n v="584"/>
        <n v="586"/>
        <n v="17200"/>
        <n v="2864"/>
        <n v="564"/>
        <n v="156"/>
        <n v="1700"/>
        <n v="1254"/>
        <n v="209"/>
        <n v="670"/>
        <n v="12800"/>
        <n v="192"/>
        <n v="177"/>
        <n v="16700"/>
        <n v="714"/>
        <n v="894"/>
        <n v="110"/>
        <n v="2088"/>
        <n v="808"/>
        <n v="403"/>
        <n v="597"/>
        <n v="1608"/>
        <n v="16800"/>
        <n v="1371"/>
        <n v="428"/>
        <n v="600"/>
        <n v="942"/>
        <n v="878"/>
        <n v="699"/>
        <n v="4350"/>
        <n v="5300"/>
        <n v="9100"/>
        <n v="13350"/>
        <n v="290"/>
        <n v="172"/>
        <n v="1000"/>
        <n v="568"/>
        <n v="23800"/>
        <n v="1400"/>
        <n v="1227"/>
        <n v="21750"/>
        <n v="20750"/>
        <n v="490"/>
        <n v="21400"/>
        <n v="288"/>
        <n v="543"/>
        <n v="2512"/>
        <n v="394"/>
        <n v="2720"/>
        <n v="144"/>
        <n v="1305"/>
        <n v="6650"/>
        <n v="3904"/>
        <n v="9750"/>
        <n v="1065"/>
        <n v="1500"/>
        <n v="1592"/>
        <n v="832"/>
        <n v="2450"/>
        <n v="852"/>
        <n v="363"/>
        <n v="412"/>
        <n v="314"/>
        <n v="744"/>
        <n v="241"/>
        <n v="768"/>
        <n v="2240"/>
        <n v="118"/>
        <n v="612"/>
        <n v="1550"/>
        <n v="1062"/>
        <n v="1360"/>
        <n v="21000"/>
        <n v="22100"/>
        <n v="1323"/>
        <n v="96"/>
        <n v="1992"/>
        <n v="3824"/>
        <n v="1080"/>
        <n v="4500"/>
        <n v="15000"/>
        <n v="3672"/>
        <n v="986"/>
        <n v="3648"/>
        <n v="4950"/>
        <n v="1092"/>
        <n v="418"/>
        <n v="154"/>
        <n v="2592"/>
        <n v="349"/>
        <n v="17850"/>
        <n v="1068"/>
        <n v="3312"/>
        <n v="1184"/>
        <n v="1104"/>
        <n v="932"/>
        <n v="1107"/>
        <n v="10050"/>
        <n v="10850"/>
        <n v="3448"/>
        <n v="158"/>
        <n v="534"/>
        <n v="850"/>
        <n v="66"/>
        <n v="64"/>
        <n v="1479"/>
        <n v="3992"/>
        <n v="1336"/>
        <n v="252"/>
        <n v="276"/>
        <n v="1473"/>
        <n v="8450"/>
        <n v="728"/>
        <n v="16350"/>
        <n v="572"/>
        <n v="8100"/>
        <n v="7050"/>
        <n v="21300"/>
        <n v="3952"/>
        <n v="2344"/>
        <n v="176"/>
        <n v="3050"/>
        <n v="576"/>
        <n v="17500"/>
        <n v="22150"/>
        <n v="22350"/>
        <n v="2736"/>
        <n v="988"/>
        <n v="2248"/>
        <n v="161"/>
        <n v="2256"/>
        <n v="868"/>
        <n v="494"/>
        <n v="195"/>
        <n v="23100"/>
        <n v="123"/>
        <n v="256"/>
        <n v="3112"/>
        <n v="267"/>
        <n v="18800"/>
        <n v="307"/>
        <n v="840"/>
        <n v="102"/>
        <n v="20800"/>
        <n v="8600"/>
        <n v="708"/>
        <n v="3408"/>
        <n v="12700"/>
        <n v="1197"/>
        <n v="21950"/>
        <n v="1131"/>
        <n v="266"/>
        <n v="3360"/>
        <n v="1808"/>
        <n v="16500"/>
        <n v="3216"/>
        <n v="211"/>
        <n v="157"/>
        <n v="3576"/>
        <n v="398"/>
        <n v="358"/>
        <n v="759"/>
        <n v="231"/>
        <n v="78"/>
        <n v="243"/>
        <n v="5800"/>
        <n v="3500"/>
        <n v="618"/>
        <n v="456"/>
        <n v="325"/>
        <n v="10150"/>
        <n v="928"/>
        <n v="92"/>
        <n v="3944"/>
        <n v="360"/>
        <n v="736"/>
        <n v="1952"/>
        <n v="489"/>
        <n v="197"/>
        <n v="313"/>
        <n v="904"/>
        <n v="996"/>
        <n v="502"/>
        <n v="530"/>
        <n v="178"/>
        <n v="202"/>
        <n v="11100"/>
        <n v="3536"/>
        <n v="926"/>
        <n v="762"/>
        <n v="24450"/>
        <n v="990"/>
        <n v="1455"/>
        <n v="962"/>
        <n v="987"/>
        <n v="26"/>
        <n v="3104"/>
        <n v="14400"/>
        <n v="766"/>
        <n v="1101"/>
        <n v="13100"/>
        <n v="5100"/>
        <n v="1350"/>
        <n v="966"/>
        <n v="2050"/>
        <n v="777"/>
        <n v="632"/>
        <n v="481"/>
        <n v="582"/>
        <n v="24950"/>
        <n v="9150"/>
        <n v="24350"/>
        <n v="1431"/>
        <n v="139"/>
        <n v="520"/>
        <n v="3072"/>
        <n v="15"/>
        <n v="483"/>
        <n v="84"/>
        <n v="892"/>
        <n v="2544"/>
        <n v="122"/>
        <n v="2784"/>
        <n v="1179"/>
        <n v="3336"/>
        <n v="1293"/>
        <n v="1410"/>
        <n v="604"/>
        <n v="255"/>
        <n v="14100"/>
        <n v="212"/>
        <n v="920"/>
        <n v="776"/>
        <n v="22500"/>
        <n v="9650"/>
        <n v="16100"/>
        <n v="232"/>
        <n v="36"/>
        <n v="1100"/>
        <n v="13500"/>
        <n v="786"/>
        <n v="375"/>
        <n v="1446"/>
        <n v="1383"/>
        <n v="465"/>
        <n v="1362"/>
        <n v="2688"/>
        <n v="806"/>
        <n v="3352"/>
        <n v="684"/>
        <n v="28"/>
        <n v="112"/>
        <n v="1110"/>
        <n v="3040"/>
        <n v="377"/>
        <n v="15700"/>
        <n v="406"/>
        <n v="448"/>
        <n v="5850"/>
        <n v="2032"/>
        <n v="1312"/>
        <n v="352"/>
        <n v="528"/>
        <n v="1792"/>
        <n v="1984"/>
        <n v="43"/>
        <n v="3344"/>
        <n v="3256"/>
        <n v="888"/>
        <n v="304"/>
        <n v="738"/>
        <n v="6450"/>
        <n v="196"/>
        <n v="279"/>
        <n v="1720"/>
        <n v="890"/>
        <n v="248"/>
        <n v="741"/>
        <n v="22700"/>
        <n v="2888"/>
        <n v="19650"/>
        <n v="1137"/>
        <n v="385"/>
        <n v="21100"/>
        <n v="11000"/>
        <n v="1656"/>
        <n v="710"/>
        <n v="24550"/>
        <n v="356"/>
        <n v="842"/>
        <n v="1752"/>
        <n v="330"/>
        <n v="590"/>
        <n v="968"/>
        <n v="2192"/>
        <n v="8950"/>
        <n v="450"/>
        <n v="10"/>
        <n v="484"/>
        <n v="179"/>
        <n v="660"/>
        <n v="3752"/>
        <n v="17050"/>
        <n v="542"/>
        <n v="12650"/>
        <n v="778"/>
        <n v="58"/>
        <n v="378"/>
        <n v="1086"/>
        <n v="636"/>
        <n v="13600"/>
        <n v="944"/>
        <n v="3704"/>
        <n v="11700"/>
        <n v="29"/>
        <n v="20"/>
        <n v="675"/>
        <n v="1704"/>
        <n v="246"/>
        <n v="16150"/>
        <n v="366"/>
        <n v="10250"/>
        <n v="184"/>
        <n v="499"/>
        <n v="3400"/>
        <n v="395"/>
        <n v="229"/>
        <n v="622"/>
        <n v="3768"/>
        <n v="1017"/>
        <n v="429"/>
        <n v="9850"/>
        <n v="3760"/>
        <n v="98"/>
        <n v="107"/>
        <n v="69"/>
        <n v="2408"/>
        <n v="21700"/>
        <n v="1688"/>
        <n v="281"/>
        <n v="872"/>
        <n v="3848"/>
        <n v="1218"/>
        <n v="634"/>
        <n v="10750"/>
        <n v="405"/>
        <n v="474"/>
        <n v="20650"/>
        <n v="183"/>
        <n v="1448"/>
        <n v="425"/>
        <n v="13000"/>
        <n v="2208"/>
        <n v="922"/>
        <n v="17750"/>
        <n v="742"/>
        <n v="3568"/>
        <n v="19550"/>
        <n v="1380"/>
        <n v="227"/>
        <n v="1160"/>
        <n v="711"/>
        <n v="9950"/>
        <n v="735"/>
        <n v="858"/>
        <n v="402"/>
        <n v="435"/>
        <n v="1144"/>
        <n v="3960"/>
        <n v="1968"/>
        <n v="106"/>
        <n v="3488"/>
        <n v="7350"/>
        <n v="4700"/>
        <n v="580"/>
        <n v="747"/>
        <n v="2792"/>
        <n v="10900"/>
        <n v="12250"/>
        <n v="135"/>
        <n v="20500"/>
        <n v="18950"/>
        <n v="562"/>
        <n v="20000"/>
        <n v="85"/>
        <n v="3608"/>
        <n v="6550"/>
        <n v="758"/>
        <n v="802"/>
        <n v="413"/>
        <n v="566"/>
        <n v="1848"/>
        <n v="6000"/>
        <n v="214"/>
        <n v="633"/>
        <n v="663"/>
        <n v="882"/>
        <n v="7550"/>
        <n v="302"/>
        <n v="20600"/>
        <n v="531"/>
        <n v="298"/>
        <n v="81"/>
        <n v="492"/>
        <n v="12450"/>
        <n v="5700"/>
        <n v="6050"/>
        <n v="664"/>
        <n v="71"/>
        <n v="16400"/>
        <n v="1242"/>
        <n v="270"/>
        <n v="213"/>
        <n v="2456"/>
        <n v="524"/>
        <n v="606"/>
        <n v="718"/>
        <n v="969"/>
        <n v="918"/>
        <n v="14500"/>
        <n v="746"/>
        <n v="216"/>
        <n v="672"/>
        <n v="149"/>
        <n v="15750"/>
        <n v="14300"/>
        <n v="838"/>
        <n v="14350"/>
        <n v="3688"/>
        <n v="956"/>
        <n v="598"/>
        <n v="1290"/>
        <n v="3856"/>
        <n v="7150"/>
        <n v="1200"/>
        <n v="386"/>
        <n v="427"/>
        <n v="361"/>
        <n v="45"/>
        <n v="274"/>
        <n v="3296"/>
        <n v="844"/>
        <n v="1744"/>
        <n v="446"/>
        <n v="798"/>
        <n v="732"/>
        <n v="15200"/>
        <n v="610"/>
        <n v="284"/>
        <n v="171"/>
        <n v="522"/>
        <n v="240"/>
        <n v="18"/>
        <n v="3680"/>
        <n v="1329"/>
        <n v="5050"/>
        <n v="3384"/>
        <n v="3100"/>
        <n v="1389"/>
        <n v="14250"/>
        <n v="830"/>
        <n v="912"/>
        <n v="819"/>
        <n v="770"/>
        <n v="367"/>
        <n v="676"/>
        <n v="5650"/>
        <n v="8200"/>
        <n v="1440"/>
        <n v="486"/>
        <n v="57"/>
        <n v="5200"/>
        <n v="9900"/>
        <n v="52"/>
        <n v="1167"/>
        <n v="1864"/>
        <n v="11"/>
        <n v="900"/>
        <n v="2120"/>
        <n v="464"/>
        <n v="1302"/>
        <n v="188"/>
        <n v="812"/>
        <n v="4300"/>
        <n v="1182"/>
        <n v="1365"/>
        <n v="44"/>
        <n v="10600"/>
        <n v="12350"/>
        <n v="160"/>
        <n v="215"/>
        <n v="268"/>
        <n v="452"/>
        <n v="10500"/>
        <n v="5000"/>
        <n v="282"/>
        <n v="18400"/>
        <n v="1768"/>
        <n v="3250"/>
        <n v="698"/>
        <n v="354"/>
        <n v="475"/>
        <n v="930"/>
        <n v="1650"/>
        <n v="1326"/>
        <n v="99"/>
        <n v="1026"/>
        <n v="306"/>
        <n v="3288"/>
        <n v="884"/>
        <n v="340"/>
        <n v="3016"/>
        <n v="88"/>
        <n v="329"/>
        <n v="476"/>
        <n v="1432"/>
        <n v="975"/>
        <n v="225"/>
        <n v="1088"/>
        <n v="2288"/>
        <n v="616"/>
        <n v="27"/>
        <n v="397"/>
        <n v="796"/>
        <n v="11800"/>
        <n v="20100"/>
        <n v="333"/>
        <n v="14850"/>
        <n v="1392"/>
        <n v="100"/>
        <n v="2700"/>
        <n v="430"/>
        <n v="1353"/>
        <n v="260"/>
        <n v="2320"/>
        <n v="1008"/>
        <n v="999"/>
        <n v="940"/>
        <n v="95"/>
        <n v="8550"/>
        <n v="21500"/>
        <n v="933"/>
        <n v="614"/>
        <n v="621"/>
        <n v="1188"/>
        <n v="3144"/>
        <n v="7450"/>
        <n v="440"/>
        <n v="4150"/>
        <n v="3592"/>
        <n v="30"/>
        <n v="24200"/>
        <n v="688"/>
        <n v="579"/>
        <n v="1338"/>
        <n v="3300"/>
        <n v="146"/>
        <n v="3520"/>
        <n v="1221"/>
        <n v="24700"/>
        <n v="2160"/>
        <n v="1191"/>
        <n v="644"/>
        <n v="760"/>
        <n v="1206"/>
        <n v="1098"/>
        <n v="958"/>
        <n v="275"/>
        <n v="153"/>
        <n v="2872"/>
        <n v="2624"/>
        <n v="1040"/>
        <n v="3720"/>
        <n v="686"/>
        <n v="19100"/>
        <n v="1134"/>
        <n v="9450"/>
        <n v="2800"/>
        <n v="16750"/>
        <n v="124"/>
        <n v="420"/>
        <n v="2272"/>
        <n v="3896"/>
        <n v="2152"/>
        <n v="3712"/>
        <n v="1624"/>
        <n v="11250"/>
        <n v="3936"/>
        <n v="10300"/>
        <n v="207"/>
        <n v="2112"/>
        <n v="826"/>
        <n v="1074"/>
        <n v="111"/>
        <n v="2080"/>
        <n v="1407"/>
        <n v="38"/>
        <n v="23900"/>
        <n v="293"/>
        <n v="220"/>
        <n v="898"/>
        <n v="1672"/>
        <n v="2960"/>
        <n v="1816"/>
        <n v="861"/>
        <n v="2480"/>
        <n v="143"/>
        <n v="50"/>
        <n v="455"/>
        <n v="5900"/>
        <n v="946"/>
        <n v="1136"/>
        <n v="3032"/>
        <n v="2896"/>
        <n v="729"/>
        <n v="454"/>
      </sharedItems>
    </cacheField>
    <cacheField name="Buyer Type" numFmtId="0">
      <sharedItems count="3">
        <s v="Online"/>
        <s v="Distributor"/>
        <s v="Walk-in"/>
      </sharedItems>
    </cacheField>
    <cacheField name="Sales Channel" numFmtId="0">
      <sharedItems count="4">
        <s v="3rd Party"/>
        <s v="Phone"/>
        <s v="App"/>
        <s v="Warehouse"/>
      </sharedItems>
    </cacheField>
    <cacheField name="Payment Method" numFmtId="0">
      <sharedItems count="3">
        <s v="UPI"/>
        <s v="Cash"/>
        <s v="Credit"/>
      </sharedItems>
    </cacheField>
    <cacheField name="Delivery Status" numFmtId="0">
      <sharedItems/>
    </cacheField>
    <cacheField name="Stock In" numFmtId="0">
      <sharedItems containsSemiMixedTypes="0" containsString="0" containsNumber="1" containsInteger="1" minValue="500" maxValue="1000"/>
    </cacheField>
    <cacheField name="Stock Out" numFmtId="0">
      <sharedItems containsSemiMixedTypes="0" containsString="0" containsNumber="1" containsInteger="1" minValue="10" maxValue="500"/>
    </cacheField>
    <cacheField name="Branch City" numFmtId="0">
      <sharedItems count="20">
        <s v="Surat"/>
        <s v="Kolkata"/>
        <s v="Mumbai"/>
        <s v="Nagpur"/>
        <s v="Lucknow"/>
        <s v="Ahmedabad"/>
        <s v="Bhopal"/>
        <s v="Bengaluru"/>
        <s v="Coimbatore"/>
        <s v="Guwahati"/>
        <s v="Chandigarh"/>
        <s v="Patna"/>
        <s v="Noida"/>
        <s v="Pune"/>
        <s v="Chennai"/>
        <s v="Delhi"/>
        <s v="Indore"/>
        <s v="Hyderabad"/>
        <s v="Jaipur"/>
        <s v="Ranchi"/>
      </sharedItems>
    </cacheField>
    <cacheField name="Branch State" numFmtId="0">
      <sharedItems count="14">
        <s v="Gujarat"/>
        <s v="West Bengal"/>
        <s v="Maharashtra"/>
        <s v="Uttar Pradesh"/>
        <s v="Madhya Pradesh"/>
        <s v="Karnataka"/>
        <s v="Tamil Nadu"/>
        <s v="Assam"/>
        <s v="Punjab"/>
        <s v="Bihar"/>
        <s v="Delhi"/>
        <s v="Telangana"/>
        <s v="Rajasthan"/>
        <s v="Jharkhand"/>
      </sharedItems>
    </cacheField>
    <cacheField name="Delivery Zone Area" numFmtId="0">
      <sharedItems count="19">
        <s v="West Surat"/>
        <s v="North Kolkata"/>
        <s v="Central Mumbai"/>
        <s v="Central Nagpur"/>
        <s v="Central Lucknow"/>
        <s v="North Ahmedabad"/>
        <s v="West Bhopal"/>
        <s v="East Bengaluru"/>
        <s v="North Coimbatore"/>
        <s v="Central Guwahati"/>
        <s v="General Delivery Zone"/>
        <s v="South Patna"/>
        <s v="East Pune"/>
        <s v="Central Chennai"/>
        <s v="South Delhi"/>
        <s v="East Indore"/>
        <s v="West Hyderabad"/>
        <s v="North Jaipur"/>
        <s v="East Ranchi"/>
      </sharedItems>
    </cacheField>
    <cacheField name="Year" numFmtId="0">
      <sharedItems containsSemiMixedTypes="0" containsString="0" containsNumber="1" containsInteger="1" minValue="2020" maxValue="2024" count="5">
        <n v="2022"/>
        <n v="2020"/>
        <n v="2023"/>
        <n v="2021"/>
        <n v="2024"/>
      </sharedItems>
    </cacheField>
    <cacheField name="Month" numFmtId="0">
      <sharedItems count="12">
        <s v="January"/>
        <s v="April"/>
        <s v="September"/>
        <s v="May"/>
        <s v="July"/>
        <s v="February"/>
        <s v="March"/>
        <s v="June"/>
        <s v="October"/>
        <s v="August"/>
        <s v="November"/>
        <s v="December"/>
      </sharedItems>
    </cacheField>
    <cacheField name="Column1" numFmtId="0">
      <sharedItems containsBlank="1"/>
    </cacheField>
  </cacheFields>
  <extLst>
    <ext xmlns:x14="http://schemas.microsoft.com/office/spreadsheetml/2009/9/main" uri="{725AE2AE-9491-48be-B2B4-4EB974FC3084}">
      <x14:pivotCacheDefinition pivotCacheId="1864684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0">
  <r>
    <d v="2022-01-31T00:00:00"/>
    <x v="0"/>
    <s v="Takeaway Boxes"/>
    <s v="Large"/>
    <x v="0"/>
    <x v="0"/>
    <x v="0"/>
    <n v="5"/>
    <n v="1050"/>
    <x v="0"/>
    <x v="0"/>
    <x v="0"/>
    <x v="0"/>
    <s v="Delayed"/>
    <n v="872"/>
    <n v="210"/>
    <x v="0"/>
    <x v="0"/>
    <x v="0"/>
    <x v="0"/>
    <x v="0"/>
    <m/>
  </r>
  <r>
    <d v="2022-02-01T00:00:00"/>
    <x v="1"/>
    <s v="Glass &amp; Bottles"/>
    <s v="750ml"/>
    <x v="1"/>
    <x v="1"/>
    <x v="1"/>
    <n v="12"/>
    <n v="2352"/>
    <x v="1"/>
    <x v="1"/>
    <x v="1"/>
    <x v="1"/>
    <s v="Returned"/>
    <n v="785"/>
    <n v="196"/>
    <x v="1"/>
    <x v="1"/>
    <x v="1"/>
    <x v="1"/>
    <x v="0"/>
    <m/>
  </r>
  <r>
    <d v="2022-02-02T00:00:00"/>
    <x v="0"/>
    <s v="Takeaway Boxes"/>
    <s v="Large"/>
    <x v="2"/>
    <x v="0"/>
    <x v="2"/>
    <n v="5"/>
    <n v="1005"/>
    <x v="2"/>
    <x v="2"/>
    <x v="0"/>
    <x v="1"/>
    <s v="Delivered"/>
    <n v="762"/>
    <n v="201"/>
    <x v="2"/>
    <x v="2"/>
    <x v="2"/>
    <x v="1"/>
    <x v="1"/>
    <m/>
  </r>
  <r>
    <d v="2022-02-03T00:00:00"/>
    <x v="2"/>
    <s v="Housekeeping Items"/>
    <s v="Standard"/>
    <x v="3"/>
    <x v="2"/>
    <x v="3"/>
    <n v="100"/>
    <n v="5500"/>
    <x v="3"/>
    <x v="2"/>
    <x v="0"/>
    <x v="1"/>
    <s v="Delayed"/>
    <n v="865"/>
    <n v="55"/>
    <x v="3"/>
    <x v="2"/>
    <x v="3"/>
    <x v="2"/>
    <x v="2"/>
    <m/>
  </r>
  <r>
    <d v="2022-02-04T00:00:00"/>
    <x v="2"/>
    <s v="Housekeeping Items"/>
    <s v="Standard"/>
    <x v="4"/>
    <x v="2"/>
    <x v="4"/>
    <n v="100"/>
    <n v="35800"/>
    <x v="4"/>
    <x v="0"/>
    <x v="0"/>
    <x v="1"/>
    <s v="Delivered"/>
    <n v="962"/>
    <n v="358"/>
    <x v="4"/>
    <x v="3"/>
    <x v="4"/>
    <x v="2"/>
    <x v="3"/>
    <m/>
  </r>
  <r>
    <d v="2022-02-05T00:00:00"/>
    <x v="3"/>
    <s v="Containers"/>
    <s v="1L"/>
    <x v="5"/>
    <x v="3"/>
    <x v="5"/>
    <n v="3"/>
    <n v="606"/>
    <x v="5"/>
    <x v="1"/>
    <x v="0"/>
    <x v="2"/>
    <s v="Delivered"/>
    <n v="837"/>
    <n v="202"/>
    <x v="1"/>
    <x v="1"/>
    <x v="1"/>
    <x v="3"/>
    <x v="4"/>
    <m/>
  </r>
  <r>
    <d v="2022-02-06T00:00:00"/>
    <x v="0"/>
    <s v="Takeaway Boxes"/>
    <s v="Large"/>
    <x v="6"/>
    <x v="0"/>
    <x v="6"/>
    <n v="5"/>
    <n v="795"/>
    <x v="6"/>
    <x v="0"/>
    <x v="2"/>
    <x v="1"/>
    <s v="Delayed"/>
    <n v="869"/>
    <n v="159"/>
    <x v="5"/>
    <x v="0"/>
    <x v="5"/>
    <x v="2"/>
    <x v="5"/>
    <m/>
  </r>
  <r>
    <d v="2022-02-07T00:00:00"/>
    <x v="0"/>
    <s v="Takeaway Boxes"/>
    <s v="Large"/>
    <x v="7"/>
    <x v="0"/>
    <x v="7"/>
    <n v="5"/>
    <n v="875"/>
    <x v="7"/>
    <x v="0"/>
    <x v="2"/>
    <x v="0"/>
    <s v="Delivered"/>
    <n v="952"/>
    <n v="175"/>
    <x v="6"/>
    <x v="4"/>
    <x v="6"/>
    <x v="1"/>
    <x v="0"/>
    <m/>
  </r>
  <r>
    <d v="2022-02-08T00:00:00"/>
    <x v="1"/>
    <s v="Glass &amp; Bottles"/>
    <s v="750ml"/>
    <x v="8"/>
    <x v="1"/>
    <x v="8"/>
    <n v="12"/>
    <n v="2196"/>
    <x v="8"/>
    <x v="0"/>
    <x v="2"/>
    <x v="0"/>
    <s v="Returned"/>
    <n v="737"/>
    <n v="183"/>
    <x v="7"/>
    <x v="5"/>
    <x v="7"/>
    <x v="4"/>
    <x v="3"/>
    <m/>
  </r>
  <r>
    <d v="2022-02-09T00:00:00"/>
    <x v="3"/>
    <s v="Containers"/>
    <s v="1L"/>
    <x v="6"/>
    <x v="3"/>
    <x v="9"/>
    <n v="3"/>
    <n v="477"/>
    <x v="9"/>
    <x v="2"/>
    <x v="3"/>
    <x v="2"/>
    <s v="Returned"/>
    <n v="753"/>
    <n v="159"/>
    <x v="8"/>
    <x v="6"/>
    <x v="8"/>
    <x v="1"/>
    <x v="0"/>
    <m/>
  </r>
  <r>
    <d v="2022-02-10T00:00:00"/>
    <x v="1"/>
    <s v="Glass &amp; Bottles"/>
    <s v="750ml"/>
    <x v="9"/>
    <x v="1"/>
    <x v="10"/>
    <n v="12"/>
    <n v="4500"/>
    <x v="10"/>
    <x v="1"/>
    <x v="0"/>
    <x v="0"/>
    <s v="Delayed"/>
    <n v="558"/>
    <n v="375"/>
    <x v="9"/>
    <x v="7"/>
    <x v="9"/>
    <x v="1"/>
    <x v="1"/>
    <s v=" "/>
  </r>
  <r>
    <d v="2022-02-11T00:00:00"/>
    <x v="4"/>
    <s v="Plates &amp; Bowls"/>
    <s v="500ml"/>
    <x v="10"/>
    <x v="4"/>
    <x v="11"/>
    <n v="1.5"/>
    <n v="739.5"/>
    <x v="11"/>
    <x v="0"/>
    <x v="0"/>
    <x v="1"/>
    <s v="Delayed"/>
    <n v="936"/>
    <n v="493"/>
    <x v="7"/>
    <x v="5"/>
    <x v="7"/>
    <x v="2"/>
    <x v="2"/>
    <m/>
  </r>
  <r>
    <d v="2022-02-12T00:00:00"/>
    <x v="4"/>
    <s v="Plates &amp; Bowls"/>
    <s v="500ml"/>
    <x v="11"/>
    <x v="4"/>
    <x v="12"/>
    <n v="1.5"/>
    <n v="583.5"/>
    <x v="12"/>
    <x v="1"/>
    <x v="3"/>
    <x v="1"/>
    <s v="Delivered"/>
    <n v="737"/>
    <n v="389"/>
    <x v="10"/>
    <x v="8"/>
    <x v="10"/>
    <x v="3"/>
    <x v="6"/>
    <m/>
  </r>
  <r>
    <d v="2022-02-13T00:00:00"/>
    <x v="1"/>
    <s v="Glass &amp; Bottles"/>
    <s v="750ml"/>
    <x v="12"/>
    <x v="1"/>
    <x v="13"/>
    <n v="12"/>
    <n v="2016"/>
    <x v="13"/>
    <x v="2"/>
    <x v="1"/>
    <x v="1"/>
    <s v="Delayed"/>
    <n v="999"/>
    <n v="168"/>
    <x v="11"/>
    <x v="9"/>
    <x v="11"/>
    <x v="0"/>
    <x v="2"/>
    <m/>
  </r>
  <r>
    <d v="2022-02-14T00:00:00"/>
    <x v="4"/>
    <s v="Plates &amp; Bowls"/>
    <s v="500ml"/>
    <x v="13"/>
    <x v="4"/>
    <x v="14"/>
    <n v="1.5"/>
    <n v="573"/>
    <x v="14"/>
    <x v="0"/>
    <x v="0"/>
    <x v="1"/>
    <s v="Delayed"/>
    <n v="974"/>
    <n v="382"/>
    <x v="1"/>
    <x v="1"/>
    <x v="1"/>
    <x v="3"/>
    <x v="3"/>
    <m/>
  </r>
  <r>
    <d v="2022-02-15T00:00:00"/>
    <x v="2"/>
    <s v="Housekeeping Items"/>
    <s v="Standard"/>
    <x v="14"/>
    <x v="2"/>
    <x v="15"/>
    <n v="100"/>
    <n v="30100"/>
    <x v="15"/>
    <x v="0"/>
    <x v="3"/>
    <x v="0"/>
    <s v="Delayed"/>
    <n v="890"/>
    <n v="301"/>
    <x v="12"/>
    <x v="3"/>
    <x v="10"/>
    <x v="2"/>
    <x v="7"/>
    <m/>
  </r>
  <r>
    <d v="2022-02-16T00:00:00"/>
    <x v="1"/>
    <s v="Glass &amp; Bottles"/>
    <s v="750ml"/>
    <x v="15"/>
    <x v="1"/>
    <x v="16"/>
    <n v="12"/>
    <n v="4428"/>
    <x v="16"/>
    <x v="2"/>
    <x v="2"/>
    <x v="1"/>
    <s v="Delayed"/>
    <n v="945"/>
    <n v="369"/>
    <x v="13"/>
    <x v="2"/>
    <x v="12"/>
    <x v="2"/>
    <x v="3"/>
    <m/>
  </r>
  <r>
    <d v="2022-02-17T00:00:00"/>
    <x v="3"/>
    <s v="Containers"/>
    <s v="1L"/>
    <x v="16"/>
    <x v="3"/>
    <x v="17"/>
    <n v="3"/>
    <n v="708"/>
    <x v="17"/>
    <x v="2"/>
    <x v="0"/>
    <x v="1"/>
    <s v="Returned"/>
    <n v="597"/>
    <n v="236"/>
    <x v="7"/>
    <x v="5"/>
    <x v="7"/>
    <x v="3"/>
    <x v="0"/>
    <m/>
  </r>
  <r>
    <d v="2022-02-18T00:00:00"/>
    <x v="2"/>
    <s v="Housekeeping Items"/>
    <s v="Standard"/>
    <x v="17"/>
    <x v="2"/>
    <x v="18"/>
    <n v="100"/>
    <n v="39900"/>
    <x v="18"/>
    <x v="0"/>
    <x v="0"/>
    <x v="2"/>
    <s v="Delivered"/>
    <n v="509"/>
    <n v="399"/>
    <x v="14"/>
    <x v="6"/>
    <x v="13"/>
    <x v="0"/>
    <x v="7"/>
    <m/>
  </r>
  <r>
    <d v="2022-02-19T00:00:00"/>
    <x v="3"/>
    <s v="Containers"/>
    <s v="1L"/>
    <x v="18"/>
    <x v="3"/>
    <x v="19"/>
    <n v="3"/>
    <n v="1080"/>
    <x v="19"/>
    <x v="2"/>
    <x v="1"/>
    <x v="0"/>
    <s v="Delayed"/>
    <n v="638"/>
    <n v="360"/>
    <x v="10"/>
    <x v="8"/>
    <x v="10"/>
    <x v="4"/>
    <x v="8"/>
    <m/>
  </r>
  <r>
    <d v="2022-02-20T00:00:00"/>
    <x v="4"/>
    <s v="Plates &amp; Bowls"/>
    <s v="500ml"/>
    <x v="19"/>
    <x v="4"/>
    <x v="20"/>
    <n v="1.5"/>
    <n v="129"/>
    <x v="20"/>
    <x v="0"/>
    <x v="2"/>
    <x v="1"/>
    <s v="Returned"/>
    <n v="576"/>
    <n v="86"/>
    <x v="7"/>
    <x v="5"/>
    <x v="7"/>
    <x v="2"/>
    <x v="4"/>
    <m/>
  </r>
  <r>
    <d v="2022-02-21T00:00:00"/>
    <x v="1"/>
    <s v="Glass &amp; Bottles"/>
    <s v="750ml"/>
    <x v="20"/>
    <x v="1"/>
    <x v="21"/>
    <n v="12"/>
    <n v="1224"/>
    <x v="21"/>
    <x v="0"/>
    <x v="2"/>
    <x v="0"/>
    <s v="Delivered"/>
    <n v="505"/>
    <n v="102"/>
    <x v="12"/>
    <x v="3"/>
    <x v="10"/>
    <x v="3"/>
    <x v="6"/>
    <m/>
  </r>
  <r>
    <d v="2022-02-22T00:00:00"/>
    <x v="3"/>
    <s v="Containers"/>
    <s v="1L"/>
    <x v="21"/>
    <x v="3"/>
    <x v="22"/>
    <n v="3"/>
    <n v="687"/>
    <x v="22"/>
    <x v="2"/>
    <x v="3"/>
    <x v="0"/>
    <s v="Delivered"/>
    <n v="992"/>
    <n v="229"/>
    <x v="4"/>
    <x v="3"/>
    <x v="4"/>
    <x v="1"/>
    <x v="9"/>
    <m/>
  </r>
  <r>
    <d v="2022-02-23T00:00:00"/>
    <x v="5"/>
    <s v="Cutlery"/>
    <s v="3pcs"/>
    <x v="22"/>
    <x v="5"/>
    <x v="23"/>
    <n v="4"/>
    <n v="276"/>
    <x v="23"/>
    <x v="0"/>
    <x v="2"/>
    <x v="0"/>
    <s v="Delayed"/>
    <n v="986"/>
    <n v="69"/>
    <x v="4"/>
    <x v="3"/>
    <x v="4"/>
    <x v="0"/>
    <x v="8"/>
    <m/>
  </r>
  <r>
    <d v="2022-02-24T00:00:00"/>
    <x v="4"/>
    <s v="Plates &amp; Bowls"/>
    <s v="500ml"/>
    <x v="23"/>
    <x v="4"/>
    <x v="24"/>
    <n v="1.5"/>
    <n v="465"/>
    <x v="24"/>
    <x v="0"/>
    <x v="0"/>
    <x v="0"/>
    <s v="Returned"/>
    <n v="710"/>
    <n v="310"/>
    <x v="15"/>
    <x v="10"/>
    <x v="14"/>
    <x v="3"/>
    <x v="0"/>
    <m/>
  </r>
  <r>
    <d v="2022-02-25T00:00:00"/>
    <x v="5"/>
    <s v="Cutlery"/>
    <s v="3pcs"/>
    <x v="24"/>
    <x v="5"/>
    <x v="25"/>
    <n v="4"/>
    <n v="1304"/>
    <x v="25"/>
    <x v="0"/>
    <x v="1"/>
    <x v="2"/>
    <s v="Returned"/>
    <n v="564"/>
    <n v="326"/>
    <x v="4"/>
    <x v="3"/>
    <x v="4"/>
    <x v="4"/>
    <x v="2"/>
    <m/>
  </r>
  <r>
    <d v="2022-02-26T00:00:00"/>
    <x v="5"/>
    <s v="Cutlery"/>
    <s v="3pcs"/>
    <x v="25"/>
    <x v="5"/>
    <x v="26"/>
    <n v="4"/>
    <n v="1724"/>
    <x v="26"/>
    <x v="2"/>
    <x v="2"/>
    <x v="0"/>
    <s v="Returned"/>
    <n v="941"/>
    <n v="431"/>
    <x v="16"/>
    <x v="4"/>
    <x v="15"/>
    <x v="3"/>
    <x v="3"/>
    <m/>
  </r>
  <r>
    <d v="2022-02-27T00:00:00"/>
    <x v="0"/>
    <s v="Takeaway Boxes"/>
    <s v="Large"/>
    <x v="26"/>
    <x v="0"/>
    <x v="27"/>
    <n v="5"/>
    <n v="2025"/>
    <x v="27"/>
    <x v="0"/>
    <x v="1"/>
    <x v="1"/>
    <s v="Returned"/>
    <n v="842"/>
    <n v="405"/>
    <x v="0"/>
    <x v="0"/>
    <x v="0"/>
    <x v="0"/>
    <x v="5"/>
    <m/>
  </r>
  <r>
    <d v="2022-02-28T00:00:00"/>
    <x v="5"/>
    <s v="Cutlery"/>
    <s v="3pcs"/>
    <x v="27"/>
    <x v="5"/>
    <x v="28"/>
    <n v="4"/>
    <n v="1632"/>
    <x v="21"/>
    <x v="0"/>
    <x v="3"/>
    <x v="1"/>
    <s v="Delivered"/>
    <n v="501"/>
    <n v="408"/>
    <x v="12"/>
    <x v="3"/>
    <x v="10"/>
    <x v="1"/>
    <x v="10"/>
    <m/>
  </r>
  <r>
    <d v="2022-03-01T00:00:00"/>
    <x v="0"/>
    <s v="Takeaway Boxes"/>
    <s v="Large"/>
    <x v="28"/>
    <x v="0"/>
    <x v="29"/>
    <n v="5"/>
    <n v="1545"/>
    <x v="28"/>
    <x v="0"/>
    <x v="1"/>
    <x v="1"/>
    <s v="Returned"/>
    <n v="963"/>
    <n v="309"/>
    <x v="13"/>
    <x v="2"/>
    <x v="12"/>
    <x v="0"/>
    <x v="5"/>
    <m/>
  </r>
  <r>
    <d v="2022-03-02T00:00:00"/>
    <x v="0"/>
    <s v="Takeaway Boxes"/>
    <s v="Large"/>
    <x v="29"/>
    <x v="0"/>
    <x v="30"/>
    <n v="5"/>
    <n v="1475"/>
    <x v="29"/>
    <x v="0"/>
    <x v="1"/>
    <x v="1"/>
    <s v="Delivered"/>
    <n v="906"/>
    <n v="295"/>
    <x v="6"/>
    <x v="4"/>
    <x v="6"/>
    <x v="0"/>
    <x v="8"/>
    <m/>
  </r>
  <r>
    <d v="2022-03-03T00:00:00"/>
    <x v="2"/>
    <s v="Housekeeping Items"/>
    <s v="Standard"/>
    <x v="30"/>
    <x v="2"/>
    <x v="31"/>
    <n v="100"/>
    <n v="19100"/>
    <x v="30"/>
    <x v="0"/>
    <x v="1"/>
    <x v="0"/>
    <s v="Delivered"/>
    <n v="902"/>
    <n v="191"/>
    <x v="17"/>
    <x v="11"/>
    <x v="16"/>
    <x v="4"/>
    <x v="0"/>
    <m/>
  </r>
  <r>
    <d v="2022-03-04T00:00:00"/>
    <x v="2"/>
    <s v="Housekeeping Items"/>
    <s v="Standard"/>
    <x v="31"/>
    <x v="2"/>
    <x v="32"/>
    <n v="100"/>
    <n v="34000"/>
    <x v="31"/>
    <x v="2"/>
    <x v="2"/>
    <x v="2"/>
    <s v="Delayed"/>
    <n v="784"/>
    <n v="340"/>
    <x v="0"/>
    <x v="0"/>
    <x v="0"/>
    <x v="1"/>
    <x v="10"/>
    <m/>
  </r>
  <r>
    <d v="2022-03-05T00:00:00"/>
    <x v="4"/>
    <s v="Plates &amp; Bowls"/>
    <s v="500ml"/>
    <x v="32"/>
    <x v="4"/>
    <x v="33"/>
    <n v="1.5"/>
    <n v="498"/>
    <x v="32"/>
    <x v="0"/>
    <x v="2"/>
    <x v="2"/>
    <s v="Delayed"/>
    <n v="540"/>
    <n v="332"/>
    <x v="15"/>
    <x v="10"/>
    <x v="14"/>
    <x v="1"/>
    <x v="0"/>
    <m/>
  </r>
  <r>
    <d v="2022-03-06T00:00:00"/>
    <x v="2"/>
    <s v="Housekeeping Items"/>
    <s v="Standard"/>
    <x v="33"/>
    <x v="2"/>
    <x v="34"/>
    <n v="100"/>
    <n v="26400"/>
    <x v="33"/>
    <x v="1"/>
    <x v="2"/>
    <x v="1"/>
    <s v="Delayed"/>
    <n v="711"/>
    <n v="264"/>
    <x v="2"/>
    <x v="2"/>
    <x v="2"/>
    <x v="0"/>
    <x v="3"/>
    <m/>
  </r>
  <r>
    <d v="2022-03-07T00:00:00"/>
    <x v="1"/>
    <s v="Glass &amp; Bottles"/>
    <s v="750ml"/>
    <x v="34"/>
    <x v="1"/>
    <x v="35"/>
    <n v="12"/>
    <n v="4056"/>
    <x v="34"/>
    <x v="1"/>
    <x v="2"/>
    <x v="0"/>
    <s v="Returned"/>
    <n v="686"/>
    <n v="338"/>
    <x v="6"/>
    <x v="4"/>
    <x v="6"/>
    <x v="0"/>
    <x v="10"/>
    <m/>
  </r>
  <r>
    <d v="2022-03-08T00:00:00"/>
    <x v="4"/>
    <s v="Plates &amp; Bowls"/>
    <s v="500ml"/>
    <x v="35"/>
    <x v="4"/>
    <x v="36"/>
    <n v="1.5"/>
    <n v="201"/>
    <x v="35"/>
    <x v="1"/>
    <x v="1"/>
    <x v="1"/>
    <s v="Delayed"/>
    <n v="838"/>
    <n v="134"/>
    <x v="17"/>
    <x v="11"/>
    <x v="16"/>
    <x v="3"/>
    <x v="8"/>
    <m/>
  </r>
  <r>
    <d v="2022-03-09T00:00:00"/>
    <x v="4"/>
    <s v="Plates &amp; Bowls"/>
    <s v="500ml"/>
    <x v="36"/>
    <x v="4"/>
    <x v="37"/>
    <n v="1.5"/>
    <n v="192"/>
    <x v="36"/>
    <x v="2"/>
    <x v="0"/>
    <x v="0"/>
    <s v="Delivered"/>
    <n v="688"/>
    <n v="128"/>
    <x v="4"/>
    <x v="3"/>
    <x v="4"/>
    <x v="2"/>
    <x v="9"/>
    <m/>
  </r>
  <r>
    <d v="2022-03-10T00:00:00"/>
    <x v="1"/>
    <s v="Glass &amp; Bottles"/>
    <s v="750ml"/>
    <x v="37"/>
    <x v="1"/>
    <x v="38"/>
    <n v="12"/>
    <n v="2964"/>
    <x v="37"/>
    <x v="2"/>
    <x v="0"/>
    <x v="1"/>
    <s v="Delayed"/>
    <n v="975"/>
    <n v="247"/>
    <x v="15"/>
    <x v="10"/>
    <x v="14"/>
    <x v="1"/>
    <x v="4"/>
    <m/>
  </r>
  <r>
    <d v="2022-03-11T00:00:00"/>
    <x v="2"/>
    <s v="Housekeeping Items"/>
    <s v="Standard"/>
    <x v="38"/>
    <x v="2"/>
    <x v="39"/>
    <n v="100"/>
    <n v="31600"/>
    <x v="38"/>
    <x v="0"/>
    <x v="0"/>
    <x v="1"/>
    <s v="Delayed"/>
    <n v="735"/>
    <n v="316"/>
    <x v="16"/>
    <x v="4"/>
    <x v="15"/>
    <x v="0"/>
    <x v="11"/>
    <m/>
  </r>
  <r>
    <d v="2022-03-12T00:00:00"/>
    <x v="4"/>
    <s v="Plates &amp; Bowls"/>
    <s v="500ml"/>
    <x v="39"/>
    <x v="4"/>
    <x v="40"/>
    <n v="1.5"/>
    <n v="664.5"/>
    <x v="39"/>
    <x v="2"/>
    <x v="0"/>
    <x v="1"/>
    <s v="Delivered"/>
    <n v="868"/>
    <n v="443"/>
    <x v="3"/>
    <x v="2"/>
    <x v="3"/>
    <x v="4"/>
    <x v="2"/>
    <m/>
  </r>
  <r>
    <d v="2022-03-13T00:00:00"/>
    <x v="2"/>
    <s v="Housekeeping Items"/>
    <s v="Standard"/>
    <x v="40"/>
    <x v="2"/>
    <x v="41"/>
    <n v="100"/>
    <n v="30300"/>
    <x v="40"/>
    <x v="0"/>
    <x v="2"/>
    <x v="1"/>
    <s v="Returned"/>
    <n v="762"/>
    <n v="303"/>
    <x v="3"/>
    <x v="2"/>
    <x v="3"/>
    <x v="1"/>
    <x v="10"/>
    <m/>
  </r>
  <r>
    <d v="2022-03-14T00:00:00"/>
    <x v="3"/>
    <s v="Containers"/>
    <s v="1L"/>
    <x v="18"/>
    <x v="3"/>
    <x v="19"/>
    <n v="3"/>
    <n v="1080"/>
    <x v="19"/>
    <x v="1"/>
    <x v="2"/>
    <x v="2"/>
    <s v="Delayed"/>
    <n v="853"/>
    <n v="360"/>
    <x v="18"/>
    <x v="12"/>
    <x v="17"/>
    <x v="2"/>
    <x v="9"/>
    <m/>
  </r>
  <r>
    <d v="2022-03-15T00:00:00"/>
    <x v="5"/>
    <s v="Cutlery"/>
    <s v="3pcs"/>
    <x v="41"/>
    <x v="5"/>
    <x v="42"/>
    <n v="4"/>
    <n v="284"/>
    <x v="41"/>
    <x v="2"/>
    <x v="1"/>
    <x v="2"/>
    <s v="Returned"/>
    <n v="957"/>
    <n v="71"/>
    <x v="11"/>
    <x v="9"/>
    <x v="11"/>
    <x v="3"/>
    <x v="6"/>
    <m/>
  </r>
  <r>
    <d v="2022-03-16T00:00:00"/>
    <x v="5"/>
    <s v="Cutlery"/>
    <s v="3pcs"/>
    <x v="42"/>
    <x v="5"/>
    <x v="43"/>
    <n v="4"/>
    <n v="364"/>
    <x v="42"/>
    <x v="1"/>
    <x v="1"/>
    <x v="1"/>
    <s v="Delayed"/>
    <n v="781"/>
    <n v="91"/>
    <x v="15"/>
    <x v="10"/>
    <x v="14"/>
    <x v="3"/>
    <x v="2"/>
    <m/>
  </r>
  <r>
    <d v="2022-03-17T00:00:00"/>
    <x v="5"/>
    <s v="Cutlery"/>
    <s v="3pcs"/>
    <x v="43"/>
    <x v="5"/>
    <x v="44"/>
    <n v="4"/>
    <n v="1672"/>
    <x v="43"/>
    <x v="1"/>
    <x v="2"/>
    <x v="0"/>
    <s v="Delivered"/>
    <n v="648"/>
    <n v="418"/>
    <x v="6"/>
    <x v="4"/>
    <x v="6"/>
    <x v="2"/>
    <x v="3"/>
    <m/>
  </r>
  <r>
    <d v="2022-03-18T00:00:00"/>
    <x v="0"/>
    <s v="Takeaway Boxes"/>
    <s v="Large"/>
    <x v="44"/>
    <x v="0"/>
    <x v="45"/>
    <n v="5"/>
    <n v="2495"/>
    <x v="44"/>
    <x v="2"/>
    <x v="1"/>
    <x v="1"/>
    <s v="Delivered"/>
    <n v="738"/>
    <n v="499"/>
    <x v="5"/>
    <x v="0"/>
    <x v="5"/>
    <x v="1"/>
    <x v="10"/>
    <m/>
  </r>
  <r>
    <d v="2022-03-19T00:00:00"/>
    <x v="3"/>
    <s v="Containers"/>
    <s v="1L"/>
    <x v="45"/>
    <x v="3"/>
    <x v="46"/>
    <n v="3"/>
    <n v="60"/>
    <x v="45"/>
    <x v="0"/>
    <x v="1"/>
    <x v="0"/>
    <s v="Returned"/>
    <n v="872"/>
    <n v="20"/>
    <x v="17"/>
    <x v="11"/>
    <x v="16"/>
    <x v="2"/>
    <x v="4"/>
    <m/>
  </r>
  <r>
    <d v="2022-03-20T00:00:00"/>
    <x v="2"/>
    <s v="Housekeeping Items"/>
    <s v="Standard"/>
    <x v="14"/>
    <x v="2"/>
    <x v="15"/>
    <n v="100"/>
    <n v="30100"/>
    <x v="15"/>
    <x v="1"/>
    <x v="0"/>
    <x v="1"/>
    <s v="Delivered"/>
    <n v="777"/>
    <n v="301"/>
    <x v="3"/>
    <x v="2"/>
    <x v="3"/>
    <x v="1"/>
    <x v="5"/>
    <m/>
  </r>
  <r>
    <d v="2022-03-21T00:00:00"/>
    <x v="5"/>
    <s v="Cutlery"/>
    <s v="3pcs"/>
    <x v="20"/>
    <x v="5"/>
    <x v="47"/>
    <n v="4"/>
    <n v="408"/>
    <x v="46"/>
    <x v="0"/>
    <x v="1"/>
    <x v="1"/>
    <s v="Returned"/>
    <n v="606"/>
    <n v="102"/>
    <x v="7"/>
    <x v="5"/>
    <x v="7"/>
    <x v="4"/>
    <x v="3"/>
    <m/>
  </r>
  <r>
    <d v="2022-03-22T00:00:00"/>
    <x v="2"/>
    <s v="Housekeeping Items"/>
    <s v="Standard"/>
    <x v="46"/>
    <x v="2"/>
    <x v="48"/>
    <n v="100"/>
    <n v="42700"/>
    <x v="47"/>
    <x v="1"/>
    <x v="3"/>
    <x v="1"/>
    <s v="Delivered"/>
    <n v="920"/>
    <n v="427"/>
    <x v="1"/>
    <x v="1"/>
    <x v="1"/>
    <x v="0"/>
    <x v="10"/>
    <m/>
  </r>
  <r>
    <d v="2022-03-23T00:00:00"/>
    <x v="3"/>
    <s v="Containers"/>
    <s v="1L"/>
    <x v="47"/>
    <x v="3"/>
    <x v="49"/>
    <n v="3"/>
    <n v="174"/>
    <x v="48"/>
    <x v="0"/>
    <x v="1"/>
    <x v="1"/>
    <s v="Returned"/>
    <n v="549"/>
    <n v="58"/>
    <x v="3"/>
    <x v="2"/>
    <x v="3"/>
    <x v="1"/>
    <x v="10"/>
    <m/>
  </r>
  <r>
    <d v="2022-03-24T00:00:00"/>
    <x v="3"/>
    <s v="Containers"/>
    <s v="1L"/>
    <x v="16"/>
    <x v="3"/>
    <x v="17"/>
    <n v="3"/>
    <n v="708"/>
    <x v="17"/>
    <x v="0"/>
    <x v="1"/>
    <x v="1"/>
    <s v="Delayed"/>
    <n v="629"/>
    <n v="236"/>
    <x v="5"/>
    <x v="0"/>
    <x v="5"/>
    <x v="4"/>
    <x v="7"/>
    <m/>
  </r>
  <r>
    <d v="2022-03-25T00:00:00"/>
    <x v="0"/>
    <s v="Takeaway Boxes"/>
    <s v="Large"/>
    <x v="48"/>
    <x v="0"/>
    <x v="50"/>
    <n v="5"/>
    <n v="1525"/>
    <x v="49"/>
    <x v="1"/>
    <x v="0"/>
    <x v="1"/>
    <s v="Returned"/>
    <n v="917"/>
    <n v="305"/>
    <x v="8"/>
    <x v="6"/>
    <x v="8"/>
    <x v="4"/>
    <x v="11"/>
    <m/>
  </r>
  <r>
    <d v="2022-03-26T00:00:00"/>
    <x v="2"/>
    <s v="Housekeeping Items"/>
    <s v="Standard"/>
    <x v="49"/>
    <x v="2"/>
    <x v="51"/>
    <n v="100"/>
    <n v="25800"/>
    <x v="50"/>
    <x v="0"/>
    <x v="1"/>
    <x v="0"/>
    <s v="Returned"/>
    <n v="674"/>
    <n v="258"/>
    <x v="13"/>
    <x v="2"/>
    <x v="12"/>
    <x v="3"/>
    <x v="8"/>
    <m/>
  </r>
  <r>
    <d v="2022-03-27T00:00:00"/>
    <x v="0"/>
    <s v="Takeaway Boxes"/>
    <s v="Large"/>
    <x v="50"/>
    <x v="0"/>
    <x v="52"/>
    <n v="5"/>
    <n v="1705"/>
    <x v="51"/>
    <x v="0"/>
    <x v="1"/>
    <x v="2"/>
    <s v="Delayed"/>
    <n v="791"/>
    <n v="341"/>
    <x v="2"/>
    <x v="2"/>
    <x v="2"/>
    <x v="0"/>
    <x v="4"/>
    <m/>
  </r>
  <r>
    <d v="2022-03-28T00:00:00"/>
    <x v="4"/>
    <s v="Plates &amp; Bowls"/>
    <s v="500ml"/>
    <x v="51"/>
    <x v="4"/>
    <x v="17"/>
    <n v="1.5"/>
    <n v="708"/>
    <x v="17"/>
    <x v="0"/>
    <x v="0"/>
    <x v="1"/>
    <s v="Returned"/>
    <n v="856"/>
    <n v="472"/>
    <x v="15"/>
    <x v="10"/>
    <x v="14"/>
    <x v="4"/>
    <x v="3"/>
    <m/>
  </r>
  <r>
    <d v="2022-03-29T00:00:00"/>
    <x v="3"/>
    <s v="Containers"/>
    <s v="1L"/>
    <x v="52"/>
    <x v="3"/>
    <x v="53"/>
    <n v="3"/>
    <n v="1365"/>
    <x v="52"/>
    <x v="2"/>
    <x v="2"/>
    <x v="1"/>
    <s v="Delayed"/>
    <n v="882"/>
    <n v="455"/>
    <x v="4"/>
    <x v="3"/>
    <x v="4"/>
    <x v="2"/>
    <x v="6"/>
    <m/>
  </r>
  <r>
    <d v="2022-03-30T00:00:00"/>
    <x v="1"/>
    <s v="Glass &amp; Bottles"/>
    <s v="750ml"/>
    <x v="53"/>
    <x v="1"/>
    <x v="54"/>
    <n v="12"/>
    <n v="1836"/>
    <x v="53"/>
    <x v="1"/>
    <x v="1"/>
    <x v="0"/>
    <s v="Delivered"/>
    <n v="938"/>
    <n v="153"/>
    <x v="14"/>
    <x v="6"/>
    <x v="13"/>
    <x v="3"/>
    <x v="8"/>
    <m/>
  </r>
  <r>
    <d v="2022-03-31T00:00:00"/>
    <x v="2"/>
    <s v="Housekeeping Items"/>
    <s v="Standard"/>
    <x v="38"/>
    <x v="2"/>
    <x v="39"/>
    <n v="100"/>
    <n v="31600"/>
    <x v="38"/>
    <x v="0"/>
    <x v="2"/>
    <x v="1"/>
    <s v="Returned"/>
    <n v="762"/>
    <n v="316"/>
    <x v="5"/>
    <x v="0"/>
    <x v="5"/>
    <x v="4"/>
    <x v="10"/>
    <m/>
  </r>
  <r>
    <d v="2022-04-01T00:00:00"/>
    <x v="5"/>
    <s v="Cutlery"/>
    <s v="3pcs"/>
    <x v="54"/>
    <x v="5"/>
    <x v="55"/>
    <n v="4"/>
    <n v="684"/>
    <x v="54"/>
    <x v="2"/>
    <x v="3"/>
    <x v="1"/>
    <s v="Returned"/>
    <n v="869"/>
    <n v="171"/>
    <x v="8"/>
    <x v="6"/>
    <x v="8"/>
    <x v="0"/>
    <x v="5"/>
    <m/>
  </r>
  <r>
    <d v="2022-04-02T00:00:00"/>
    <x v="0"/>
    <s v="Takeaway Boxes"/>
    <s v="Large"/>
    <x v="55"/>
    <x v="0"/>
    <x v="56"/>
    <n v="5"/>
    <n v="1205"/>
    <x v="55"/>
    <x v="1"/>
    <x v="1"/>
    <x v="1"/>
    <s v="Delivered"/>
    <n v="682"/>
    <n v="241"/>
    <x v="2"/>
    <x v="2"/>
    <x v="2"/>
    <x v="3"/>
    <x v="3"/>
    <m/>
  </r>
  <r>
    <d v="2022-04-03T00:00:00"/>
    <x v="3"/>
    <s v="Containers"/>
    <s v="1L"/>
    <x v="56"/>
    <x v="3"/>
    <x v="57"/>
    <n v="3"/>
    <n v="1311"/>
    <x v="56"/>
    <x v="2"/>
    <x v="2"/>
    <x v="1"/>
    <s v="Delayed"/>
    <n v="792"/>
    <n v="437"/>
    <x v="7"/>
    <x v="5"/>
    <x v="7"/>
    <x v="1"/>
    <x v="10"/>
    <m/>
  </r>
  <r>
    <d v="2022-04-04T00:00:00"/>
    <x v="4"/>
    <s v="Plates &amp; Bowls"/>
    <s v="500ml"/>
    <x v="57"/>
    <x v="4"/>
    <x v="58"/>
    <n v="1.5"/>
    <n v="651"/>
    <x v="57"/>
    <x v="0"/>
    <x v="3"/>
    <x v="0"/>
    <s v="Delivered"/>
    <n v="994"/>
    <n v="434"/>
    <x v="19"/>
    <x v="13"/>
    <x v="18"/>
    <x v="1"/>
    <x v="7"/>
    <m/>
  </r>
  <r>
    <d v="2022-04-05T00:00:00"/>
    <x v="3"/>
    <s v="Containers"/>
    <s v="1L"/>
    <x v="58"/>
    <x v="3"/>
    <x v="59"/>
    <n v="3"/>
    <n v="474"/>
    <x v="58"/>
    <x v="1"/>
    <x v="3"/>
    <x v="2"/>
    <s v="Delivered"/>
    <n v="591"/>
    <n v="158"/>
    <x v="1"/>
    <x v="1"/>
    <x v="1"/>
    <x v="2"/>
    <x v="9"/>
    <m/>
  </r>
  <r>
    <d v="2022-04-06T00:00:00"/>
    <x v="3"/>
    <s v="Containers"/>
    <s v="1L"/>
    <x v="59"/>
    <x v="3"/>
    <x v="60"/>
    <n v="3"/>
    <n v="1161"/>
    <x v="59"/>
    <x v="0"/>
    <x v="2"/>
    <x v="2"/>
    <s v="Delayed"/>
    <n v="901"/>
    <n v="387"/>
    <x v="7"/>
    <x v="5"/>
    <x v="7"/>
    <x v="2"/>
    <x v="2"/>
    <m/>
  </r>
  <r>
    <d v="2022-04-07T00:00:00"/>
    <x v="1"/>
    <s v="Glass &amp; Bottles"/>
    <s v="750ml"/>
    <x v="60"/>
    <x v="1"/>
    <x v="61"/>
    <n v="12"/>
    <n v="768"/>
    <x v="60"/>
    <x v="1"/>
    <x v="1"/>
    <x v="2"/>
    <s v="Delayed"/>
    <n v="538"/>
    <n v="64"/>
    <x v="4"/>
    <x v="3"/>
    <x v="4"/>
    <x v="3"/>
    <x v="7"/>
    <m/>
  </r>
  <r>
    <d v="2022-04-08T00:00:00"/>
    <x v="1"/>
    <s v="Glass &amp; Bottles"/>
    <s v="750ml"/>
    <x v="61"/>
    <x v="1"/>
    <x v="62"/>
    <n v="12"/>
    <n v="4776"/>
    <x v="61"/>
    <x v="2"/>
    <x v="3"/>
    <x v="1"/>
    <s v="Delivered"/>
    <n v="880"/>
    <n v="398"/>
    <x v="7"/>
    <x v="5"/>
    <x v="7"/>
    <x v="1"/>
    <x v="7"/>
    <m/>
  </r>
  <r>
    <d v="2022-04-09T00:00:00"/>
    <x v="2"/>
    <s v="Housekeeping Items"/>
    <s v="Standard"/>
    <x v="62"/>
    <x v="2"/>
    <x v="63"/>
    <n v="100"/>
    <n v="14500"/>
    <x v="62"/>
    <x v="0"/>
    <x v="0"/>
    <x v="2"/>
    <s v="Delivered"/>
    <n v="645"/>
    <n v="145"/>
    <x v="14"/>
    <x v="6"/>
    <x v="13"/>
    <x v="3"/>
    <x v="7"/>
    <m/>
  </r>
  <r>
    <d v="2022-04-10T00:00:00"/>
    <x v="0"/>
    <s v="Takeaway Boxes"/>
    <s v="Large"/>
    <x v="53"/>
    <x v="0"/>
    <x v="64"/>
    <n v="5"/>
    <n v="765"/>
    <x v="63"/>
    <x v="0"/>
    <x v="1"/>
    <x v="0"/>
    <s v="Returned"/>
    <n v="672"/>
    <n v="153"/>
    <x v="19"/>
    <x v="13"/>
    <x v="18"/>
    <x v="0"/>
    <x v="8"/>
    <m/>
  </r>
  <r>
    <d v="2022-04-11T00:00:00"/>
    <x v="0"/>
    <s v="Takeaway Boxes"/>
    <s v="Large"/>
    <x v="63"/>
    <x v="0"/>
    <x v="65"/>
    <n v="5"/>
    <n v="2140"/>
    <x v="64"/>
    <x v="0"/>
    <x v="0"/>
    <x v="0"/>
    <s v="Returned"/>
    <n v="893"/>
    <n v="428"/>
    <x v="7"/>
    <x v="5"/>
    <x v="7"/>
    <x v="0"/>
    <x v="9"/>
    <m/>
  </r>
  <r>
    <d v="2022-04-12T00:00:00"/>
    <x v="0"/>
    <s v="Takeaway Boxes"/>
    <s v="Large"/>
    <x v="64"/>
    <x v="0"/>
    <x v="66"/>
    <n v="5"/>
    <n v="705"/>
    <x v="65"/>
    <x v="0"/>
    <x v="0"/>
    <x v="0"/>
    <s v="Returned"/>
    <n v="695"/>
    <n v="141"/>
    <x v="6"/>
    <x v="4"/>
    <x v="6"/>
    <x v="4"/>
    <x v="10"/>
    <m/>
  </r>
  <r>
    <d v="2022-04-13T00:00:00"/>
    <x v="1"/>
    <s v="Glass &amp; Bottles"/>
    <s v="750ml"/>
    <x v="65"/>
    <x v="1"/>
    <x v="67"/>
    <n v="12"/>
    <n v="624"/>
    <x v="66"/>
    <x v="1"/>
    <x v="0"/>
    <x v="2"/>
    <s v="Delivered"/>
    <n v="513"/>
    <n v="52"/>
    <x v="12"/>
    <x v="3"/>
    <x v="10"/>
    <x v="0"/>
    <x v="0"/>
    <m/>
  </r>
  <r>
    <d v="2022-04-14T00:00:00"/>
    <x v="2"/>
    <s v="Housekeeping Items"/>
    <s v="Standard"/>
    <x v="66"/>
    <x v="2"/>
    <x v="68"/>
    <n v="100"/>
    <n v="38400"/>
    <x v="67"/>
    <x v="0"/>
    <x v="0"/>
    <x v="2"/>
    <s v="Delivered"/>
    <n v="820"/>
    <n v="384"/>
    <x v="10"/>
    <x v="8"/>
    <x v="10"/>
    <x v="1"/>
    <x v="4"/>
    <m/>
  </r>
  <r>
    <d v="2022-04-15T00:00:00"/>
    <x v="4"/>
    <s v="Plates &amp; Bowls"/>
    <s v="500ml"/>
    <x v="67"/>
    <x v="4"/>
    <x v="69"/>
    <n v="1.5"/>
    <n v="70.5"/>
    <x v="68"/>
    <x v="2"/>
    <x v="2"/>
    <x v="2"/>
    <s v="Delivered"/>
    <n v="970"/>
    <n v="47"/>
    <x v="6"/>
    <x v="4"/>
    <x v="6"/>
    <x v="4"/>
    <x v="7"/>
    <m/>
  </r>
  <r>
    <d v="2022-04-16T00:00:00"/>
    <x v="3"/>
    <s v="Containers"/>
    <s v="1L"/>
    <x v="68"/>
    <x v="3"/>
    <x v="70"/>
    <n v="3"/>
    <n v="810"/>
    <x v="69"/>
    <x v="1"/>
    <x v="0"/>
    <x v="0"/>
    <s v="Returned"/>
    <n v="830"/>
    <n v="270"/>
    <x v="13"/>
    <x v="2"/>
    <x v="12"/>
    <x v="4"/>
    <x v="4"/>
    <m/>
  </r>
  <r>
    <d v="2022-04-17T00:00:00"/>
    <x v="1"/>
    <s v="Glass &amp; Bottles"/>
    <s v="750ml"/>
    <x v="69"/>
    <x v="1"/>
    <x v="71"/>
    <n v="12"/>
    <n v="4464"/>
    <x v="70"/>
    <x v="0"/>
    <x v="0"/>
    <x v="0"/>
    <s v="Delivered"/>
    <n v="746"/>
    <n v="372"/>
    <x v="3"/>
    <x v="2"/>
    <x v="3"/>
    <x v="0"/>
    <x v="0"/>
    <m/>
  </r>
  <r>
    <d v="2022-04-18T00:00:00"/>
    <x v="3"/>
    <s v="Containers"/>
    <s v="1L"/>
    <x v="70"/>
    <x v="3"/>
    <x v="72"/>
    <n v="3"/>
    <n v="1461"/>
    <x v="71"/>
    <x v="2"/>
    <x v="1"/>
    <x v="1"/>
    <s v="Returned"/>
    <n v="743"/>
    <n v="487"/>
    <x v="10"/>
    <x v="8"/>
    <x v="10"/>
    <x v="0"/>
    <x v="10"/>
    <m/>
  </r>
  <r>
    <d v="2022-04-19T00:00:00"/>
    <x v="5"/>
    <s v="Cutlery"/>
    <s v="3pcs"/>
    <x v="58"/>
    <x v="5"/>
    <x v="73"/>
    <n v="4"/>
    <n v="632"/>
    <x v="58"/>
    <x v="1"/>
    <x v="3"/>
    <x v="2"/>
    <s v="Returned"/>
    <n v="853"/>
    <n v="158"/>
    <x v="19"/>
    <x v="13"/>
    <x v="18"/>
    <x v="3"/>
    <x v="5"/>
    <m/>
  </r>
  <r>
    <d v="2022-04-20T00:00:00"/>
    <x v="2"/>
    <s v="Housekeeping Items"/>
    <s v="Standard"/>
    <x v="71"/>
    <x v="2"/>
    <x v="74"/>
    <n v="100"/>
    <n v="6300"/>
    <x v="72"/>
    <x v="2"/>
    <x v="0"/>
    <x v="2"/>
    <s v="Delivered"/>
    <n v="621"/>
    <n v="63"/>
    <x v="18"/>
    <x v="12"/>
    <x v="17"/>
    <x v="4"/>
    <x v="3"/>
    <m/>
  </r>
  <r>
    <d v="2022-04-21T00:00:00"/>
    <x v="1"/>
    <s v="Glass &amp; Bottles"/>
    <s v="750ml"/>
    <x v="72"/>
    <x v="1"/>
    <x v="75"/>
    <n v="12"/>
    <n v="2208"/>
    <x v="73"/>
    <x v="1"/>
    <x v="3"/>
    <x v="0"/>
    <s v="Delivered"/>
    <n v="951"/>
    <n v="184"/>
    <x v="19"/>
    <x v="13"/>
    <x v="18"/>
    <x v="2"/>
    <x v="4"/>
    <m/>
  </r>
  <r>
    <d v="2022-04-22T00:00:00"/>
    <x v="5"/>
    <s v="Cutlery"/>
    <s v="3pcs"/>
    <x v="73"/>
    <x v="5"/>
    <x v="76"/>
    <n v="4"/>
    <n v="360"/>
    <x v="74"/>
    <x v="1"/>
    <x v="1"/>
    <x v="2"/>
    <s v="Returned"/>
    <n v="693"/>
    <n v="90"/>
    <x v="6"/>
    <x v="4"/>
    <x v="6"/>
    <x v="1"/>
    <x v="1"/>
    <m/>
  </r>
  <r>
    <d v="2022-04-23T00:00:00"/>
    <x v="3"/>
    <s v="Containers"/>
    <s v="1L"/>
    <x v="74"/>
    <x v="3"/>
    <x v="77"/>
    <n v="3"/>
    <n v="1041"/>
    <x v="75"/>
    <x v="1"/>
    <x v="3"/>
    <x v="0"/>
    <s v="Returned"/>
    <n v="857"/>
    <n v="347"/>
    <x v="13"/>
    <x v="2"/>
    <x v="12"/>
    <x v="2"/>
    <x v="10"/>
    <m/>
  </r>
  <r>
    <d v="2022-04-24T00:00:00"/>
    <x v="2"/>
    <s v="Housekeeping Items"/>
    <s v="Standard"/>
    <x v="75"/>
    <x v="2"/>
    <x v="78"/>
    <n v="100"/>
    <n v="3500"/>
    <x v="76"/>
    <x v="0"/>
    <x v="3"/>
    <x v="0"/>
    <s v="Delivered"/>
    <n v="528"/>
    <n v="35"/>
    <x v="1"/>
    <x v="1"/>
    <x v="1"/>
    <x v="1"/>
    <x v="7"/>
    <m/>
  </r>
  <r>
    <d v="2022-04-25T00:00:00"/>
    <x v="4"/>
    <s v="Plates &amp; Bowls"/>
    <s v="500ml"/>
    <x v="73"/>
    <x v="4"/>
    <x v="79"/>
    <n v="1.5"/>
    <n v="135"/>
    <x v="77"/>
    <x v="2"/>
    <x v="0"/>
    <x v="0"/>
    <s v="Returned"/>
    <n v="638"/>
    <n v="90"/>
    <x v="3"/>
    <x v="2"/>
    <x v="3"/>
    <x v="3"/>
    <x v="5"/>
    <m/>
  </r>
  <r>
    <d v="2022-04-26T00:00:00"/>
    <x v="5"/>
    <s v="Cutlery"/>
    <s v="3pcs"/>
    <x v="76"/>
    <x v="5"/>
    <x v="80"/>
    <n v="4"/>
    <n v="1248"/>
    <x v="78"/>
    <x v="1"/>
    <x v="2"/>
    <x v="2"/>
    <s v="Delayed"/>
    <n v="637"/>
    <n v="312"/>
    <x v="13"/>
    <x v="2"/>
    <x v="12"/>
    <x v="3"/>
    <x v="10"/>
    <m/>
  </r>
  <r>
    <d v="2022-04-27T00:00:00"/>
    <x v="1"/>
    <s v="Glass &amp; Bottles"/>
    <s v="750ml"/>
    <x v="77"/>
    <x v="1"/>
    <x v="81"/>
    <n v="12"/>
    <n v="3264"/>
    <x v="79"/>
    <x v="2"/>
    <x v="2"/>
    <x v="2"/>
    <s v="Returned"/>
    <n v="692"/>
    <n v="272"/>
    <x v="15"/>
    <x v="10"/>
    <x v="14"/>
    <x v="2"/>
    <x v="3"/>
    <m/>
  </r>
  <r>
    <d v="2022-04-28T00:00:00"/>
    <x v="3"/>
    <s v="Containers"/>
    <s v="1L"/>
    <x v="78"/>
    <x v="3"/>
    <x v="82"/>
    <n v="3"/>
    <n v="1134"/>
    <x v="80"/>
    <x v="2"/>
    <x v="1"/>
    <x v="1"/>
    <s v="Delivered"/>
    <n v="919"/>
    <n v="378"/>
    <x v="14"/>
    <x v="6"/>
    <x v="13"/>
    <x v="4"/>
    <x v="10"/>
    <m/>
  </r>
  <r>
    <d v="2022-04-29T00:00:00"/>
    <x v="0"/>
    <s v="Takeaway Boxes"/>
    <s v="Large"/>
    <x v="79"/>
    <x v="0"/>
    <x v="83"/>
    <n v="5"/>
    <n v="65"/>
    <x v="81"/>
    <x v="2"/>
    <x v="2"/>
    <x v="0"/>
    <s v="Delivered"/>
    <n v="761"/>
    <n v="13"/>
    <x v="2"/>
    <x v="2"/>
    <x v="2"/>
    <x v="0"/>
    <x v="9"/>
    <m/>
  </r>
  <r>
    <d v="2022-04-30T00:00:00"/>
    <x v="3"/>
    <s v="Containers"/>
    <s v="1L"/>
    <x v="80"/>
    <x v="3"/>
    <x v="84"/>
    <n v="3"/>
    <n v="564"/>
    <x v="82"/>
    <x v="2"/>
    <x v="0"/>
    <x v="2"/>
    <s v="Returned"/>
    <n v="674"/>
    <n v="188"/>
    <x v="14"/>
    <x v="6"/>
    <x v="13"/>
    <x v="1"/>
    <x v="0"/>
    <m/>
  </r>
  <r>
    <d v="2022-05-01T00:00:00"/>
    <x v="4"/>
    <s v="Plates &amp; Bowls"/>
    <s v="500ml"/>
    <x v="81"/>
    <x v="4"/>
    <x v="85"/>
    <n v="1.5"/>
    <n v="406.5"/>
    <x v="83"/>
    <x v="0"/>
    <x v="0"/>
    <x v="2"/>
    <s v="Returned"/>
    <n v="571"/>
    <n v="271"/>
    <x v="12"/>
    <x v="3"/>
    <x v="10"/>
    <x v="2"/>
    <x v="10"/>
    <m/>
  </r>
  <r>
    <d v="2022-05-02T00:00:00"/>
    <x v="5"/>
    <s v="Cutlery"/>
    <s v="3pcs"/>
    <x v="82"/>
    <x v="5"/>
    <x v="86"/>
    <n v="4"/>
    <n v="696"/>
    <x v="84"/>
    <x v="0"/>
    <x v="3"/>
    <x v="2"/>
    <s v="Returned"/>
    <n v="976"/>
    <n v="174"/>
    <x v="3"/>
    <x v="2"/>
    <x v="3"/>
    <x v="0"/>
    <x v="6"/>
    <m/>
  </r>
  <r>
    <d v="2022-05-03T00:00:00"/>
    <x v="1"/>
    <s v="Glass &amp; Bottles"/>
    <s v="750ml"/>
    <x v="83"/>
    <x v="1"/>
    <x v="87"/>
    <n v="12"/>
    <n v="5616"/>
    <x v="85"/>
    <x v="1"/>
    <x v="3"/>
    <x v="2"/>
    <s v="Delayed"/>
    <n v="814"/>
    <n v="468"/>
    <x v="13"/>
    <x v="2"/>
    <x v="12"/>
    <x v="0"/>
    <x v="3"/>
    <m/>
  </r>
  <r>
    <d v="2022-05-04T00:00:00"/>
    <x v="0"/>
    <s v="Takeaway Boxes"/>
    <s v="Large"/>
    <x v="84"/>
    <x v="0"/>
    <x v="88"/>
    <n v="5"/>
    <n v="300"/>
    <x v="74"/>
    <x v="1"/>
    <x v="2"/>
    <x v="2"/>
    <s v="Delivered"/>
    <n v="648"/>
    <n v="60"/>
    <x v="1"/>
    <x v="1"/>
    <x v="1"/>
    <x v="3"/>
    <x v="10"/>
    <m/>
  </r>
  <r>
    <d v="2022-05-05T00:00:00"/>
    <x v="3"/>
    <s v="Containers"/>
    <s v="1L"/>
    <x v="85"/>
    <x v="3"/>
    <x v="89"/>
    <n v="3"/>
    <n v="582"/>
    <x v="86"/>
    <x v="0"/>
    <x v="3"/>
    <x v="1"/>
    <s v="Delivered"/>
    <n v="869"/>
    <n v="194"/>
    <x v="7"/>
    <x v="5"/>
    <x v="7"/>
    <x v="1"/>
    <x v="8"/>
    <m/>
  </r>
  <r>
    <d v="2022-05-06T00:00:00"/>
    <x v="2"/>
    <s v="Housekeeping Items"/>
    <s v="Standard"/>
    <x v="4"/>
    <x v="2"/>
    <x v="4"/>
    <n v="100"/>
    <n v="35800"/>
    <x v="4"/>
    <x v="2"/>
    <x v="0"/>
    <x v="1"/>
    <s v="Returned"/>
    <n v="596"/>
    <n v="358"/>
    <x v="18"/>
    <x v="12"/>
    <x v="17"/>
    <x v="3"/>
    <x v="8"/>
    <m/>
  </r>
  <r>
    <d v="2022-05-07T00:00:00"/>
    <x v="2"/>
    <s v="Housekeeping Items"/>
    <s v="Standard"/>
    <x v="86"/>
    <x v="2"/>
    <x v="90"/>
    <n v="100"/>
    <n v="26100"/>
    <x v="87"/>
    <x v="2"/>
    <x v="1"/>
    <x v="1"/>
    <s v="Delayed"/>
    <n v="895"/>
    <n v="261"/>
    <x v="14"/>
    <x v="6"/>
    <x v="13"/>
    <x v="3"/>
    <x v="6"/>
    <m/>
  </r>
  <r>
    <d v="2022-05-08T00:00:00"/>
    <x v="4"/>
    <s v="Plates &amp; Bowls"/>
    <s v="500ml"/>
    <x v="87"/>
    <x v="4"/>
    <x v="91"/>
    <n v="1.5"/>
    <n v="742.5"/>
    <x v="88"/>
    <x v="2"/>
    <x v="3"/>
    <x v="1"/>
    <s v="Delayed"/>
    <n v="508"/>
    <n v="495"/>
    <x v="6"/>
    <x v="4"/>
    <x v="6"/>
    <x v="2"/>
    <x v="1"/>
    <m/>
  </r>
  <r>
    <d v="2022-05-09T00:00:00"/>
    <x v="5"/>
    <s v="Cutlery"/>
    <s v="3pcs"/>
    <x v="88"/>
    <x v="5"/>
    <x v="92"/>
    <n v="4"/>
    <n v="652"/>
    <x v="89"/>
    <x v="2"/>
    <x v="2"/>
    <x v="1"/>
    <s v="Delivered"/>
    <n v="964"/>
    <n v="163"/>
    <x v="11"/>
    <x v="9"/>
    <x v="11"/>
    <x v="2"/>
    <x v="4"/>
    <m/>
  </r>
  <r>
    <d v="2022-05-10T00:00:00"/>
    <x v="2"/>
    <s v="Housekeeping Items"/>
    <s v="Standard"/>
    <x v="89"/>
    <x v="2"/>
    <x v="93"/>
    <n v="100"/>
    <n v="10700"/>
    <x v="90"/>
    <x v="1"/>
    <x v="0"/>
    <x v="1"/>
    <s v="Returned"/>
    <n v="565"/>
    <n v="107"/>
    <x v="14"/>
    <x v="6"/>
    <x v="13"/>
    <x v="0"/>
    <x v="3"/>
    <m/>
  </r>
  <r>
    <d v="2022-05-11T00:00:00"/>
    <x v="3"/>
    <s v="Containers"/>
    <s v="1L"/>
    <x v="90"/>
    <x v="3"/>
    <x v="94"/>
    <n v="3"/>
    <n v="1371"/>
    <x v="91"/>
    <x v="2"/>
    <x v="1"/>
    <x v="1"/>
    <s v="Delivered"/>
    <n v="525"/>
    <n v="457"/>
    <x v="2"/>
    <x v="2"/>
    <x v="2"/>
    <x v="4"/>
    <x v="10"/>
    <m/>
  </r>
  <r>
    <d v="2022-05-12T00:00:00"/>
    <x v="1"/>
    <s v="Glass &amp; Bottles"/>
    <s v="750ml"/>
    <x v="91"/>
    <x v="1"/>
    <x v="95"/>
    <n v="12"/>
    <n v="2664"/>
    <x v="92"/>
    <x v="2"/>
    <x v="3"/>
    <x v="1"/>
    <s v="Delayed"/>
    <n v="601"/>
    <n v="222"/>
    <x v="12"/>
    <x v="3"/>
    <x v="10"/>
    <x v="0"/>
    <x v="0"/>
    <m/>
  </r>
  <r>
    <d v="2022-05-13T00:00:00"/>
    <x v="0"/>
    <s v="Takeaway Boxes"/>
    <s v="Large"/>
    <x v="92"/>
    <x v="0"/>
    <x v="96"/>
    <n v="5"/>
    <n v="2160"/>
    <x v="93"/>
    <x v="2"/>
    <x v="3"/>
    <x v="0"/>
    <s v="Delayed"/>
    <n v="634"/>
    <n v="432"/>
    <x v="9"/>
    <x v="7"/>
    <x v="9"/>
    <x v="0"/>
    <x v="0"/>
    <m/>
  </r>
  <r>
    <d v="2022-05-14T00:00:00"/>
    <x v="2"/>
    <s v="Housekeeping Items"/>
    <s v="Standard"/>
    <x v="93"/>
    <x v="2"/>
    <x v="97"/>
    <n v="100"/>
    <n v="42900"/>
    <x v="94"/>
    <x v="0"/>
    <x v="2"/>
    <x v="2"/>
    <s v="Returned"/>
    <n v="830"/>
    <n v="429"/>
    <x v="16"/>
    <x v="4"/>
    <x v="15"/>
    <x v="1"/>
    <x v="0"/>
    <m/>
  </r>
  <r>
    <d v="2022-05-15T00:00:00"/>
    <x v="3"/>
    <s v="Containers"/>
    <s v="1L"/>
    <x v="94"/>
    <x v="3"/>
    <x v="98"/>
    <n v="3"/>
    <n v="765"/>
    <x v="95"/>
    <x v="2"/>
    <x v="0"/>
    <x v="2"/>
    <s v="Delivered"/>
    <n v="954"/>
    <n v="255"/>
    <x v="11"/>
    <x v="9"/>
    <x v="11"/>
    <x v="0"/>
    <x v="10"/>
    <m/>
  </r>
  <r>
    <d v="2022-05-16T00:00:00"/>
    <x v="5"/>
    <s v="Cutlery"/>
    <s v="3pcs"/>
    <x v="95"/>
    <x v="5"/>
    <x v="99"/>
    <n v="4"/>
    <n v="924"/>
    <x v="96"/>
    <x v="1"/>
    <x v="2"/>
    <x v="1"/>
    <s v="Delayed"/>
    <n v="678"/>
    <n v="231"/>
    <x v="19"/>
    <x v="13"/>
    <x v="18"/>
    <x v="0"/>
    <x v="2"/>
    <m/>
  </r>
  <r>
    <d v="2022-05-17T00:00:00"/>
    <x v="4"/>
    <s v="Plates &amp; Bowls"/>
    <s v="500ml"/>
    <x v="96"/>
    <x v="4"/>
    <x v="100"/>
    <n v="1.5"/>
    <n v="441"/>
    <x v="97"/>
    <x v="0"/>
    <x v="3"/>
    <x v="1"/>
    <s v="Returned"/>
    <n v="604"/>
    <n v="294"/>
    <x v="8"/>
    <x v="6"/>
    <x v="8"/>
    <x v="3"/>
    <x v="9"/>
    <m/>
  </r>
  <r>
    <d v="2022-05-18T00:00:00"/>
    <x v="5"/>
    <s v="Cutlery"/>
    <s v="3pcs"/>
    <x v="97"/>
    <x v="5"/>
    <x v="101"/>
    <n v="4"/>
    <n v="920"/>
    <x v="98"/>
    <x v="2"/>
    <x v="2"/>
    <x v="2"/>
    <s v="Returned"/>
    <n v="858"/>
    <n v="230"/>
    <x v="11"/>
    <x v="9"/>
    <x v="11"/>
    <x v="1"/>
    <x v="2"/>
    <m/>
  </r>
  <r>
    <d v="2022-05-19T00:00:00"/>
    <x v="1"/>
    <s v="Glass &amp; Bottles"/>
    <s v="750ml"/>
    <x v="98"/>
    <x v="1"/>
    <x v="102"/>
    <n v="12"/>
    <n v="1752"/>
    <x v="99"/>
    <x v="1"/>
    <x v="2"/>
    <x v="0"/>
    <s v="Returned"/>
    <n v="586"/>
    <n v="146"/>
    <x v="2"/>
    <x v="2"/>
    <x v="2"/>
    <x v="0"/>
    <x v="6"/>
    <m/>
  </r>
  <r>
    <d v="2022-05-20T00:00:00"/>
    <x v="3"/>
    <s v="Containers"/>
    <s v="1L"/>
    <x v="99"/>
    <x v="3"/>
    <x v="103"/>
    <n v="3"/>
    <n v="1122"/>
    <x v="100"/>
    <x v="1"/>
    <x v="2"/>
    <x v="1"/>
    <s v="Delayed"/>
    <n v="607"/>
    <n v="374"/>
    <x v="14"/>
    <x v="6"/>
    <x v="13"/>
    <x v="4"/>
    <x v="6"/>
    <m/>
  </r>
  <r>
    <d v="2022-05-21T00:00:00"/>
    <x v="0"/>
    <s v="Takeaway Boxes"/>
    <s v="Large"/>
    <x v="100"/>
    <x v="0"/>
    <x v="104"/>
    <n v="5"/>
    <n v="2380"/>
    <x v="101"/>
    <x v="2"/>
    <x v="2"/>
    <x v="2"/>
    <s v="Returned"/>
    <n v="755"/>
    <n v="476"/>
    <x v="10"/>
    <x v="8"/>
    <x v="10"/>
    <x v="4"/>
    <x v="6"/>
    <m/>
  </r>
  <r>
    <d v="2022-05-22T00:00:00"/>
    <x v="2"/>
    <s v="Housekeeping Items"/>
    <s v="Standard"/>
    <x v="101"/>
    <x v="2"/>
    <x v="105"/>
    <n v="100"/>
    <n v="15200"/>
    <x v="102"/>
    <x v="0"/>
    <x v="2"/>
    <x v="0"/>
    <s v="Delayed"/>
    <n v="601"/>
    <n v="152"/>
    <x v="6"/>
    <x v="4"/>
    <x v="6"/>
    <x v="0"/>
    <x v="2"/>
    <m/>
  </r>
  <r>
    <d v="2022-05-23T00:00:00"/>
    <x v="3"/>
    <s v="Containers"/>
    <s v="1L"/>
    <x v="102"/>
    <x v="3"/>
    <x v="106"/>
    <n v="3"/>
    <n v="1131"/>
    <x v="103"/>
    <x v="0"/>
    <x v="0"/>
    <x v="0"/>
    <s v="Returned"/>
    <n v="767"/>
    <n v="377"/>
    <x v="12"/>
    <x v="3"/>
    <x v="10"/>
    <x v="1"/>
    <x v="3"/>
    <m/>
  </r>
  <r>
    <d v="2022-05-24T00:00:00"/>
    <x v="3"/>
    <s v="Containers"/>
    <s v="1L"/>
    <x v="47"/>
    <x v="3"/>
    <x v="49"/>
    <n v="3"/>
    <n v="174"/>
    <x v="48"/>
    <x v="2"/>
    <x v="1"/>
    <x v="1"/>
    <s v="Returned"/>
    <n v="970"/>
    <n v="58"/>
    <x v="19"/>
    <x v="13"/>
    <x v="18"/>
    <x v="4"/>
    <x v="10"/>
    <m/>
  </r>
  <r>
    <d v="2022-05-25T00:00:00"/>
    <x v="2"/>
    <s v="Housekeeping Items"/>
    <s v="Standard"/>
    <x v="103"/>
    <x v="2"/>
    <x v="107"/>
    <n v="100"/>
    <n v="5700"/>
    <x v="104"/>
    <x v="2"/>
    <x v="2"/>
    <x v="2"/>
    <s v="Delayed"/>
    <n v="716"/>
    <n v="57"/>
    <x v="17"/>
    <x v="11"/>
    <x v="16"/>
    <x v="3"/>
    <x v="6"/>
    <m/>
  </r>
  <r>
    <d v="2022-05-26T00:00:00"/>
    <x v="0"/>
    <s v="Takeaway Boxes"/>
    <s v="Large"/>
    <x v="104"/>
    <x v="0"/>
    <x v="108"/>
    <n v="5"/>
    <n v="1160"/>
    <x v="105"/>
    <x v="1"/>
    <x v="0"/>
    <x v="2"/>
    <s v="Delayed"/>
    <n v="874"/>
    <n v="232"/>
    <x v="12"/>
    <x v="3"/>
    <x v="10"/>
    <x v="1"/>
    <x v="9"/>
    <m/>
  </r>
  <r>
    <d v="2022-05-27T00:00:00"/>
    <x v="0"/>
    <s v="Takeaway Boxes"/>
    <s v="Large"/>
    <x v="105"/>
    <x v="0"/>
    <x v="109"/>
    <n v="5"/>
    <n v="1585"/>
    <x v="106"/>
    <x v="0"/>
    <x v="1"/>
    <x v="1"/>
    <s v="Delivered"/>
    <n v="723"/>
    <n v="317"/>
    <x v="16"/>
    <x v="4"/>
    <x v="15"/>
    <x v="0"/>
    <x v="3"/>
    <m/>
  </r>
  <r>
    <d v="2022-05-28T00:00:00"/>
    <x v="1"/>
    <s v="Glass &amp; Bottles"/>
    <s v="750ml"/>
    <x v="106"/>
    <x v="1"/>
    <x v="110"/>
    <n v="12"/>
    <n v="396"/>
    <x v="107"/>
    <x v="1"/>
    <x v="3"/>
    <x v="1"/>
    <s v="Delivered"/>
    <n v="888"/>
    <n v="33"/>
    <x v="10"/>
    <x v="8"/>
    <x v="10"/>
    <x v="2"/>
    <x v="3"/>
    <m/>
  </r>
  <r>
    <d v="2022-05-29T00:00:00"/>
    <x v="4"/>
    <s v="Plates &amp; Bowls"/>
    <s v="500ml"/>
    <x v="107"/>
    <x v="4"/>
    <x v="111"/>
    <n v="1.5"/>
    <n v="156"/>
    <x v="108"/>
    <x v="2"/>
    <x v="0"/>
    <x v="1"/>
    <s v="Returned"/>
    <n v="940"/>
    <n v="104"/>
    <x v="0"/>
    <x v="0"/>
    <x v="0"/>
    <x v="3"/>
    <x v="1"/>
    <m/>
  </r>
  <r>
    <d v="2022-05-30T00:00:00"/>
    <x v="0"/>
    <s v="Takeaway Boxes"/>
    <s v="Large"/>
    <x v="36"/>
    <x v="0"/>
    <x v="112"/>
    <n v="5"/>
    <n v="640"/>
    <x v="109"/>
    <x v="0"/>
    <x v="3"/>
    <x v="2"/>
    <s v="Delayed"/>
    <n v="891"/>
    <n v="128"/>
    <x v="16"/>
    <x v="4"/>
    <x v="15"/>
    <x v="4"/>
    <x v="2"/>
    <m/>
  </r>
  <r>
    <d v="2022-05-31T00:00:00"/>
    <x v="1"/>
    <s v="Glass &amp; Bottles"/>
    <s v="750ml"/>
    <x v="108"/>
    <x v="1"/>
    <x v="113"/>
    <n v="12"/>
    <n v="3600"/>
    <x v="110"/>
    <x v="0"/>
    <x v="3"/>
    <x v="0"/>
    <s v="Delivered"/>
    <n v="698"/>
    <n v="300"/>
    <x v="9"/>
    <x v="7"/>
    <x v="9"/>
    <x v="4"/>
    <x v="4"/>
    <m/>
  </r>
  <r>
    <d v="2022-06-01T00:00:00"/>
    <x v="1"/>
    <s v="Glass &amp; Bottles"/>
    <s v="750ml"/>
    <x v="109"/>
    <x v="1"/>
    <x v="114"/>
    <n v="12"/>
    <n v="4272"/>
    <x v="111"/>
    <x v="1"/>
    <x v="2"/>
    <x v="1"/>
    <s v="Delivered"/>
    <n v="951"/>
    <n v="356"/>
    <x v="12"/>
    <x v="3"/>
    <x v="10"/>
    <x v="3"/>
    <x v="11"/>
    <m/>
  </r>
  <r>
    <d v="2022-06-02T00:00:00"/>
    <x v="3"/>
    <s v="Containers"/>
    <s v="1L"/>
    <x v="110"/>
    <x v="3"/>
    <x v="115"/>
    <n v="3"/>
    <n v="1053"/>
    <x v="112"/>
    <x v="0"/>
    <x v="3"/>
    <x v="0"/>
    <s v="Delayed"/>
    <n v="933"/>
    <n v="351"/>
    <x v="5"/>
    <x v="0"/>
    <x v="5"/>
    <x v="2"/>
    <x v="5"/>
    <m/>
  </r>
  <r>
    <d v="2022-06-03T00:00:00"/>
    <x v="0"/>
    <s v="Takeaway Boxes"/>
    <s v="Large"/>
    <x v="111"/>
    <x v="0"/>
    <x v="116"/>
    <n v="5"/>
    <n v="1255"/>
    <x v="113"/>
    <x v="0"/>
    <x v="1"/>
    <x v="0"/>
    <s v="Returned"/>
    <n v="586"/>
    <n v="251"/>
    <x v="9"/>
    <x v="7"/>
    <x v="9"/>
    <x v="2"/>
    <x v="8"/>
    <m/>
  </r>
  <r>
    <d v="2022-06-04T00:00:00"/>
    <x v="5"/>
    <s v="Cutlery"/>
    <s v="3pcs"/>
    <x v="112"/>
    <x v="5"/>
    <x v="117"/>
    <n v="4"/>
    <n v="144"/>
    <x v="114"/>
    <x v="2"/>
    <x v="3"/>
    <x v="1"/>
    <s v="Returned"/>
    <n v="568"/>
    <n v="36"/>
    <x v="1"/>
    <x v="1"/>
    <x v="1"/>
    <x v="3"/>
    <x v="10"/>
    <m/>
  </r>
  <r>
    <d v="2022-06-05T00:00:00"/>
    <x v="3"/>
    <s v="Containers"/>
    <s v="1L"/>
    <x v="113"/>
    <x v="3"/>
    <x v="118"/>
    <n v="3"/>
    <n v="987"/>
    <x v="115"/>
    <x v="0"/>
    <x v="0"/>
    <x v="1"/>
    <s v="Returned"/>
    <n v="775"/>
    <n v="329"/>
    <x v="18"/>
    <x v="12"/>
    <x v="17"/>
    <x v="0"/>
    <x v="1"/>
    <m/>
  </r>
  <r>
    <d v="2022-06-06T00:00:00"/>
    <x v="2"/>
    <s v="Housekeeping Items"/>
    <s v="Standard"/>
    <x v="114"/>
    <x v="2"/>
    <x v="119"/>
    <n v="100"/>
    <n v="28100"/>
    <x v="116"/>
    <x v="2"/>
    <x v="3"/>
    <x v="2"/>
    <s v="Delayed"/>
    <n v="548"/>
    <n v="281"/>
    <x v="16"/>
    <x v="4"/>
    <x v="15"/>
    <x v="3"/>
    <x v="2"/>
    <m/>
  </r>
  <r>
    <d v="2022-06-07T00:00:00"/>
    <x v="2"/>
    <s v="Housekeeping Items"/>
    <s v="Standard"/>
    <x v="115"/>
    <x v="2"/>
    <x v="120"/>
    <n v="100"/>
    <n v="14000"/>
    <x v="117"/>
    <x v="1"/>
    <x v="3"/>
    <x v="0"/>
    <s v="Returned"/>
    <n v="939"/>
    <n v="140"/>
    <x v="5"/>
    <x v="0"/>
    <x v="5"/>
    <x v="0"/>
    <x v="8"/>
    <m/>
  </r>
  <r>
    <d v="2022-06-08T00:00:00"/>
    <x v="2"/>
    <s v="Housekeeping Items"/>
    <s v="Standard"/>
    <x v="116"/>
    <x v="2"/>
    <x v="121"/>
    <n v="100"/>
    <n v="13800"/>
    <x v="118"/>
    <x v="2"/>
    <x v="0"/>
    <x v="2"/>
    <s v="Delivered"/>
    <n v="621"/>
    <n v="138"/>
    <x v="4"/>
    <x v="3"/>
    <x v="4"/>
    <x v="3"/>
    <x v="5"/>
    <m/>
  </r>
  <r>
    <d v="2022-06-09T00:00:00"/>
    <x v="5"/>
    <s v="Cutlery"/>
    <s v="3pcs"/>
    <x v="117"/>
    <x v="5"/>
    <x v="122"/>
    <n v="4"/>
    <n v="1760"/>
    <x v="119"/>
    <x v="0"/>
    <x v="0"/>
    <x v="2"/>
    <s v="Returned"/>
    <n v="996"/>
    <n v="440"/>
    <x v="10"/>
    <x v="8"/>
    <x v="10"/>
    <x v="1"/>
    <x v="1"/>
    <m/>
  </r>
  <r>
    <d v="2022-06-10T00:00:00"/>
    <x v="5"/>
    <s v="Cutlery"/>
    <s v="3pcs"/>
    <x v="118"/>
    <x v="5"/>
    <x v="123"/>
    <n v="4"/>
    <n v="1064"/>
    <x v="120"/>
    <x v="2"/>
    <x v="2"/>
    <x v="0"/>
    <s v="Returned"/>
    <n v="862"/>
    <n v="266"/>
    <x v="8"/>
    <x v="6"/>
    <x v="8"/>
    <x v="0"/>
    <x v="8"/>
    <m/>
  </r>
  <r>
    <d v="2022-06-11T00:00:00"/>
    <x v="0"/>
    <s v="Takeaway Boxes"/>
    <s v="Large"/>
    <x v="119"/>
    <x v="0"/>
    <x v="124"/>
    <n v="5"/>
    <n v="1285"/>
    <x v="121"/>
    <x v="1"/>
    <x v="2"/>
    <x v="1"/>
    <s v="Returned"/>
    <n v="974"/>
    <n v="257"/>
    <x v="5"/>
    <x v="0"/>
    <x v="5"/>
    <x v="4"/>
    <x v="2"/>
    <m/>
  </r>
  <r>
    <d v="2022-06-12T00:00:00"/>
    <x v="5"/>
    <s v="Cutlery"/>
    <s v="3pcs"/>
    <x v="120"/>
    <x v="5"/>
    <x v="125"/>
    <n v="4"/>
    <n v="324"/>
    <x v="122"/>
    <x v="0"/>
    <x v="2"/>
    <x v="2"/>
    <s v="Delayed"/>
    <n v="934"/>
    <n v="81"/>
    <x v="13"/>
    <x v="2"/>
    <x v="12"/>
    <x v="0"/>
    <x v="4"/>
    <m/>
  </r>
  <r>
    <d v="2022-06-13T00:00:00"/>
    <x v="4"/>
    <s v="Plates &amp; Bowls"/>
    <s v="500ml"/>
    <x v="121"/>
    <x v="4"/>
    <x v="126"/>
    <n v="1.5"/>
    <n v="33"/>
    <x v="123"/>
    <x v="2"/>
    <x v="3"/>
    <x v="0"/>
    <s v="Delivered"/>
    <n v="507"/>
    <n v="22"/>
    <x v="17"/>
    <x v="11"/>
    <x v="16"/>
    <x v="0"/>
    <x v="2"/>
    <m/>
  </r>
  <r>
    <d v="2022-06-14T00:00:00"/>
    <x v="2"/>
    <s v="Housekeeping Items"/>
    <s v="Standard"/>
    <x v="122"/>
    <x v="2"/>
    <x v="127"/>
    <n v="100"/>
    <n v="15600"/>
    <x v="124"/>
    <x v="1"/>
    <x v="0"/>
    <x v="0"/>
    <s v="Delayed"/>
    <n v="998"/>
    <n v="156"/>
    <x v="7"/>
    <x v="5"/>
    <x v="7"/>
    <x v="4"/>
    <x v="6"/>
    <m/>
  </r>
  <r>
    <d v="2022-06-15T00:00:00"/>
    <x v="5"/>
    <s v="Cutlery"/>
    <s v="3pcs"/>
    <x v="123"/>
    <x v="5"/>
    <x v="128"/>
    <n v="4"/>
    <n v="1720"/>
    <x v="125"/>
    <x v="0"/>
    <x v="0"/>
    <x v="2"/>
    <s v="Delivered"/>
    <n v="965"/>
    <n v="430"/>
    <x v="8"/>
    <x v="6"/>
    <x v="8"/>
    <x v="3"/>
    <x v="1"/>
    <m/>
  </r>
  <r>
    <d v="2022-06-16T00:00:00"/>
    <x v="3"/>
    <s v="Containers"/>
    <s v="1L"/>
    <x v="42"/>
    <x v="3"/>
    <x v="129"/>
    <n v="3"/>
    <n v="273"/>
    <x v="42"/>
    <x v="1"/>
    <x v="3"/>
    <x v="2"/>
    <s v="Returned"/>
    <n v="899"/>
    <n v="91"/>
    <x v="1"/>
    <x v="1"/>
    <x v="1"/>
    <x v="0"/>
    <x v="10"/>
    <m/>
  </r>
  <r>
    <d v="2022-06-17T00:00:00"/>
    <x v="0"/>
    <s v="Takeaway Boxes"/>
    <s v="Large"/>
    <x v="124"/>
    <x v="0"/>
    <x v="130"/>
    <n v="5"/>
    <n v="570"/>
    <x v="54"/>
    <x v="0"/>
    <x v="0"/>
    <x v="1"/>
    <s v="Returned"/>
    <n v="970"/>
    <n v="114"/>
    <x v="18"/>
    <x v="12"/>
    <x v="17"/>
    <x v="1"/>
    <x v="6"/>
    <m/>
  </r>
  <r>
    <d v="2022-06-18T00:00:00"/>
    <x v="1"/>
    <s v="Glass &amp; Bottles"/>
    <s v="750ml"/>
    <x v="125"/>
    <x v="1"/>
    <x v="131"/>
    <n v="12"/>
    <n v="2592"/>
    <x v="126"/>
    <x v="1"/>
    <x v="3"/>
    <x v="2"/>
    <s v="Delivered"/>
    <n v="871"/>
    <n v="216"/>
    <x v="18"/>
    <x v="12"/>
    <x v="17"/>
    <x v="0"/>
    <x v="11"/>
    <m/>
  </r>
  <r>
    <d v="2022-06-19T00:00:00"/>
    <x v="0"/>
    <s v="Takeaway Boxes"/>
    <s v="Large"/>
    <x v="126"/>
    <x v="0"/>
    <x v="132"/>
    <n v="5"/>
    <n v="2180"/>
    <x v="127"/>
    <x v="1"/>
    <x v="3"/>
    <x v="1"/>
    <s v="Delayed"/>
    <n v="506"/>
    <n v="436"/>
    <x v="11"/>
    <x v="9"/>
    <x v="11"/>
    <x v="0"/>
    <x v="5"/>
    <m/>
  </r>
  <r>
    <d v="2022-06-20T00:00:00"/>
    <x v="0"/>
    <s v="Takeaway Boxes"/>
    <s v="Large"/>
    <x v="127"/>
    <x v="0"/>
    <x v="133"/>
    <n v="5"/>
    <n v="435"/>
    <x v="128"/>
    <x v="1"/>
    <x v="2"/>
    <x v="2"/>
    <s v="Delayed"/>
    <n v="978"/>
    <n v="87"/>
    <x v="13"/>
    <x v="2"/>
    <x v="12"/>
    <x v="4"/>
    <x v="5"/>
    <m/>
  </r>
  <r>
    <d v="2022-06-21T00:00:00"/>
    <x v="2"/>
    <s v="Housekeeping Items"/>
    <s v="Standard"/>
    <x v="128"/>
    <x v="2"/>
    <x v="134"/>
    <n v="100"/>
    <n v="34800"/>
    <x v="129"/>
    <x v="2"/>
    <x v="1"/>
    <x v="0"/>
    <s v="Delayed"/>
    <n v="970"/>
    <n v="348"/>
    <x v="3"/>
    <x v="2"/>
    <x v="3"/>
    <x v="1"/>
    <x v="10"/>
    <m/>
  </r>
  <r>
    <d v="2022-06-22T00:00:00"/>
    <x v="5"/>
    <s v="Cutlery"/>
    <s v="3pcs"/>
    <x v="23"/>
    <x v="5"/>
    <x v="135"/>
    <n v="4"/>
    <n v="1240"/>
    <x v="130"/>
    <x v="0"/>
    <x v="3"/>
    <x v="1"/>
    <s v="Delivered"/>
    <n v="585"/>
    <n v="310"/>
    <x v="9"/>
    <x v="7"/>
    <x v="9"/>
    <x v="1"/>
    <x v="7"/>
    <m/>
  </r>
  <r>
    <d v="2022-06-23T00:00:00"/>
    <x v="3"/>
    <s v="Containers"/>
    <s v="1L"/>
    <x v="129"/>
    <x v="3"/>
    <x v="50"/>
    <n v="3"/>
    <n v="1464"/>
    <x v="131"/>
    <x v="1"/>
    <x v="1"/>
    <x v="0"/>
    <s v="Delivered"/>
    <n v="995"/>
    <n v="488"/>
    <x v="4"/>
    <x v="3"/>
    <x v="4"/>
    <x v="4"/>
    <x v="4"/>
    <m/>
  </r>
  <r>
    <d v="2022-06-24T00:00:00"/>
    <x v="2"/>
    <s v="Housekeeping Items"/>
    <s v="Standard"/>
    <x v="22"/>
    <x v="2"/>
    <x v="136"/>
    <n v="100"/>
    <n v="6900"/>
    <x v="132"/>
    <x v="0"/>
    <x v="2"/>
    <x v="2"/>
    <s v="Returned"/>
    <n v="573"/>
    <n v="69"/>
    <x v="9"/>
    <x v="7"/>
    <x v="9"/>
    <x v="1"/>
    <x v="7"/>
    <m/>
  </r>
  <r>
    <d v="2022-06-25T00:00:00"/>
    <x v="3"/>
    <s v="Containers"/>
    <s v="1L"/>
    <x v="130"/>
    <x v="3"/>
    <x v="137"/>
    <n v="3"/>
    <n v="993"/>
    <x v="133"/>
    <x v="2"/>
    <x v="0"/>
    <x v="2"/>
    <s v="Returned"/>
    <n v="960"/>
    <n v="331"/>
    <x v="6"/>
    <x v="4"/>
    <x v="6"/>
    <x v="3"/>
    <x v="6"/>
    <m/>
  </r>
  <r>
    <d v="2022-06-26T00:00:00"/>
    <x v="1"/>
    <s v="Glass &amp; Bottles"/>
    <s v="750ml"/>
    <x v="131"/>
    <x v="1"/>
    <x v="138"/>
    <n v="12"/>
    <n v="4680"/>
    <x v="134"/>
    <x v="2"/>
    <x v="3"/>
    <x v="1"/>
    <s v="Delivered"/>
    <n v="794"/>
    <n v="390"/>
    <x v="11"/>
    <x v="9"/>
    <x v="11"/>
    <x v="3"/>
    <x v="9"/>
    <m/>
  </r>
  <r>
    <d v="2022-06-27T00:00:00"/>
    <x v="1"/>
    <s v="Glass &amp; Bottles"/>
    <s v="750ml"/>
    <x v="21"/>
    <x v="1"/>
    <x v="139"/>
    <n v="12"/>
    <n v="2748"/>
    <x v="135"/>
    <x v="2"/>
    <x v="3"/>
    <x v="1"/>
    <s v="Delivered"/>
    <n v="974"/>
    <n v="229"/>
    <x v="12"/>
    <x v="3"/>
    <x v="10"/>
    <x v="4"/>
    <x v="5"/>
    <m/>
  </r>
  <r>
    <d v="2022-06-28T00:00:00"/>
    <x v="1"/>
    <s v="Glass &amp; Bottles"/>
    <s v="750ml"/>
    <x v="20"/>
    <x v="1"/>
    <x v="21"/>
    <n v="12"/>
    <n v="1224"/>
    <x v="21"/>
    <x v="1"/>
    <x v="2"/>
    <x v="0"/>
    <s v="Delivered"/>
    <n v="636"/>
    <n v="102"/>
    <x v="17"/>
    <x v="11"/>
    <x v="16"/>
    <x v="4"/>
    <x v="11"/>
    <m/>
  </r>
  <r>
    <d v="2022-06-29T00:00:00"/>
    <x v="5"/>
    <s v="Cutlery"/>
    <s v="3pcs"/>
    <x v="132"/>
    <x v="5"/>
    <x v="140"/>
    <n v="4"/>
    <n v="1752"/>
    <x v="136"/>
    <x v="2"/>
    <x v="3"/>
    <x v="2"/>
    <s v="Delivered"/>
    <n v="817"/>
    <n v="438"/>
    <x v="3"/>
    <x v="2"/>
    <x v="3"/>
    <x v="1"/>
    <x v="10"/>
    <m/>
  </r>
  <r>
    <d v="2022-06-30T00:00:00"/>
    <x v="3"/>
    <s v="Containers"/>
    <s v="1L"/>
    <x v="133"/>
    <x v="3"/>
    <x v="141"/>
    <n v="3"/>
    <n v="1359"/>
    <x v="137"/>
    <x v="0"/>
    <x v="3"/>
    <x v="1"/>
    <s v="Delivered"/>
    <n v="986"/>
    <n v="453"/>
    <x v="4"/>
    <x v="3"/>
    <x v="4"/>
    <x v="2"/>
    <x v="11"/>
    <m/>
  </r>
  <r>
    <d v="2022-07-01T00:00:00"/>
    <x v="5"/>
    <s v="Cutlery"/>
    <s v="3pcs"/>
    <x v="134"/>
    <x v="5"/>
    <x v="142"/>
    <n v="4"/>
    <n v="960"/>
    <x v="138"/>
    <x v="2"/>
    <x v="2"/>
    <x v="0"/>
    <s v="Delivered"/>
    <n v="526"/>
    <n v="240"/>
    <x v="1"/>
    <x v="1"/>
    <x v="1"/>
    <x v="3"/>
    <x v="5"/>
    <m/>
  </r>
  <r>
    <d v="2022-07-02T00:00:00"/>
    <x v="1"/>
    <s v="Glass &amp; Bottles"/>
    <s v="750ml"/>
    <x v="135"/>
    <x v="1"/>
    <x v="143"/>
    <n v="12"/>
    <n v="1764"/>
    <x v="139"/>
    <x v="2"/>
    <x v="1"/>
    <x v="0"/>
    <s v="Returned"/>
    <n v="578"/>
    <n v="147"/>
    <x v="3"/>
    <x v="2"/>
    <x v="3"/>
    <x v="0"/>
    <x v="11"/>
    <m/>
  </r>
  <r>
    <d v="2022-07-03T00:00:00"/>
    <x v="0"/>
    <s v="Takeaway Boxes"/>
    <s v="Large"/>
    <x v="136"/>
    <x v="0"/>
    <x v="144"/>
    <n v="5"/>
    <n v="250"/>
    <x v="140"/>
    <x v="2"/>
    <x v="1"/>
    <x v="2"/>
    <s v="Returned"/>
    <n v="639"/>
    <n v="50"/>
    <x v="2"/>
    <x v="2"/>
    <x v="2"/>
    <x v="0"/>
    <x v="8"/>
    <m/>
  </r>
  <r>
    <d v="2022-07-04T00:00:00"/>
    <x v="0"/>
    <s v="Takeaway Boxes"/>
    <s v="Large"/>
    <x v="93"/>
    <x v="0"/>
    <x v="145"/>
    <n v="5"/>
    <n v="2145"/>
    <x v="141"/>
    <x v="1"/>
    <x v="2"/>
    <x v="0"/>
    <s v="Returned"/>
    <n v="985"/>
    <n v="429"/>
    <x v="19"/>
    <x v="13"/>
    <x v="18"/>
    <x v="3"/>
    <x v="8"/>
    <m/>
  </r>
  <r>
    <d v="2022-07-05T00:00:00"/>
    <x v="5"/>
    <s v="Cutlery"/>
    <s v="3pcs"/>
    <x v="137"/>
    <x v="5"/>
    <x v="146"/>
    <n v="4"/>
    <n v="328"/>
    <x v="142"/>
    <x v="1"/>
    <x v="0"/>
    <x v="1"/>
    <s v="Returned"/>
    <n v="909"/>
    <n v="82"/>
    <x v="3"/>
    <x v="2"/>
    <x v="3"/>
    <x v="4"/>
    <x v="1"/>
    <m/>
  </r>
  <r>
    <d v="2022-07-06T00:00:00"/>
    <x v="4"/>
    <s v="Plates &amp; Bowls"/>
    <s v="500ml"/>
    <x v="138"/>
    <x v="4"/>
    <x v="147"/>
    <n v="1.5"/>
    <n v="736.5"/>
    <x v="143"/>
    <x v="0"/>
    <x v="1"/>
    <x v="2"/>
    <s v="Delivered"/>
    <n v="559"/>
    <n v="491"/>
    <x v="10"/>
    <x v="8"/>
    <x v="10"/>
    <x v="2"/>
    <x v="3"/>
    <m/>
  </r>
  <r>
    <d v="2022-07-07T00:00:00"/>
    <x v="1"/>
    <s v="Glass &amp; Bottles"/>
    <s v="750ml"/>
    <x v="139"/>
    <x v="1"/>
    <x v="148"/>
    <n v="12"/>
    <n v="2340"/>
    <x v="144"/>
    <x v="0"/>
    <x v="0"/>
    <x v="2"/>
    <s v="Delayed"/>
    <n v="590"/>
    <n v="195"/>
    <x v="6"/>
    <x v="4"/>
    <x v="6"/>
    <x v="0"/>
    <x v="2"/>
    <m/>
  </r>
  <r>
    <d v="2022-07-08T00:00:00"/>
    <x v="0"/>
    <s v="Takeaway Boxes"/>
    <s v="Large"/>
    <x v="92"/>
    <x v="0"/>
    <x v="96"/>
    <n v="5"/>
    <n v="2160"/>
    <x v="93"/>
    <x v="2"/>
    <x v="1"/>
    <x v="0"/>
    <s v="Delayed"/>
    <n v="775"/>
    <n v="432"/>
    <x v="6"/>
    <x v="4"/>
    <x v="6"/>
    <x v="3"/>
    <x v="0"/>
    <m/>
  </r>
  <r>
    <d v="2022-07-09T00:00:00"/>
    <x v="2"/>
    <s v="Housekeeping Items"/>
    <s v="Standard"/>
    <x v="140"/>
    <x v="2"/>
    <x v="149"/>
    <n v="100"/>
    <n v="36600"/>
    <x v="145"/>
    <x v="0"/>
    <x v="0"/>
    <x v="2"/>
    <s v="Returned"/>
    <n v="586"/>
    <n v="366"/>
    <x v="9"/>
    <x v="7"/>
    <x v="9"/>
    <x v="3"/>
    <x v="5"/>
    <m/>
  </r>
  <r>
    <d v="2022-07-10T00:00:00"/>
    <x v="1"/>
    <s v="Glass &amp; Bottles"/>
    <s v="750ml"/>
    <x v="141"/>
    <x v="1"/>
    <x v="150"/>
    <n v="12"/>
    <n v="228"/>
    <x v="146"/>
    <x v="2"/>
    <x v="2"/>
    <x v="0"/>
    <s v="Delivered"/>
    <n v="510"/>
    <n v="19"/>
    <x v="12"/>
    <x v="3"/>
    <x v="10"/>
    <x v="2"/>
    <x v="3"/>
    <m/>
  </r>
  <r>
    <d v="2022-07-11T00:00:00"/>
    <x v="3"/>
    <s v="Containers"/>
    <s v="1L"/>
    <x v="137"/>
    <x v="3"/>
    <x v="151"/>
    <n v="3"/>
    <n v="246"/>
    <x v="142"/>
    <x v="2"/>
    <x v="1"/>
    <x v="2"/>
    <s v="Delayed"/>
    <n v="509"/>
    <n v="82"/>
    <x v="9"/>
    <x v="7"/>
    <x v="9"/>
    <x v="0"/>
    <x v="9"/>
    <m/>
  </r>
  <r>
    <d v="2022-07-12T00:00:00"/>
    <x v="5"/>
    <s v="Cutlery"/>
    <s v="3pcs"/>
    <x v="22"/>
    <x v="5"/>
    <x v="23"/>
    <n v="4"/>
    <n v="276"/>
    <x v="23"/>
    <x v="0"/>
    <x v="3"/>
    <x v="2"/>
    <s v="Returned"/>
    <n v="990"/>
    <n v="69"/>
    <x v="9"/>
    <x v="7"/>
    <x v="9"/>
    <x v="0"/>
    <x v="2"/>
    <m/>
  </r>
  <r>
    <d v="2022-07-13T00:00:00"/>
    <x v="2"/>
    <s v="Housekeeping Items"/>
    <s v="Standard"/>
    <x v="52"/>
    <x v="2"/>
    <x v="152"/>
    <n v="100"/>
    <n v="45500"/>
    <x v="147"/>
    <x v="2"/>
    <x v="0"/>
    <x v="1"/>
    <s v="Delayed"/>
    <n v="804"/>
    <n v="455"/>
    <x v="8"/>
    <x v="6"/>
    <x v="8"/>
    <x v="2"/>
    <x v="2"/>
    <m/>
  </r>
  <r>
    <d v="2022-07-14T00:00:00"/>
    <x v="0"/>
    <s v="Takeaway Boxes"/>
    <s v="Large"/>
    <x v="1"/>
    <x v="0"/>
    <x v="153"/>
    <n v="5"/>
    <n v="980"/>
    <x v="148"/>
    <x v="0"/>
    <x v="2"/>
    <x v="2"/>
    <s v="Delivered"/>
    <n v="674"/>
    <n v="196"/>
    <x v="6"/>
    <x v="4"/>
    <x v="6"/>
    <x v="0"/>
    <x v="10"/>
    <m/>
  </r>
  <r>
    <d v="2022-07-15T00:00:00"/>
    <x v="2"/>
    <s v="Housekeeping Items"/>
    <s v="Standard"/>
    <x v="142"/>
    <x v="2"/>
    <x v="154"/>
    <n v="100"/>
    <n v="41400"/>
    <x v="149"/>
    <x v="0"/>
    <x v="0"/>
    <x v="1"/>
    <s v="Returned"/>
    <n v="501"/>
    <n v="414"/>
    <x v="16"/>
    <x v="4"/>
    <x v="15"/>
    <x v="1"/>
    <x v="6"/>
    <m/>
  </r>
  <r>
    <d v="2022-07-16T00:00:00"/>
    <x v="4"/>
    <s v="Plates &amp; Bowls"/>
    <s v="500ml"/>
    <x v="76"/>
    <x v="4"/>
    <x v="155"/>
    <n v="1.5"/>
    <n v="468"/>
    <x v="150"/>
    <x v="1"/>
    <x v="0"/>
    <x v="0"/>
    <s v="Returned"/>
    <n v="696"/>
    <n v="312"/>
    <x v="2"/>
    <x v="2"/>
    <x v="2"/>
    <x v="1"/>
    <x v="4"/>
    <m/>
  </r>
  <r>
    <d v="2022-07-17T00:00:00"/>
    <x v="4"/>
    <s v="Plates &amp; Bowls"/>
    <s v="500ml"/>
    <x v="143"/>
    <x v="4"/>
    <x v="156"/>
    <n v="1.5"/>
    <n v="175.5"/>
    <x v="151"/>
    <x v="2"/>
    <x v="2"/>
    <x v="1"/>
    <s v="Delayed"/>
    <n v="852"/>
    <n v="117"/>
    <x v="17"/>
    <x v="11"/>
    <x v="16"/>
    <x v="2"/>
    <x v="9"/>
    <m/>
  </r>
  <r>
    <d v="2022-07-18T00:00:00"/>
    <x v="0"/>
    <s v="Takeaway Boxes"/>
    <s v="Large"/>
    <x v="144"/>
    <x v="0"/>
    <x v="157"/>
    <n v="5"/>
    <n v="2065"/>
    <x v="152"/>
    <x v="2"/>
    <x v="2"/>
    <x v="1"/>
    <s v="Returned"/>
    <n v="744"/>
    <n v="413"/>
    <x v="10"/>
    <x v="8"/>
    <x v="10"/>
    <x v="4"/>
    <x v="8"/>
    <m/>
  </r>
  <r>
    <d v="2022-07-19T00:00:00"/>
    <x v="2"/>
    <s v="Housekeeping Items"/>
    <s v="Standard"/>
    <x v="93"/>
    <x v="2"/>
    <x v="97"/>
    <n v="100"/>
    <n v="42900"/>
    <x v="94"/>
    <x v="2"/>
    <x v="3"/>
    <x v="1"/>
    <s v="Delivered"/>
    <n v="693"/>
    <n v="429"/>
    <x v="11"/>
    <x v="9"/>
    <x v="11"/>
    <x v="3"/>
    <x v="1"/>
    <m/>
  </r>
  <r>
    <d v="2022-07-20T00:00:00"/>
    <x v="4"/>
    <s v="Plates &amp; Bowls"/>
    <s v="500ml"/>
    <x v="145"/>
    <x v="4"/>
    <x v="158"/>
    <n v="1.5"/>
    <n v="300"/>
    <x v="153"/>
    <x v="1"/>
    <x v="1"/>
    <x v="2"/>
    <s v="Delayed"/>
    <n v="555"/>
    <n v="200"/>
    <x v="5"/>
    <x v="0"/>
    <x v="5"/>
    <x v="4"/>
    <x v="1"/>
    <m/>
  </r>
  <r>
    <d v="2022-07-21T00:00:00"/>
    <x v="1"/>
    <s v="Glass &amp; Bottles"/>
    <s v="750ml"/>
    <x v="106"/>
    <x v="1"/>
    <x v="110"/>
    <n v="12"/>
    <n v="396"/>
    <x v="107"/>
    <x v="2"/>
    <x v="3"/>
    <x v="1"/>
    <s v="Returned"/>
    <n v="593"/>
    <n v="33"/>
    <x v="5"/>
    <x v="0"/>
    <x v="5"/>
    <x v="1"/>
    <x v="6"/>
    <m/>
  </r>
  <r>
    <d v="2022-07-22T00:00:00"/>
    <x v="1"/>
    <s v="Glass &amp; Bottles"/>
    <s v="750ml"/>
    <x v="89"/>
    <x v="1"/>
    <x v="159"/>
    <n v="12"/>
    <n v="1284"/>
    <x v="154"/>
    <x v="1"/>
    <x v="1"/>
    <x v="2"/>
    <s v="Returned"/>
    <n v="949"/>
    <n v="107"/>
    <x v="14"/>
    <x v="6"/>
    <x v="13"/>
    <x v="2"/>
    <x v="11"/>
    <m/>
  </r>
  <r>
    <d v="2022-07-23T00:00:00"/>
    <x v="1"/>
    <s v="Glass &amp; Bottles"/>
    <s v="750ml"/>
    <x v="146"/>
    <x v="1"/>
    <x v="160"/>
    <n v="12"/>
    <n v="4284"/>
    <x v="155"/>
    <x v="0"/>
    <x v="0"/>
    <x v="1"/>
    <s v="Delivered"/>
    <n v="730"/>
    <n v="357"/>
    <x v="0"/>
    <x v="0"/>
    <x v="0"/>
    <x v="2"/>
    <x v="10"/>
    <m/>
  </r>
  <r>
    <d v="2022-07-24T00:00:00"/>
    <x v="5"/>
    <s v="Cutlery"/>
    <s v="3pcs"/>
    <x v="147"/>
    <x v="5"/>
    <x v="161"/>
    <n v="4"/>
    <n v="1956"/>
    <x v="156"/>
    <x v="1"/>
    <x v="2"/>
    <x v="1"/>
    <s v="Delivered"/>
    <n v="676"/>
    <n v="489"/>
    <x v="6"/>
    <x v="4"/>
    <x v="6"/>
    <x v="2"/>
    <x v="6"/>
    <m/>
  </r>
  <r>
    <d v="2022-07-25T00:00:00"/>
    <x v="1"/>
    <s v="Glass &amp; Bottles"/>
    <s v="750ml"/>
    <x v="148"/>
    <x v="1"/>
    <x v="162"/>
    <n v="12"/>
    <n v="3468"/>
    <x v="157"/>
    <x v="1"/>
    <x v="2"/>
    <x v="1"/>
    <s v="Delayed"/>
    <n v="962"/>
    <n v="289"/>
    <x v="15"/>
    <x v="10"/>
    <x v="14"/>
    <x v="3"/>
    <x v="2"/>
    <m/>
  </r>
  <r>
    <d v="2022-07-26T00:00:00"/>
    <x v="3"/>
    <s v="Containers"/>
    <s v="1L"/>
    <x v="100"/>
    <x v="3"/>
    <x v="163"/>
    <n v="3"/>
    <n v="1428"/>
    <x v="158"/>
    <x v="1"/>
    <x v="1"/>
    <x v="1"/>
    <s v="Returned"/>
    <n v="635"/>
    <n v="476"/>
    <x v="16"/>
    <x v="4"/>
    <x v="15"/>
    <x v="4"/>
    <x v="3"/>
    <m/>
  </r>
  <r>
    <d v="2022-07-27T00:00:00"/>
    <x v="4"/>
    <s v="Plates &amp; Bowls"/>
    <s v="500ml"/>
    <x v="81"/>
    <x v="4"/>
    <x v="85"/>
    <n v="1.5"/>
    <n v="406.5"/>
    <x v="83"/>
    <x v="0"/>
    <x v="1"/>
    <x v="2"/>
    <s v="Returned"/>
    <n v="947"/>
    <n v="271"/>
    <x v="15"/>
    <x v="10"/>
    <x v="14"/>
    <x v="4"/>
    <x v="11"/>
    <m/>
  </r>
  <r>
    <d v="2022-07-28T00:00:00"/>
    <x v="1"/>
    <s v="Glass &amp; Bottles"/>
    <s v="750ml"/>
    <x v="132"/>
    <x v="1"/>
    <x v="164"/>
    <n v="12"/>
    <n v="5256"/>
    <x v="159"/>
    <x v="2"/>
    <x v="2"/>
    <x v="1"/>
    <s v="Delayed"/>
    <n v="624"/>
    <n v="438"/>
    <x v="15"/>
    <x v="10"/>
    <x v="14"/>
    <x v="2"/>
    <x v="4"/>
    <m/>
  </r>
  <r>
    <d v="2022-07-29T00:00:00"/>
    <x v="2"/>
    <s v="Housekeeping Items"/>
    <s v="Standard"/>
    <x v="149"/>
    <x v="2"/>
    <x v="165"/>
    <n v="100"/>
    <n v="16000"/>
    <x v="160"/>
    <x v="0"/>
    <x v="1"/>
    <x v="0"/>
    <s v="Returned"/>
    <n v="527"/>
    <n v="160"/>
    <x v="9"/>
    <x v="7"/>
    <x v="9"/>
    <x v="3"/>
    <x v="0"/>
    <m/>
  </r>
  <r>
    <d v="2022-07-30T00:00:00"/>
    <x v="0"/>
    <s v="Takeaway Boxes"/>
    <s v="Large"/>
    <x v="150"/>
    <x v="0"/>
    <x v="166"/>
    <n v="5"/>
    <n v="1670"/>
    <x v="161"/>
    <x v="2"/>
    <x v="0"/>
    <x v="0"/>
    <s v="Returned"/>
    <n v="622"/>
    <n v="334"/>
    <x v="14"/>
    <x v="6"/>
    <x v="13"/>
    <x v="1"/>
    <x v="6"/>
    <m/>
  </r>
  <r>
    <d v="2022-07-31T00:00:00"/>
    <x v="4"/>
    <s v="Plates &amp; Bowls"/>
    <s v="500ml"/>
    <x v="2"/>
    <x v="4"/>
    <x v="167"/>
    <n v="1.5"/>
    <n v="301.5"/>
    <x v="162"/>
    <x v="1"/>
    <x v="1"/>
    <x v="2"/>
    <s v="Delivered"/>
    <n v="797"/>
    <n v="201"/>
    <x v="13"/>
    <x v="2"/>
    <x v="12"/>
    <x v="2"/>
    <x v="5"/>
    <m/>
  </r>
  <r>
    <d v="2022-08-01T00:00:00"/>
    <x v="3"/>
    <s v="Containers"/>
    <s v="1L"/>
    <x v="113"/>
    <x v="3"/>
    <x v="118"/>
    <n v="3"/>
    <n v="987"/>
    <x v="115"/>
    <x v="2"/>
    <x v="2"/>
    <x v="2"/>
    <s v="Returned"/>
    <n v="838"/>
    <n v="329"/>
    <x v="13"/>
    <x v="2"/>
    <x v="12"/>
    <x v="3"/>
    <x v="11"/>
    <m/>
  </r>
  <r>
    <d v="2022-08-02T00:00:00"/>
    <x v="0"/>
    <s v="Takeaway Boxes"/>
    <s v="Large"/>
    <x v="151"/>
    <x v="0"/>
    <x v="168"/>
    <n v="5"/>
    <n v="830"/>
    <x v="163"/>
    <x v="2"/>
    <x v="1"/>
    <x v="2"/>
    <s v="Delayed"/>
    <n v="500"/>
    <n v="166"/>
    <x v="14"/>
    <x v="6"/>
    <x v="13"/>
    <x v="3"/>
    <x v="7"/>
    <m/>
  </r>
  <r>
    <d v="2022-08-03T00:00:00"/>
    <x v="0"/>
    <s v="Takeaway Boxes"/>
    <s v="Large"/>
    <x v="152"/>
    <x v="0"/>
    <x v="169"/>
    <n v="5"/>
    <n v="85"/>
    <x v="164"/>
    <x v="0"/>
    <x v="1"/>
    <x v="0"/>
    <s v="Delayed"/>
    <n v="653"/>
    <n v="17"/>
    <x v="19"/>
    <x v="13"/>
    <x v="18"/>
    <x v="4"/>
    <x v="7"/>
    <m/>
  </r>
  <r>
    <d v="2022-08-04T00:00:00"/>
    <x v="0"/>
    <s v="Takeaway Boxes"/>
    <s v="Large"/>
    <x v="153"/>
    <x v="0"/>
    <x v="170"/>
    <n v="5"/>
    <n v="1620"/>
    <x v="165"/>
    <x v="1"/>
    <x v="1"/>
    <x v="0"/>
    <s v="Delayed"/>
    <n v="558"/>
    <n v="324"/>
    <x v="15"/>
    <x v="10"/>
    <x v="14"/>
    <x v="4"/>
    <x v="3"/>
    <m/>
  </r>
  <r>
    <d v="2022-08-05T00:00:00"/>
    <x v="3"/>
    <s v="Containers"/>
    <s v="1L"/>
    <x v="75"/>
    <x v="3"/>
    <x v="171"/>
    <n v="3"/>
    <n v="105"/>
    <x v="166"/>
    <x v="0"/>
    <x v="1"/>
    <x v="1"/>
    <s v="Delivered"/>
    <n v="561"/>
    <n v="35"/>
    <x v="6"/>
    <x v="4"/>
    <x v="6"/>
    <x v="2"/>
    <x v="11"/>
    <m/>
  </r>
  <r>
    <d v="2022-08-06T00:00:00"/>
    <x v="5"/>
    <s v="Cutlery"/>
    <s v="3pcs"/>
    <x v="154"/>
    <x v="5"/>
    <x v="172"/>
    <n v="4"/>
    <n v="1896"/>
    <x v="167"/>
    <x v="0"/>
    <x v="3"/>
    <x v="2"/>
    <s v="Returned"/>
    <n v="833"/>
    <n v="474"/>
    <x v="19"/>
    <x v="13"/>
    <x v="18"/>
    <x v="1"/>
    <x v="3"/>
    <m/>
  </r>
  <r>
    <d v="2022-08-07T00:00:00"/>
    <x v="1"/>
    <s v="Glass &amp; Bottles"/>
    <s v="750ml"/>
    <x v="155"/>
    <x v="1"/>
    <x v="173"/>
    <n v="12"/>
    <n v="3492"/>
    <x v="168"/>
    <x v="1"/>
    <x v="0"/>
    <x v="2"/>
    <s v="Delivered"/>
    <n v="744"/>
    <n v="291"/>
    <x v="0"/>
    <x v="0"/>
    <x v="0"/>
    <x v="2"/>
    <x v="6"/>
    <m/>
  </r>
  <r>
    <d v="2022-08-08T00:00:00"/>
    <x v="5"/>
    <s v="Cutlery"/>
    <s v="3pcs"/>
    <x v="31"/>
    <x v="5"/>
    <x v="21"/>
    <n v="4"/>
    <n v="1360"/>
    <x v="169"/>
    <x v="2"/>
    <x v="0"/>
    <x v="1"/>
    <s v="Delivered"/>
    <n v="733"/>
    <n v="340"/>
    <x v="10"/>
    <x v="8"/>
    <x v="10"/>
    <x v="1"/>
    <x v="5"/>
    <m/>
  </r>
  <r>
    <d v="2022-08-09T00:00:00"/>
    <x v="4"/>
    <s v="Plates &amp; Bowls"/>
    <s v="500ml"/>
    <x v="116"/>
    <x v="4"/>
    <x v="174"/>
    <n v="1.5"/>
    <n v="207"/>
    <x v="23"/>
    <x v="1"/>
    <x v="1"/>
    <x v="1"/>
    <s v="Delayed"/>
    <n v="540"/>
    <n v="138"/>
    <x v="2"/>
    <x v="2"/>
    <x v="2"/>
    <x v="3"/>
    <x v="2"/>
    <m/>
  </r>
  <r>
    <d v="2022-08-10T00:00:00"/>
    <x v="1"/>
    <s v="Glass &amp; Bottles"/>
    <s v="750ml"/>
    <x v="13"/>
    <x v="1"/>
    <x v="175"/>
    <n v="12"/>
    <n v="4584"/>
    <x v="170"/>
    <x v="0"/>
    <x v="3"/>
    <x v="0"/>
    <s v="Delivered"/>
    <n v="816"/>
    <n v="382"/>
    <x v="16"/>
    <x v="4"/>
    <x v="15"/>
    <x v="0"/>
    <x v="11"/>
    <m/>
  </r>
  <r>
    <d v="2022-08-11T00:00:00"/>
    <x v="4"/>
    <s v="Plates &amp; Bowls"/>
    <s v="500ml"/>
    <x v="156"/>
    <x v="4"/>
    <x v="176"/>
    <n v="1.5"/>
    <n v="336"/>
    <x v="171"/>
    <x v="2"/>
    <x v="3"/>
    <x v="1"/>
    <s v="Delivered"/>
    <n v="664"/>
    <n v="224"/>
    <x v="17"/>
    <x v="11"/>
    <x v="16"/>
    <x v="1"/>
    <x v="8"/>
    <m/>
  </r>
  <r>
    <d v="2022-08-12T00:00:00"/>
    <x v="1"/>
    <s v="Glass &amp; Bottles"/>
    <s v="750ml"/>
    <x v="20"/>
    <x v="1"/>
    <x v="21"/>
    <n v="12"/>
    <n v="1224"/>
    <x v="21"/>
    <x v="0"/>
    <x v="0"/>
    <x v="1"/>
    <s v="Returned"/>
    <n v="915"/>
    <n v="102"/>
    <x v="19"/>
    <x v="13"/>
    <x v="18"/>
    <x v="0"/>
    <x v="5"/>
    <m/>
  </r>
  <r>
    <d v="2022-08-13T00:00:00"/>
    <x v="1"/>
    <s v="Glass &amp; Bottles"/>
    <s v="750ml"/>
    <x v="125"/>
    <x v="1"/>
    <x v="131"/>
    <n v="12"/>
    <n v="2592"/>
    <x v="126"/>
    <x v="1"/>
    <x v="0"/>
    <x v="2"/>
    <s v="Delayed"/>
    <n v="943"/>
    <n v="216"/>
    <x v="4"/>
    <x v="3"/>
    <x v="4"/>
    <x v="4"/>
    <x v="8"/>
    <m/>
  </r>
  <r>
    <d v="2022-08-14T00:00:00"/>
    <x v="5"/>
    <s v="Cutlery"/>
    <s v="3pcs"/>
    <x v="157"/>
    <x v="5"/>
    <x v="177"/>
    <n v="4"/>
    <n v="760"/>
    <x v="172"/>
    <x v="2"/>
    <x v="2"/>
    <x v="0"/>
    <s v="Delivered"/>
    <n v="625"/>
    <n v="190"/>
    <x v="7"/>
    <x v="5"/>
    <x v="7"/>
    <x v="4"/>
    <x v="2"/>
    <m/>
  </r>
  <r>
    <d v="2022-08-15T00:00:00"/>
    <x v="1"/>
    <s v="Glass &amp; Bottles"/>
    <s v="750ml"/>
    <x v="34"/>
    <x v="1"/>
    <x v="35"/>
    <n v="12"/>
    <n v="4056"/>
    <x v="34"/>
    <x v="2"/>
    <x v="1"/>
    <x v="0"/>
    <s v="Delayed"/>
    <n v="510"/>
    <n v="338"/>
    <x v="14"/>
    <x v="6"/>
    <x v="13"/>
    <x v="2"/>
    <x v="7"/>
    <m/>
  </r>
  <r>
    <d v="2022-08-16T00:00:00"/>
    <x v="3"/>
    <s v="Containers"/>
    <s v="1L"/>
    <x v="158"/>
    <x v="3"/>
    <x v="178"/>
    <n v="3"/>
    <n v="1425"/>
    <x v="173"/>
    <x v="2"/>
    <x v="2"/>
    <x v="1"/>
    <s v="Delivered"/>
    <n v="895"/>
    <n v="475"/>
    <x v="16"/>
    <x v="4"/>
    <x v="15"/>
    <x v="2"/>
    <x v="7"/>
    <m/>
  </r>
  <r>
    <d v="2022-08-17T00:00:00"/>
    <x v="3"/>
    <s v="Containers"/>
    <s v="1L"/>
    <x v="159"/>
    <x v="3"/>
    <x v="179"/>
    <n v="3"/>
    <n v="717"/>
    <x v="174"/>
    <x v="2"/>
    <x v="3"/>
    <x v="1"/>
    <s v="Returned"/>
    <n v="909"/>
    <n v="239"/>
    <x v="12"/>
    <x v="3"/>
    <x v="10"/>
    <x v="4"/>
    <x v="11"/>
    <m/>
  </r>
  <r>
    <d v="2022-08-18T00:00:00"/>
    <x v="3"/>
    <s v="Containers"/>
    <s v="1L"/>
    <x v="142"/>
    <x v="3"/>
    <x v="180"/>
    <n v="3"/>
    <n v="1242"/>
    <x v="175"/>
    <x v="1"/>
    <x v="3"/>
    <x v="1"/>
    <s v="Delayed"/>
    <n v="832"/>
    <n v="414"/>
    <x v="11"/>
    <x v="9"/>
    <x v="11"/>
    <x v="4"/>
    <x v="10"/>
    <m/>
  </r>
  <r>
    <d v="2022-08-19T00:00:00"/>
    <x v="2"/>
    <s v="Housekeeping Items"/>
    <s v="Standard"/>
    <x v="160"/>
    <x v="2"/>
    <x v="181"/>
    <n v="100"/>
    <n v="23700"/>
    <x v="176"/>
    <x v="2"/>
    <x v="3"/>
    <x v="2"/>
    <s v="Returned"/>
    <n v="709"/>
    <n v="237"/>
    <x v="7"/>
    <x v="5"/>
    <x v="7"/>
    <x v="1"/>
    <x v="7"/>
    <m/>
  </r>
  <r>
    <d v="2022-08-20T00:00:00"/>
    <x v="1"/>
    <s v="Glass &amp; Bottles"/>
    <s v="750ml"/>
    <x v="161"/>
    <x v="1"/>
    <x v="182"/>
    <n v="12"/>
    <n v="3216"/>
    <x v="177"/>
    <x v="1"/>
    <x v="2"/>
    <x v="0"/>
    <s v="Returned"/>
    <n v="785"/>
    <n v="268"/>
    <x v="11"/>
    <x v="9"/>
    <x v="11"/>
    <x v="0"/>
    <x v="4"/>
    <m/>
  </r>
  <r>
    <d v="2022-08-21T00:00:00"/>
    <x v="0"/>
    <s v="Takeaway Boxes"/>
    <s v="Large"/>
    <x v="162"/>
    <x v="0"/>
    <x v="183"/>
    <n v="5"/>
    <n v="1805"/>
    <x v="178"/>
    <x v="0"/>
    <x v="0"/>
    <x v="0"/>
    <s v="Returned"/>
    <n v="864"/>
    <n v="361"/>
    <x v="7"/>
    <x v="5"/>
    <x v="7"/>
    <x v="3"/>
    <x v="6"/>
    <m/>
  </r>
  <r>
    <d v="2022-08-22T00:00:00"/>
    <x v="2"/>
    <s v="Housekeeping Items"/>
    <s v="Standard"/>
    <x v="21"/>
    <x v="2"/>
    <x v="184"/>
    <n v="100"/>
    <n v="22900"/>
    <x v="179"/>
    <x v="2"/>
    <x v="3"/>
    <x v="2"/>
    <s v="Delayed"/>
    <n v="812"/>
    <n v="229"/>
    <x v="11"/>
    <x v="9"/>
    <x v="11"/>
    <x v="3"/>
    <x v="11"/>
    <m/>
  </r>
  <r>
    <d v="2022-08-23T00:00:00"/>
    <x v="4"/>
    <s v="Plates &amp; Bowls"/>
    <s v="500ml"/>
    <x v="163"/>
    <x v="4"/>
    <x v="185"/>
    <n v="1.5"/>
    <n v="466.5"/>
    <x v="180"/>
    <x v="2"/>
    <x v="1"/>
    <x v="0"/>
    <s v="Delayed"/>
    <n v="677"/>
    <n v="311"/>
    <x v="18"/>
    <x v="12"/>
    <x v="17"/>
    <x v="3"/>
    <x v="6"/>
    <m/>
  </r>
  <r>
    <d v="2022-08-24T00:00:00"/>
    <x v="4"/>
    <s v="Plates &amp; Bowls"/>
    <s v="500ml"/>
    <x v="0"/>
    <x v="4"/>
    <x v="186"/>
    <n v="1.5"/>
    <n v="315"/>
    <x v="181"/>
    <x v="2"/>
    <x v="1"/>
    <x v="2"/>
    <s v="Delayed"/>
    <n v="876"/>
    <n v="210"/>
    <x v="3"/>
    <x v="2"/>
    <x v="3"/>
    <x v="3"/>
    <x v="5"/>
    <m/>
  </r>
  <r>
    <d v="2022-08-25T00:00:00"/>
    <x v="0"/>
    <s v="Takeaway Boxes"/>
    <s v="Large"/>
    <x v="164"/>
    <x v="0"/>
    <x v="187"/>
    <n v="5"/>
    <n v="1880"/>
    <x v="182"/>
    <x v="1"/>
    <x v="0"/>
    <x v="1"/>
    <s v="Delayed"/>
    <n v="694"/>
    <n v="376"/>
    <x v="10"/>
    <x v="8"/>
    <x v="10"/>
    <x v="3"/>
    <x v="7"/>
    <m/>
  </r>
  <r>
    <d v="2022-08-26T00:00:00"/>
    <x v="0"/>
    <s v="Takeaway Boxes"/>
    <s v="Large"/>
    <x v="165"/>
    <x v="0"/>
    <x v="188"/>
    <n v="5"/>
    <n v="125"/>
    <x v="183"/>
    <x v="1"/>
    <x v="0"/>
    <x v="1"/>
    <s v="Returned"/>
    <n v="858"/>
    <n v="25"/>
    <x v="4"/>
    <x v="3"/>
    <x v="4"/>
    <x v="2"/>
    <x v="5"/>
    <m/>
  </r>
  <r>
    <d v="2022-08-27T00:00:00"/>
    <x v="0"/>
    <s v="Takeaway Boxes"/>
    <s v="Large"/>
    <x v="166"/>
    <x v="0"/>
    <x v="189"/>
    <n v="5"/>
    <n v="390"/>
    <x v="184"/>
    <x v="1"/>
    <x v="3"/>
    <x v="1"/>
    <s v="Delivered"/>
    <n v="612"/>
    <n v="78"/>
    <x v="5"/>
    <x v="0"/>
    <x v="5"/>
    <x v="2"/>
    <x v="6"/>
    <m/>
  </r>
  <r>
    <d v="2022-08-28T00:00:00"/>
    <x v="3"/>
    <s v="Containers"/>
    <s v="1L"/>
    <x v="167"/>
    <x v="3"/>
    <x v="190"/>
    <n v="3"/>
    <n v="759"/>
    <x v="185"/>
    <x v="0"/>
    <x v="3"/>
    <x v="2"/>
    <s v="Delivered"/>
    <n v="581"/>
    <n v="253"/>
    <x v="2"/>
    <x v="2"/>
    <x v="2"/>
    <x v="2"/>
    <x v="2"/>
    <m/>
  </r>
  <r>
    <d v="2022-08-29T00:00:00"/>
    <x v="0"/>
    <s v="Takeaway Boxes"/>
    <s v="Large"/>
    <x v="168"/>
    <x v="0"/>
    <x v="191"/>
    <n v="5"/>
    <n v="475"/>
    <x v="186"/>
    <x v="2"/>
    <x v="2"/>
    <x v="1"/>
    <s v="Delayed"/>
    <n v="943"/>
    <n v="95"/>
    <x v="12"/>
    <x v="3"/>
    <x v="10"/>
    <x v="2"/>
    <x v="1"/>
    <m/>
  </r>
  <r>
    <d v="2022-08-30T00:00:00"/>
    <x v="0"/>
    <s v="Takeaway Boxes"/>
    <s v="Large"/>
    <x v="94"/>
    <x v="0"/>
    <x v="21"/>
    <n v="5"/>
    <n v="1275"/>
    <x v="187"/>
    <x v="2"/>
    <x v="3"/>
    <x v="2"/>
    <s v="Delivered"/>
    <n v="840"/>
    <n v="255"/>
    <x v="16"/>
    <x v="4"/>
    <x v="15"/>
    <x v="3"/>
    <x v="11"/>
    <m/>
  </r>
  <r>
    <d v="2022-08-31T00:00:00"/>
    <x v="2"/>
    <s v="Housekeeping Items"/>
    <s v="Standard"/>
    <x v="169"/>
    <x v="2"/>
    <x v="192"/>
    <n v="100"/>
    <n v="12700"/>
    <x v="188"/>
    <x v="1"/>
    <x v="2"/>
    <x v="2"/>
    <s v="Delayed"/>
    <n v="872"/>
    <n v="127"/>
    <x v="4"/>
    <x v="3"/>
    <x v="4"/>
    <x v="4"/>
    <x v="7"/>
    <m/>
  </r>
  <r>
    <d v="2022-09-01T00:00:00"/>
    <x v="2"/>
    <s v="Housekeeping Items"/>
    <s v="Standard"/>
    <x v="170"/>
    <x v="2"/>
    <x v="193"/>
    <n v="100"/>
    <n v="47900"/>
    <x v="189"/>
    <x v="0"/>
    <x v="2"/>
    <x v="1"/>
    <s v="Returned"/>
    <n v="815"/>
    <n v="479"/>
    <x v="5"/>
    <x v="0"/>
    <x v="5"/>
    <x v="2"/>
    <x v="6"/>
    <m/>
  </r>
  <r>
    <d v="2022-09-02T00:00:00"/>
    <x v="3"/>
    <s v="Containers"/>
    <s v="1L"/>
    <x v="84"/>
    <x v="3"/>
    <x v="194"/>
    <n v="3"/>
    <n v="180"/>
    <x v="190"/>
    <x v="2"/>
    <x v="1"/>
    <x v="1"/>
    <s v="Delayed"/>
    <n v="865"/>
    <n v="60"/>
    <x v="17"/>
    <x v="11"/>
    <x v="16"/>
    <x v="1"/>
    <x v="1"/>
    <m/>
  </r>
  <r>
    <d v="2022-09-03T00:00:00"/>
    <x v="3"/>
    <s v="Containers"/>
    <s v="1L"/>
    <x v="171"/>
    <x v="3"/>
    <x v="195"/>
    <n v="3"/>
    <n v="1056"/>
    <x v="191"/>
    <x v="1"/>
    <x v="0"/>
    <x v="2"/>
    <s v="Delayed"/>
    <n v="856"/>
    <n v="352"/>
    <x v="14"/>
    <x v="6"/>
    <x v="13"/>
    <x v="3"/>
    <x v="0"/>
    <m/>
  </r>
  <r>
    <d v="2022-09-04T00:00:00"/>
    <x v="4"/>
    <s v="Plates &amp; Bowls"/>
    <s v="500ml"/>
    <x v="131"/>
    <x v="4"/>
    <x v="196"/>
    <n v="1.5"/>
    <n v="585"/>
    <x v="192"/>
    <x v="1"/>
    <x v="2"/>
    <x v="1"/>
    <s v="Returned"/>
    <n v="820"/>
    <n v="390"/>
    <x v="19"/>
    <x v="13"/>
    <x v="18"/>
    <x v="2"/>
    <x v="2"/>
    <m/>
  </r>
  <r>
    <d v="2022-09-05T00:00:00"/>
    <x v="1"/>
    <s v="Glass &amp; Bottles"/>
    <s v="750ml"/>
    <x v="172"/>
    <x v="1"/>
    <x v="197"/>
    <n v="12"/>
    <n v="888"/>
    <x v="193"/>
    <x v="2"/>
    <x v="2"/>
    <x v="1"/>
    <s v="Delivered"/>
    <n v="897"/>
    <n v="74"/>
    <x v="15"/>
    <x v="10"/>
    <x v="14"/>
    <x v="2"/>
    <x v="0"/>
    <m/>
  </r>
  <r>
    <d v="2022-09-06T00:00:00"/>
    <x v="2"/>
    <s v="Housekeeping Items"/>
    <s v="Standard"/>
    <x v="173"/>
    <x v="2"/>
    <x v="198"/>
    <n v="100"/>
    <n v="24600"/>
    <x v="194"/>
    <x v="0"/>
    <x v="1"/>
    <x v="0"/>
    <s v="Delayed"/>
    <n v="842"/>
    <n v="246"/>
    <x v="8"/>
    <x v="6"/>
    <x v="8"/>
    <x v="2"/>
    <x v="10"/>
    <m/>
  </r>
  <r>
    <d v="2022-09-07T00:00:00"/>
    <x v="1"/>
    <s v="Glass &amp; Bottles"/>
    <s v="750ml"/>
    <x v="174"/>
    <x v="1"/>
    <x v="199"/>
    <n v="12"/>
    <n v="3996"/>
    <x v="195"/>
    <x v="0"/>
    <x v="0"/>
    <x v="2"/>
    <s v="Delivered"/>
    <n v="743"/>
    <n v="333"/>
    <x v="17"/>
    <x v="11"/>
    <x v="16"/>
    <x v="1"/>
    <x v="1"/>
    <m/>
  </r>
  <r>
    <d v="2022-09-08T00:00:00"/>
    <x v="5"/>
    <s v="Cutlery"/>
    <s v="3pcs"/>
    <x v="175"/>
    <x v="5"/>
    <x v="200"/>
    <n v="4"/>
    <n v="1848"/>
    <x v="196"/>
    <x v="2"/>
    <x v="0"/>
    <x v="2"/>
    <s v="Returned"/>
    <n v="824"/>
    <n v="462"/>
    <x v="16"/>
    <x v="4"/>
    <x v="15"/>
    <x v="0"/>
    <x v="8"/>
    <m/>
  </r>
  <r>
    <d v="2022-09-09T00:00:00"/>
    <x v="5"/>
    <s v="Cutlery"/>
    <s v="3pcs"/>
    <x v="55"/>
    <x v="5"/>
    <x v="201"/>
    <n v="4"/>
    <n v="964"/>
    <x v="197"/>
    <x v="0"/>
    <x v="0"/>
    <x v="0"/>
    <s v="Delivered"/>
    <n v="916"/>
    <n v="241"/>
    <x v="13"/>
    <x v="2"/>
    <x v="12"/>
    <x v="4"/>
    <x v="1"/>
    <m/>
  </r>
  <r>
    <d v="2022-09-10T00:00:00"/>
    <x v="4"/>
    <s v="Plates &amp; Bowls"/>
    <s v="500ml"/>
    <x v="176"/>
    <x v="4"/>
    <x v="202"/>
    <n v="1.5"/>
    <n v="55.5"/>
    <x v="198"/>
    <x v="2"/>
    <x v="2"/>
    <x v="0"/>
    <s v="Delayed"/>
    <n v="554"/>
    <n v="37"/>
    <x v="10"/>
    <x v="8"/>
    <x v="10"/>
    <x v="3"/>
    <x v="8"/>
    <m/>
  </r>
  <r>
    <d v="2022-09-11T00:00:00"/>
    <x v="1"/>
    <s v="Glass &amp; Bottles"/>
    <s v="750ml"/>
    <x v="177"/>
    <x v="1"/>
    <x v="203"/>
    <n v="12"/>
    <n v="4068"/>
    <x v="199"/>
    <x v="0"/>
    <x v="0"/>
    <x v="2"/>
    <s v="Returned"/>
    <n v="632"/>
    <n v="339"/>
    <x v="0"/>
    <x v="0"/>
    <x v="0"/>
    <x v="1"/>
    <x v="9"/>
    <m/>
  </r>
  <r>
    <d v="2022-09-12T00:00:00"/>
    <x v="0"/>
    <s v="Takeaway Boxes"/>
    <s v="Large"/>
    <x v="178"/>
    <x v="0"/>
    <x v="204"/>
    <n v="5"/>
    <n v="1730"/>
    <x v="200"/>
    <x v="1"/>
    <x v="2"/>
    <x v="0"/>
    <s v="Returned"/>
    <n v="923"/>
    <n v="346"/>
    <x v="5"/>
    <x v="0"/>
    <x v="5"/>
    <x v="0"/>
    <x v="4"/>
    <m/>
  </r>
  <r>
    <d v="2022-09-13T00:00:00"/>
    <x v="1"/>
    <s v="Glass &amp; Bottles"/>
    <s v="750ml"/>
    <x v="143"/>
    <x v="1"/>
    <x v="205"/>
    <n v="12"/>
    <n v="1404"/>
    <x v="201"/>
    <x v="1"/>
    <x v="3"/>
    <x v="1"/>
    <s v="Delivered"/>
    <n v="504"/>
    <n v="117"/>
    <x v="8"/>
    <x v="6"/>
    <x v="8"/>
    <x v="2"/>
    <x v="2"/>
    <m/>
  </r>
  <r>
    <d v="2022-09-14T00:00:00"/>
    <x v="0"/>
    <s v="Takeaway Boxes"/>
    <s v="Large"/>
    <x v="179"/>
    <x v="0"/>
    <x v="206"/>
    <n v="5"/>
    <n v="195"/>
    <x v="151"/>
    <x v="0"/>
    <x v="1"/>
    <x v="1"/>
    <s v="Delayed"/>
    <n v="642"/>
    <n v="39"/>
    <x v="19"/>
    <x v="13"/>
    <x v="18"/>
    <x v="0"/>
    <x v="3"/>
    <m/>
  </r>
  <r>
    <d v="2022-09-15T00:00:00"/>
    <x v="0"/>
    <s v="Takeaway Boxes"/>
    <s v="Large"/>
    <x v="180"/>
    <x v="0"/>
    <x v="207"/>
    <n v="5"/>
    <n v="740"/>
    <x v="202"/>
    <x v="1"/>
    <x v="0"/>
    <x v="2"/>
    <s v="Delivered"/>
    <n v="897"/>
    <n v="148"/>
    <x v="11"/>
    <x v="9"/>
    <x v="11"/>
    <x v="2"/>
    <x v="10"/>
    <m/>
  </r>
  <r>
    <d v="2022-09-16T00:00:00"/>
    <x v="3"/>
    <s v="Containers"/>
    <s v="1L"/>
    <x v="181"/>
    <x v="3"/>
    <x v="208"/>
    <n v="3"/>
    <n v="969"/>
    <x v="203"/>
    <x v="1"/>
    <x v="1"/>
    <x v="2"/>
    <s v="Returned"/>
    <n v="505"/>
    <n v="323"/>
    <x v="5"/>
    <x v="0"/>
    <x v="5"/>
    <x v="2"/>
    <x v="2"/>
    <m/>
  </r>
  <r>
    <d v="2022-09-17T00:00:00"/>
    <x v="5"/>
    <s v="Cutlery"/>
    <s v="3pcs"/>
    <x v="182"/>
    <x v="5"/>
    <x v="209"/>
    <n v="4"/>
    <n v="1008"/>
    <x v="204"/>
    <x v="1"/>
    <x v="3"/>
    <x v="1"/>
    <s v="Delivered"/>
    <n v="524"/>
    <n v="252"/>
    <x v="0"/>
    <x v="0"/>
    <x v="0"/>
    <x v="1"/>
    <x v="3"/>
    <m/>
  </r>
  <r>
    <d v="2022-09-18T00:00:00"/>
    <x v="0"/>
    <s v="Takeaway Boxes"/>
    <s v="Large"/>
    <x v="183"/>
    <x v="0"/>
    <x v="210"/>
    <n v="5"/>
    <n v="985"/>
    <x v="205"/>
    <x v="1"/>
    <x v="1"/>
    <x v="1"/>
    <s v="Delayed"/>
    <n v="988"/>
    <n v="197"/>
    <x v="2"/>
    <x v="2"/>
    <x v="2"/>
    <x v="2"/>
    <x v="4"/>
    <m/>
  </r>
  <r>
    <d v="2022-09-19T00:00:00"/>
    <x v="5"/>
    <s v="Cutlery"/>
    <s v="3pcs"/>
    <x v="14"/>
    <x v="5"/>
    <x v="211"/>
    <n v="4"/>
    <n v="1204"/>
    <x v="206"/>
    <x v="1"/>
    <x v="0"/>
    <x v="1"/>
    <s v="Delivered"/>
    <n v="594"/>
    <n v="301"/>
    <x v="10"/>
    <x v="8"/>
    <x v="10"/>
    <x v="2"/>
    <x v="1"/>
    <m/>
  </r>
  <r>
    <d v="2022-09-20T00:00:00"/>
    <x v="4"/>
    <s v="Plates &amp; Bowls"/>
    <s v="500ml"/>
    <x v="184"/>
    <x v="4"/>
    <x v="212"/>
    <n v="1.5"/>
    <n v="195"/>
    <x v="207"/>
    <x v="2"/>
    <x v="0"/>
    <x v="0"/>
    <s v="Returned"/>
    <n v="824"/>
    <n v="130"/>
    <x v="1"/>
    <x v="1"/>
    <x v="1"/>
    <x v="1"/>
    <x v="1"/>
    <m/>
  </r>
  <r>
    <d v="2022-09-21T00:00:00"/>
    <x v="0"/>
    <s v="Takeaway Boxes"/>
    <s v="Large"/>
    <x v="185"/>
    <x v="0"/>
    <x v="213"/>
    <n v="5"/>
    <n v="215"/>
    <x v="208"/>
    <x v="0"/>
    <x v="2"/>
    <x v="2"/>
    <s v="Delivered"/>
    <n v="939"/>
    <n v="43"/>
    <x v="1"/>
    <x v="1"/>
    <x v="1"/>
    <x v="0"/>
    <x v="10"/>
    <m/>
  </r>
  <r>
    <d v="2022-09-22T00:00:00"/>
    <x v="4"/>
    <s v="Plates &amp; Bowls"/>
    <s v="500ml"/>
    <x v="86"/>
    <x v="4"/>
    <x v="214"/>
    <n v="1.5"/>
    <n v="391.5"/>
    <x v="128"/>
    <x v="0"/>
    <x v="3"/>
    <x v="2"/>
    <s v="Delivered"/>
    <n v="882"/>
    <n v="261"/>
    <x v="5"/>
    <x v="0"/>
    <x v="5"/>
    <x v="0"/>
    <x v="9"/>
    <m/>
  </r>
  <r>
    <d v="2022-09-23T00:00:00"/>
    <x v="4"/>
    <s v="Plates &amp; Bowls"/>
    <s v="500ml"/>
    <x v="186"/>
    <x v="4"/>
    <x v="215"/>
    <n v="1.5"/>
    <n v="247.5"/>
    <x v="209"/>
    <x v="2"/>
    <x v="0"/>
    <x v="2"/>
    <s v="Delayed"/>
    <n v="972"/>
    <n v="165"/>
    <x v="12"/>
    <x v="3"/>
    <x v="10"/>
    <x v="1"/>
    <x v="4"/>
    <m/>
  </r>
  <r>
    <d v="2022-09-24T00:00:00"/>
    <x v="3"/>
    <s v="Containers"/>
    <s v="1L"/>
    <x v="187"/>
    <x v="3"/>
    <x v="216"/>
    <n v="3"/>
    <n v="960"/>
    <x v="210"/>
    <x v="2"/>
    <x v="0"/>
    <x v="1"/>
    <s v="Delayed"/>
    <n v="971"/>
    <n v="320"/>
    <x v="15"/>
    <x v="10"/>
    <x v="14"/>
    <x v="1"/>
    <x v="5"/>
    <m/>
  </r>
  <r>
    <d v="2022-09-25T00:00:00"/>
    <x v="5"/>
    <s v="Cutlery"/>
    <s v="3pcs"/>
    <x v="188"/>
    <x v="5"/>
    <x v="217"/>
    <n v="4"/>
    <n v="96"/>
    <x v="211"/>
    <x v="0"/>
    <x v="2"/>
    <x v="0"/>
    <s v="Delayed"/>
    <n v="948"/>
    <n v="24"/>
    <x v="3"/>
    <x v="2"/>
    <x v="3"/>
    <x v="4"/>
    <x v="0"/>
    <m/>
  </r>
  <r>
    <d v="2022-09-26T00:00:00"/>
    <x v="2"/>
    <s v="Housekeeping Items"/>
    <s v="Standard"/>
    <x v="28"/>
    <x v="2"/>
    <x v="218"/>
    <n v="100"/>
    <n v="30900"/>
    <x v="212"/>
    <x v="1"/>
    <x v="3"/>
    <x v="2"/>
    <s v="Delayed"/>
    <n v="552"/>
    <n v="309"/>
    <x v="14"/>
    <x v="6"/>
    <x v="13"/>
    <x v="1"/>
    <x v="1"/>
    <m/>
  </r>
  <r>
    <d v="2022-09-27T00:00:00"/>
    <x v="1"/>
    <s v="Glass &amp; Bottles"/>
    <s v="750ml"/>
    <x v="189"/>
    <x v="1"/>
    <x v="219"/>
    <n v="12"/>
    <n v="480"/>
    <x v="213"/>
    <x v="1"/>
    <x v="3"/>
    <x v="1"/>
    <s v="Returned"/>
    <n v="750"/>
    <n v="40"/>
    <x v="13"/>
    <x v="2"/>
    <x v="12"/>
    <x v="3"/>
    <x v="11"/>
    <m/>
  </r>
  <r>
    <d v="2022-09-28T00:00:00"/>
    <x v="1"/>
    <s v="Glass &amp; Bottles"/>
    <s v="750ml"/>
    <x v="190"/>
    <x v="1"/>
    <x v="220"/>
    <n v="12"/>
    <n v="1440"/>
    <x v="214"/>
    <x v="0"/>
    <x v="3"/>
    <x v="1"/>
    <s v="Delivered"/>
    <n v="982"/>
    <n v="120"/>
    <x v="10"/>
    <x v="8"/>
    <x v="10"/>
    <x v="2"/>
    <x v="6"/>
    <m/>
  </r>
  <r>
    <d v="2022-09-29T00:00:00"/>
    <x v="0"/>
    <s v="Takeaway Boxes"/>
    <s v="Large"/>
    <x v="191"/>
    <x v="0"/>
    <x v="221"/>
    <n v="5"/>
    <n v="2125"/>
    <x v="215"/>
    <x v="2"/>
    <x v="2"/>
    <x v="1"/>
    <s v="Delivered"/>
    <n v="732"/>
    <n v="425"/>
    <x v="18"/>
    <x v="12"/>
    <x v="17"/>
    <x v="2"/>
    <x v="3"/>
    <m/>
  </r>
  <r>
    <d v="2022-09-30T00:00:00"/>
    <x v="4"/>
    <s v="Plates &amp; Bowls"/>
    <s v="500ml"/>
    <x v="192"/>
    <x v="4"/>
    <x v="222"/>
    <n v="1.5"/>
    <n v="157.5"/>
    <x v="216"/>
    <x v="0"/>
    <x v="3"/>
    <x v="2"/>
    <s v="Delayed"/>
    <n v="615"/>
    <n v="105"/>
    <x v="5"/>
    <x v="0"/>
    <x v="5"/>
    <x v="3"/>
    <x v="7"/>
    <m/>
  </r>
  <r>
    <d v="2022-10-01T00:00:00"/>
    <x v="3"/>
    <s v="Containers"/>
    <s v="1L"/>
    <x v="193"/>
    <x v="3"/>
    <x v="223"/>
    <n v="3"/>
    <n v="279"/>
    <x v="217"/>
    <x v="2"/>
    <x v="3"/>
    <x v="0"/>
    <s v="Returned"/>
    <n v="859"/>
    <n v="93"/>
    <x v="3"/>
    <x v="2"/>
    <x v="3"/>
    <x v="4"/>
    <x v="10"/>
    <m/>
  </r>
  <r>
    <d v="2022-10-02T00:00:00"/>
    <x v="1"/>
    <s v="Glass &amp; Bottles"/>
    <s v="750ml"/>
    <x v="194"/>
    <x v="1"/>
    <x v="224"/>
    <n v="12"/>
    <n v="4728"/>
    <x v="218"/>
    <x v="0"/>
    <x v="2"/>
    <x v="1"/>
    <s v="Returned"/>
    <n v="536"/>
    <n v="394"/>
    <x v="7"/>
    <x v="5"/>
    <x v="7"/>
    <x v="0"/>
    <x v="10"/>
    <m/>
  </r>
  <r>
    <d v="2022-10-03T00:00:00"/>
    <x v="5"/>
    <s v="Cutlery"/>
    <s v="3pcs"/>
    <x v="195"/>
    <x v="5"/>
    <x v="225"/>
    <n v="4"/>
    <n v="1644"/>
    <x v="219"/>
    <x v="2"/>
    <x v="1"/>
    <x v="2"/>
    <s v="Delayed"/>
    <n v="525"/>
    <n v="411"/>
    <x v="11"/>
    <x v="9"/>
    <x v="11"/>
    <x v="2"/>
    <x v="4"/>
    <m/>
  </r>
  <r>
    <d v="2022-10-04T00:00:00"/>
    <x v="3"/>
    <s v="Containers"/>
    <s v="1L"/>
    <x v="196"/>
    <x v="3"/>
    <x v="226"/>
    <n v="3"/>
    <n v="615"/>
    <x v="220"/>
    <x v="0"/>
    <x v="2"/>
    <x v="2"/>
    <s v="Delayed"/>
    <n v="644"/>
    <n v="205"/>
    <x v="4"/>
    <x v="3"/>
    <x v="4"/>
    <x v="3"/>
    <x v="0"/>
    <m/>
  </r>
  <r>
    <d v="2022-10-05T00:00:00"/>
    <x v="3"/>
    <s v="Containers"/>
    <s v="1L"/>
    <x v="197"/>
    <x v="3"/>
    <x v="227"/>
    <n v="3"/>
    <n v="486"/>
    <x v="221"/>
    <x v="2"/>
    <x v="2"/>
    <x v="0"/>
    <s v="Delivered"/>
    <n v="746"/>
    <n v="162"/>
    <x v="16"/>
    <x v="4"/>
    <x v="15"/>
    <x v="2"/>
    <x v="2"/>
    <m/>
  </r>
  <r>
    <d v="2022-10-06T00:00:00"/>
    <x v="4"/>
    <s v="Plates &amp; Bowls"/>
    <s v="500ml"/>
    <x v="87"/>
    <x v="4"/>
    <x v="91"/>
    <n v="1.5"/>
    <n v="742.5"/>
    <x v="88"/>
    <x v="2"/>
    <x v="0"/>
    <x v="2"/>
    <s v="Returned"/>
    <n v="585"/>
    <n v="495"/>
    <x v="9"/>
    <x v="7"/>
    <x v="9"/>
    <x v="4"/>
    <x v="1"/>
    <m/>
  </r>
  <r>
    <d v="2022-10-07T00:00:00"/>
    <x v="3"/>
    <s v="Containers"/>
    <s v="1L"/>
    <x v="198"/>
    <x v="3"/>
    <x v="228"/>
    <n v="3"/>
    <n v="363"/>
    <x v="222"/>
    <x v="0"/>
    <x v="0"/>
    <x v="2"/>
    <s v="Delayed"/>
    <n v="887"/>
    <n v="121"/>
    <x v="19"/>
    <x v="13"/>
    <x v="18"/>
    <x v="0"/>
    <x v="10"/>
    <m/>
  </r>
  <r>
    <d v="2022-10-08T00:00:00"/>
    <x v="1"/>
    <s v="Glass &amp; Bottles"/>
    <s v="750ml"/>
    <x v="199"/>
    <x v="1"/>
    <x v="229"/>
    <n v="12"/>
    <n v="4800"/>
    <x v="223"/>
    <x v="2"/>
    <x v="2"/>
    <x v="0"/>
    <s v="Returned"/>
    <n v="897"/>
    <n v="400"/>
    <x v="8"/>
    <x v="6"/>
    <x v="8"/>
    <x v="0"/>
    <x v="0"/>
    <m/>
  </r>
  <r>
    <d v="2022-10-09T00:00:00"/>
    <x v="2"/>
    <s v="Housekeeping Items"/>
    <s v="Standard"/>
    <x v="200"/>
    <x v="2"/>
    <x v="230"/>
    <n v="100"/>
    <n v="31900"/>
    <x v="224"/>
    <x v="1"/>
    <x v="2"/>
    <x v="0"/>
    <s v="Delayed"/>
    <n v="923"/>
    <n v="319"/>
    <x v="0"/>
    <x v="0"/>
    <x v="0"/>
    <x v="4"/>
    <x v="10"/>
    <m/>
  </r>
  <r>
    <d v="2022-10-10T00:00:00"/>
    <x v="0"/>
    <s v="Takeaway Boxes"/>
    <s v="Large"/>
    <x v="201"/>
    <x v="0"/>
    <x v="231"/>
    <n v="5"/>
    <n v="930"/>
    <x v="225"/>
    <x v="1"/>
    <x v="1"/>
    <x v="2"/>
    <s v="Delivered"/>
    <n v="704"/>
    <n v="186"/>
    <x v="1"/>
    <x v="1"/>
    <x v="1"/>
    <x v="3"/>
    <x v="3"/>
    <m/>
  </r>
  <r>
    <d v="2022-10-11T00:00:00"/>
    <x v="1"/>
    <s v="Glass &amp; Bottles"/>
    <s v="750ml"/>
    <x v="202"/>
    <x v="1"/>
    <x v="232"/>
    <n v="12"/>
    <n v="5340"/>
    <x v="226"/>
    <x v="2"/>
    <x v="2"/>
    <x v="2"/>
    <s v="Delayed"/>
    <n v="734"/>
    <n v="445"/>
    <x v="4"/>
    <x v="3"/>
    <x v="4"/>
    <x v="4"/>
    <x v="9"/>
    <m/>
  </r>
  <r>
    <d v="2022-10-12T00:00:00"/>
    <x v="2"/>
    <s v="Housekeeping Items"/>
    <s v="Standard"/>
    <x v="203"/>
    <x v="2"/>
    <x v="233"/>
    <n v="100"/>
    <n v="33700"/>
    <x v="227"/>
    <x v="1"/>
    <x v="3"/>
    <x v="0"/>
    <s v="Returned"/>
    <n v="907"/>
    <n v="337"/>
    <x v="15"/>
    <x v="10"/>
    <x v="14"/>
    <x v="1"/>
    <x v="11"/>
    <m/>
  </r>
  <r>
    <d v="2022-10-13T00:00:00"/>
    <x v="1"/>
    <s v="Glass &amp; Bottles"/>
    <s v="750ml"/>
    <x v="204"/>
    <x v="1"/>
    <x v="234"/>
    <n v="12"/>
    <n v="3276"/>
    <x v="228"/>
    <x v="1"/>
    <x v="0"/>
    <x v="2"/>
    <s v="Delayed"/>
    <n v="567"/>
    <n v="273"/>
    <x v="11"/>
    <x v="9"/>
    <x v="11"/>
    <x v="0"/>
    <x v="10"/>
    <m/>
  </r>
  <r>
    <d v="2022-10-14T00:00:00"/>
    <x v="1"/>
    <s v="Glass &amp; Bottles"/>
    <s v="750ml"/>
    <x v="72"/>
    <x v="1"/>
    <x v="75"/>
    <n v="12"/>
    <n v="2208"/>
    <x v="73"/>
    <x v="0"/>
    <x v="2"/>
    <x v="1"/>
    <s v="Delayed"/>
    <n v="507"/>
    <n v="184"/>
    <x v="11"/>
    <x v="9"/>
    <x v="11"/>
    <x v="2"/>
    <x v="9"/>
    <m/>
  </r>
  <r>
    <d v="2022-10-15T00:00:00"/>
    <x v="4"/>
    <s v="Plates &amp; Bowls"/>
    <s v="500ml"/>
    <x v="205"/>
    <x v="4"/>
    <x v="235"/>
    <n v="1.5"/>
    <n v="381"/>
    <x v="229"/>
    <x v="1"/>
    <x v="0"/>
    <x v="2"/>
    <s v="Delayed"/>
    <n v="557"/>
    <n v="254"/>
    <x v="11"/>
    <x v="9"/>
    <x v="11"/>
    <x v="1"/>
    <x v="7"/>
    <m/>
  </r>
  <r>
    <d v="2022-10-16T00:00:00"/>
    <x v="5"/>
    <s v="Cutlery"/>
    <s v="3pcs"/>
    <x v="112"/>
    <x v="5"/>
    <x v="117"/>
    <n v="4"/>
    <n v="144"/>
    <x v="114"/>
    <x v="2"/>
    <x v="1"/>
    <x v="0"/>
    <s v="Returned"/>
    <n v="754"/>
    <n v="36"/>
    <x v="6"/>
    <x v="4"/>
    <x v="6"/>
    <x v="0"/>
    <x v="10"/>
    <m/>
  </r>
  <r>
    <d v="2022-10-17T00:00:00"/>
    <x v="2"/>
    <s v="Housekeeping Items"/>
    <s v="Standard"/>
    <x v="206"/>
    <x v="2"/>
    <x v="236"/>
    <n v="100"/>
    <n v="24200"/>
    <x v="230"/>
    <x v="0"/>
    <x v="0"/>
    <x v="1"/>
    <s v="Delayed"/>
    <n v="684"/>
    <n v="242"/>
    <x v="10"/>
    <x v="8"/>
    <x v="10"/>
    <x v="0"/>
    <x v="0"/>
    <m/>
  </r>
  <r>
    <d v="2022-10-18T00:00:00"/>
    <x v="1"/>
    <s v="Glass &amp; Bottles"/>
    <s v="750ml"/>
    <x v="18"/>
    <x v="1"/>
    <x v="237"/>
    <n v="12"/>
    <n v="4320"/>
    <x v="231"/>
    <x v="2"/>
    <x v="1"/>
    <x v="1"/>
    <s v="Returned"/>
    <n v="666"/>
    <n v="360"/>
    <x v="6"/>
    <x v="4"/>
    <x v="6"/>
    <x v="2"/>
    <x v="11"/>
    <m/>
  </r>
  <r>
    <d v="2022-10-19T00:00:00"/>
    <x v="1"/>
    <s v="Glass &amp; Bottles"/>
    <s v="750ml"/>
    <x v="207"/>
    <x v="1"/>
    <x v="238"/>
    <n v="12"/>
    <n v="5448"/>
    <x v="232"/>
    <x v="1"/>
    <x v="3"/>
    <x v="2"/>
    <s v="Delayed"/>
    <n v="963"/>
    <n v="454"/>
    <x v="6"/>
    <x v="4"/>
    <x v="6"/>
    <x v="4"/>
    <x v="1"/>
    <m/>
  </r>
  <r>
    <d v="2022-10-20T00:00:00"/>
    <x v="1"/>
    <s v="Glass &amp; Bottles"/>
    <s v="750ml"/>
    <x v="175"/>
    <x v="1"/>
    <x v="239"/>
    <n v="12"/>
    <n v="5544"/>
    <x v="233"/>
    <x v="1"/>
    <x v="2"/>
    <x v="2"/>
    <s v="Delivered"/>
    <n v="549"/>
    <n v="462"/>
    <x v="9"/>
    <x v="7"/>
    <x v="9"/>
    <x v="2"/>
    <x v="3"/>
    <m/>
  </r>
  <r>
    <d v="2022-10-21T00:00:00"/>
    <x v="4"/>
    <s v="Plates &amp; Bowls"/>
    <s v="500ml"/>
    <x v="91"/>
    <x v="4"/>
    <x v="240"/>
    <n v="1.5"/>
    <n v="333"/>
    <x v="234"/>
    <x v="1"/>
    <x v="0"/>
    <x v="0"/>
    <s v="Returned"/>
    <n v="759"/>
    <n v="222"/>
    <x v="18"/>
    <x v="12"/>
    <x v="17"/>
    <x v="2"/>
    <x v="10"/>
    <m/>
  </r>
  <r>
    <d v="2022-10-22T00:00:00"/>
    <x v="5"/>
    <s v="Cutlery"/>
    <s v="3pcs"/>
    <x v="21"/>
    <x v="5"/>
    <x v="241"/>
    <n v="4"/>
    <n v="916"/>
    <x v="22"/>
    <x v="2"/>
    <x v="1"/>
    <x v="1"/>
    <s v="Returned"/>
    <n v="882"/>
    <n v="229"/>
    <x v="3"/>
    <x v="2"/>
    <x v="3"/>
    <x v="3"/>
    <x v="9"/>
    <m/>
  </r>
  <r>
    <d v="2022-10-23T00:00:00"/>
    <x v="5"/>
    <s v="Cutlery"/>
    <s v="3pcs"/>
    <x v="208"/>
    <x v="5"/>
    <x v="242"/>
    <n v="4"/>
    <n v="792"/>
    <x v="235"/>
    <x v="2"/>
    <x v="0"/>
    <x v="1"/>
    <s v="Returned"/>
    <n v="917"/>
    <n v="198"/>
    <x v="17"/>
    <x v="11"/>
    <x v="16"/>
    <x v="2"/>
    <x v="1"/>
    <m/>
  </r>
  <r>
    <d v="2022-10-24T00:00:00"/>
    <x v="0"/>
    <s v="Takeaway Boxes"/>
    <s v="Large"/>
    <x v="66"/>
    <x v="0"/>
    <x v="243"/>
    <n v="5"/>
    <n v="1920"/>
    <x v="236"/>
    <x v="2"/>
    <x v="0"/>
    <x v="2"/>
    <s v="Returned"/>
    <n v="911"/>
    <n v="384"/>
    <x v="18"/>
    <x v="12"/>
    <x v="17"/>
    <x v="2"/>
    <x v="10"/>
    <m/>
  </r>
  <r>
    <d v="2022-10-25T00:00:00"/>
    <x v="4"/>
    <s v="Plates &amp; Bowls"/>
    <s v="500ml"/>
    <x v="209"/>
    <x v="4"/>
    <x v="244"/>
    <n v="1.5"/>
    <n v="610.5"/>
    <x v="237"/>
    <x v="2"/>
    <x v="3"/>
    <x v="2"/>
    <s v="Delayed"/>
    <n v="875"/>
    <n v="407"/>
    <x v="12"/>
    <x v="3"/>
    <x v="10"/>
    <x v="1"/>
    <x v="0"/>
    <m/>
  </r>
  <r>
    <d v="2022-10-26T00:00:00"/>
    <x v="4"/>
    <s v="Plates &amp; Bowls"/>
    <s v="500ml"/>
    <x v="188"/>
    <x v="4"/>
    <x v="245"/>
    <n v="1.5"/>
    <n v="36"/>
    <x v="238"/>
    <x v="1"/>
    <x v="3"/>
    <x v="0"/>
    <s v="Returned"/>
    <n v="587"/>
    <n v="24"/>
    <x v="19"/>
    <x v="13"/>
    <x v="18"/>
    <x v="0"/>
    <x v="10"/>
    <m/>
  </r>
  <r>
    <d v="2022-10-27T00:00:00"/>
    <x v="1"/>
    <s v="Glass &amp; Bottles"/>
    <s v="750ml"/>
    <x v="109"/>
    <x v="1"/>
    <x v="114"/>
    <n v="12"/>
    <n v="4272"/>
    <x v="111"/>
    <x v="2"/>
    <x v="2"/>
    <x v="1"/>
    <s v="Returned"/>
    <n v="723"/>
    <n v="356"/>
    <x v="18"/>
    <x v="12"/>
    <x v="17"/>
    <x v="1"/>
    <x v="3"/>
    <m/>
  </r>
  <r>
    <d v="2022-10-28T00:00:00"/>
    <x v="2"/>
    <s v="Housekeeping Items"/>
    <s v="Standard"/>
    <x v="186"/>
    <x v="2"/>
    <x v="246"/>
    <n v="100"/>
    <n v="16500"/>
    <x v="239"/>
    <x v="1"/>
    <x v="3"/>
    <x v="1"/>
    <s v="Delivered"/>
    <n v="580"/>
    <n v="165"/>
    <x v="12"/>
    <x v="3"/>
    <x v="10"/>
    <x v="0"/>
    <x v="3"/>
    <m/>
  </r>
  <r>
    <d v="2022-10-29T00:00:00"/>
    <x v="4"/>
    <s v="Plates &amp; Bowls"/>
    <s v="500ml"/>
    <x v="210"/>
    <x v="4"/>
    <x v="247"/>
    <n v="1.5"/>
    <n v="555"/>
    <x v="240"/>
    <x v="2"/>
    <x v="2"/>
    <x v="1"/>
    <s v="Delayed"/>
    <n v="946"/>
    <n v="370"/>
    <x v="1"/>
    <x v="1"/>
    <x v="1"/>
    <x v="1"/>
    <x v="3"/>
    <m/>
  </r>
  <r>
    <d v="2022-10-30T00:00:00"/>
    <x v="2"/>
    <s v="Housekeeping Items"/>
    <s v="Standard"/>
    <x v="211"/>
    <x v="2"/>
    <x v="248"/>
    <n v="100"/>
    <n v="8500"/>
    <x v="241"/>
    <x v="1"/>
    <x v="2"/>
    <x v="2"/>
    <s v="Delivered"/>
    <n v="881"/>
    <n v="85"/>
    <x v="4"/>
    <x v="3"/>
    <x v="4"/>
    <x v="3"/>
    <x v="11"/>
    <m/>
  </r>
  <r>
    <d v="2022-10-31T00:00:00"/>
    <x v="2"/>
    <s v="Housekeeping Items"/>
    <s v="Standard"/>
    <x v="92"/>
    <x v="2"/>
    <x v="249"/>
    <n v="100"/>
    <n v="43200"/>
    <x v="242"/>
    <x v="0"/>
    <x v="1"/>
    <x v="2"/>
    <s v="Delivered"/>
    <n v="788"/>
    <n v="432"/>
    <x v="1"/>
    <x v="1"/>
    <x v="1"/>
    <x v="3"/>
    <x v="4"/>
    <m/>
  </r>
  <r>
    <d v="2022-11-01T00:00:00"/>
    <x v="2"/>
    <s v="Housekeeping Items"/>
    <s v="Standard"/>
    <x v="212"/>
    <x v="2"/>
    <x v="250"/>
    <n v="100"/>
    <n v="38100"/>
    <x v="243"/>
    <x v="2"/>
    <x v="0"/>
    <x v="2"/>
    <s v="Delivered"/>
    <n v="979"/>
    <n v="381"/>
    <x v="9"/>
    <x v="7"/>
    <x v="9"/>
    <x v="1"/>
    <x v="10"/>
    <m/>
  </r>
  <r>
    <d v="2022-11-02T00:00:00"/>
    <x v="3"/>
    <s v="Containers"/>
    <s v="1L"/>
    <x v="130"/>
    <x v="3"/>
    <x v="137"/>
    <n v="3"/>
    <n v="993"/>
    <x v="133"/>
    <x v="2"/>
    <x v="2"/>
    <x v="1"/>
    <s v="Delivered"/>
    <n v="692"/>
    <n v="331"/>
    <x v="5"/>
    <x v="0"/>
    <x v="5"/>
    <x v="1"/>
    <x v="1"/>
    <m/>
  </r>
  <r>
    <d v="2022-11-03T00:00:00"/>
    <x v="5"/>
    <s v="Cutlery"/>
    <s v="3pcs"/>
    <x v="213"/>
    <x v="5"/>
    <x v="251"/>
    <n v="4"/>
    <n v="572"/>
    <x v="244"/>
    <x v="2"/>
    <x v="1"/>
    <x v="1"/>
    <s v="Returned"/>
    <n v="959"/>
    <n v="143"/>
    <x v="1"/>
    <x v="1"/>
    <x v="1"/>
    <x v="0"/>
    <x v="11"/>
    <m/>
  </r>
  <r>
    <d v="2022-11-04T00:00:00"/>
    <x v="1"/>
    <s v="Glass &amp; Bottles"/>
    <s v="750ml"/>
    <x v="214"/>
    <x v="1"/>
    <x v="252"/>
    <n v="12"/>
    <n v="492"/>
    <x v="245"/>
    <x v="2"/>
    <x v="2"/>
    <x v="2"/>
    <s v="Returned"/>
    <n v="723"/>
    <n v="41"/>
    <x v="14"/>
    <x v="6"/>
    <x v="13"/>
    <x v="3"/>
    <x v="2"/>
    <m/>
  </r>
  <r>
    <d v="2022-11-05T00:00:00"/>
    <x v="2"/>
    <s v="Housekeeping Items"/>
    <s v="Standard"/>
    <x v="109"/>
    <x v="2"/>
    <x v="253"/>
    <n v="100"/>
    <n v="35600"/>
    <x v="246"/>
    <x v="0"/>
    <x v="3"/>
    <x v="1"/>
    <s v="Delivered"/>
    <n v="690"/>
    <n v="356"/>
    <x v="2"/>
    <x v="2"/>
    <x v="2"/>
    <x v="3"/>
    <x v="0"/>
    <m/>
  </r>
  <r>
    <d v="2022-11-06T00:00:00"/>
    <x v="3"/>
    <s v="Containers"/>
    <s v="1L"/>
    <x v="215"/>
    <x v="3"/>
    <x v="254"/>
    <n v="3"/>
    <n v="1470"/>
    <x v="247"/>
    <x v="0"/>
    <x v="0"/>
    <x v="2"/>
    <s v="Returned"/>
    <n v="595"/>
    <n v="490"/>
    <x v="14"/>
    <x v="6"/>
    <x v="13"/>
    <x v="0"/>
    <x v="10"/>
    <m/>
  </r>
  <r>
    <d v="2022-11-07T00:00:00"/>
    <x v="3"/>
    <s v="Containers"/>
    <s v="1L"/>
    <x v="216"/>
    <x v="3"/>
    <x v="255"/>
    <n v="3"/>
    <n v="519"/>
    <x v="248"/>
    <x v="2"/>
    <x v="0"/>
    <x v="0"/>
    <s v="Returned"/>
    <n v="760"/>
    <n v="173"/>
    <x v="19"/>
    <x v="13"/>
    <x v="18"/>
    <x v="0"/>
    <x v="6"/>
    <m/>
  </r>
  <r>
    <d v="2022-11-08T00:00:00"/>
    <x v="4"/>
    <s v="Plates &amp; Bowls"/>
    <s v="500ml"/>
    <x v="217"/>
    <x v="4"/>
    <x v="256"/>
    <n v="1.5"/>
    <n v="661.5"/>
    <x v="249"/>
    <x v="2"/>
    <x v="3"/>
    <x v="0"/>
    <s v="Delivered"/>
    <n v="509"/>
    <n v="441"/>
    <x v="17"/>
    <x v="11"/>
    <x v="16"/>
    <x v="0"/>
    <x v="9"/>
    <m/>
  </r>
  <r>
    <d v="2022-11-09T00:00:00"/>
    <x v="5"/>
    <s v="Cutlery"/>
    <s v="3pcs"/>
    <x v="132"/>
    <x v="5"/>
    <x v="140"/>
    <n v="4"/>
    <n v="1752"/>
    <x v="136"/>
    <x v="1"/>
    <x v="0"/>
    <x v="2"/>
    <s v="Returned"/>
    <n v="869"/>
    <n v="438"/>
    <x v="19"/>
    <x v="13"/>
    <x v="18"/>
    <x v="2"/>
    <x v="5"/>
    <m/>
  </r>
  <r>
    <d v="2022-11-10T00:00:00"/>
    <x v="4"/>
    <s v="Plates &amp; Bowls"/>
    <s v="500ml"/>
    <x v="130"/>
    <x v="4"/>
    <x v="257"/>
    <n v="1.5"/>
    <n v="496.5"/>
    <x v="250"/>
    <x v="1"/>
    <x v="1"/>
    <x v="0"/>
    <s v="Delivered"/>
    <n v="934"/>
    <n v="331"/>
    <x v="10"/>
    <x v="8"/>
    <x v="10"/>
    <x v="4"/>
    <x v="2"/>
    <m/>
  </r>
  <r>
    <d v="2022-11-11T00:00:00"/>
    <x v="2"/>
    <s v="Housekeeping Items"/>
    <s v="Standard"/>
    <x v="218"/>
    <x v="2"/>
    <x v="258"/>
    <n v="100"/>
    <n v="27600"/>
    <x v="251"/>
    <x v="2"/>
    <x v="1"/>
    <x v="0"/>
    <s v="Delayed"/>
    <n v="722"/>
    <n v="276"/>
    <x v="7"/>
    <x v="5"/>
    <x v="7"/>
    <x v="1"/>
    <x v="5"/>
    <m/>
  </r>
  <r>
    <d v="2022-11-12T00:00:00"/>
    <x v="4"/>
    <s v="Plates &amp; Bowls"/>
    <s v="500ml"/>
    <x v="219"/>
    <x v="4"/>
    <x v="259"/>
    <n v="1.5"/>
    <n v="334.5"/>
    <x v="252"/>
    <x v="2"/>
    <x v="3"/>
    <x v="0"/>
    <s v="Returned"/>
    <n v="531"/>
    <n v="223"/>
    <x v="12"/>
    <x v="3"/>
    <x v="10"/>
    <x v="4"/>
    <x v="1"/>
    <m/>
  </r>
  <r>
    <d v="2022-11-13T00:00:00"/>
    <x v="4"/>
    <s v="Plates &amp; Bowls"/>
    <s v="500ml"/>
    <x v="220"/>
    <x v="4"/>
    <x v="260"/>
    <n v="1.5"/>
    <n v="46.5"/>
    <x v="253"/>
    <x v="0"/>
    <x v="0"/>
    <x v="0"/>
    <s v="Delivered"/>
    <n v="655"/>
    <n v="31"/>
    <x v="0"/>
    <x v="0"/>
    <x v="0"/>
    <x v="4"/>
    <x v="0"/>
    <m/>
  </r>
  <r>
    <d v="2022-11-14T00:00:00"/>
    <x v="5"/>
    <s v="Cutlery"/>
    <s v="3pcs"/>
    <x v="85"/>
    <x v="5"/>
    <x v="261"/>
    <n v="4"/>
    <n v="776"/>
    <x v="86"/>
    <x v="2"/>
    <x v="3"/>
    <x v="0"/>
    <s v="Delayed"/>
    <n v="813"/>
    <n v="194"/>
    <x v="12"/>
    <x v="3"/>
    <x v="10"/>
    <x v="3"/>
    <x v="3"/>
    <m/>
  </r>
  <r>
    <d v="2022-11-15T00:00:00"/>
    <x v="2"/>
    <s v="Housekeeping Items"/>
    <s v="Standard"/>
    <x v="221"/>
    <x v="2"/>
    <x v="262"/>
    <n v="100"/>
    <n v="8000"/>
    <x v="254"/>
    <x v="0"/>
    <x v="2"/>
    <x v="0"/>
    <s v="Returned"/>
    <n v="560"/>
    <n v="80"/>
    <x v="2"/>
    <x v="2"/>
    <x v="2"/>
    <x v="3"/>
    <x v="3"/>
    <m/>
  </r>
  <r>
    <d v="2022-11-16T00:00:00"/>
    <x v="3"/>
    <s v="Containers"/>
    <s v="1L"/>
    <x v="222"/>
    <x v="3"/>
    <x v="263"/>
    <n v="3"/>
    <n v="546"/>
    <x v="255"/>
    <x v="1"/>
    <x v="1"/>
    <x v="0"/>
    <s v="Delayed"/>
    <n v="814"/>
    <n v="182"/>
    <x v="3"/>
    <x v="2"/>
    <x v="3"/>
    <x v="2"/>
    <x v="8"/>
    <m/>
  </r>
  <r>
    <d v="2022-11-17T00:00:00"/>
    <x v="4"/>
    <s v="Plates &amp; Bowls"/>
    <s v="500ml"/>
    <x v="132"/>
    <x v="4"/>
    <x v="264"/>
    <n v="1.5"/>
    <n v="657"/>
    <x v="256"/>
    <x v="1"/>
    <x v="0"/>
    <x v="0"/>
    <s v="Delayed"/>
    <n v="573"/>
    <n v="438"/>
    <x v="8"/>
    <x v="6"/>
    <x v="8"/>
    <x v="4"/>
    <x v="1"/>
    <m/>
  </r>
  <r>
    <d v="2022-11-18T00:00:00"/>
    <x v="0"/>
    <s v="Takeaway Boxes"/>
    <s v="Large"/>
    <x v="223"/>
    <x v="0"/>
    <x v="265"/>
    <n v="5"/>
    <n v="2015"/>
    <x v="257"/>
    <x v="1"/>
    <x v="0"/>
    <x v="1"/>
    <s v="Returned"/>
    <n v="624"/>
    <n v="403"/>
    <x v="14"/>
    <x v="6"/>
    <x v="13"/>
    <x v="4"/>
    <x v="3"/>
    <m/>
  </r>
  <r>
    <d v="2022-11-19T00:00:00"/>
    <x v="1"/>
    <s v="Glass &amp; Bottles"/>
    <s v="750ml"/>
    <x v="224"/>
    <x v="1"/>
    <x v="266"/>
    <n v="12"/>
    <n v="4764"/>
    <x v="258"/>
    <x v="2"/>
    <x v="2"/>
    <x v="2"/>
    <s v="Returned"/>
    <n v="646"/>
    <n v="397"/>
    <x v="6"/>
    <x v="4"/>
    <x v="6"/>
    <x v="3"/>
    <x v="8"/>
    <m/>
  </r>
  <r>
    <d v="2022-11-20T00:00:00"/>
    <x v="0"/>
    <s v="Takeaway Boxes"/>
    <s v="Large"/>
    <x v="81"/>
    <x v="0"/>
    <x v="267"/>
    <n v="5"/>
    <n v="1355"/>
    <x v="259"/>
    <x v="2"/>
    <x v="0"/>
    <x v="2"/>
    <s v="Delivered"/>
    <n v="796"/>
    <n v="271"/>
    <x v="0"/>
    <x v="0"/>
    <x v="0"/>
    <x v="0"/>
    <x v="2"/>
    <m/>
  </r>
  <r>
    <d v="2022-11-21T00:00:00"/>
    <x v="2"/>
    <s v="Housekeeping Items"/>
    <s v="Standard"/>
    <x v="225"/>
    <x v="2"/>
    <x v="268"/>
    <n v="100"/>
    <n v="45800"/>
    <x v="260"/>
    <x v="0"/>
    <x v="2"/>
    <x v="0"/>
    <s v="Delayed"/>
    <n v="544"/>
    <n v="458"/>
    <x v="8"/>
    <x v="6"/>
    <x v="8"/>
    <x v="4"/>
    <x v="6"/>
    <m/>
  </r>
  <r>
    <d v="2022-11-22T00:00:00"/>
    <x v="3"/>
    <s v="Containers"/>
    <s v="1L"/>
    <x v="226"/>
    <x v="3"/>
    <x v="240"/>
    <n v="3"/>
    <n v="333"/>
    <x v="234"/>
    <x v="2"/>
    <x v="0"/>
    <x v="2"/>
    <s v="Delivered"/>
    <n v="987"/>
    <n v="111"/>
    <x v="9"/>
    <x v="7"/>
    <x v="9"/>
    <x v="1"/>
    <x v="7"/>
    <m/>
  </r>
  <r>
    <d v="2022-11-23T00:00:00"/>
    <x v="3"/>
    <s v="Containers"/>
    <s v="1L"/>
    <x v="227"/>
    <x v="3"/>
    <x v="269"/>
    <n v="3"/>
    <n v="1188"/>
    <x v="261"/>
    <x v="2"/>
    <x v="3"/>
    <x v="2"/>
    <s v="Returned"/>
    <n v="544"/>
    <n v="396"/>
    <x v="9"/>
    <x v="7"/>
    <x v="9"/>
    <x v="2"/>
    <x v="5"/>
    <m/>
  </r>
  <r>
    <d v="2022-11-24T00:00:00"/>
    <x v="0"/>
    <s v="Takeaway Boxes"/>
    <s v="Large"/>
    <x v="228"/>
    <x v="0"/>
    <x v="270"/>
    <n v="5"/>
    <n v="2480"/>
    <x v="262"/>
    <x v="2"/>
    <x v="3"/>
    <x v="2"/>
    <s v="Delivered"/>
    <n v="933"/>
    <n v="496"/>
    <x v="3"/>
    <x v="2"/>
    <x v="3"/>
    <x v="2"/>
    <x v="0"/>
    <m/>
  </r>
  <r>
    <d v="2022-11-25T00:00:00"/>
    <x v="5"/>
    <s v="Cutlery"/>
    <s v="3pcs"/>
    <x v="84"/>
    <x v="5"/>
    <x v="271"/>
    <n v="4"/>
    <n v="240"/>
    <x v="190"/>
    <x v="2"/>
    <x v="1"/>
    <x v="1"/>
    <s v="Delivered"/>
    <n v="544"/>
    <n v="60"/>
    <x v="16"/>
    <x v="4"/>
    <x v="15"/>
    <x v="2"/>
    <x v="10"/>
    <m/>
  </r>
  <r>
    <d v="2022-11-26T00:00:00"/>
    <x v="2"/>
    <s v="Housekeeping Items"/>
    <s v="Standard"/>
    <x v="229"/>
    <x v="2"/>
    <x v="272"/>
    <n v="100"/>
    <n v="13600"/>
    <x v="263"/>
    <x v="2"/>
    <x v="0"/>
    <x v="2"/>
    <s v="Returned"/>
    <n v="899"/>
    <n v="136"/>
    <x v="5"/>
    <x v="0"/>
    <x v="5"/>
    <x v="1"/>
    <x v="1"/>
    <m/>
  </r>
  <r>
    <d v="2022-11-27T00:00:00"/>
    <x v="3"/>
    <s v="Containers"/>
    <s v="1L"/>
    <x v="153"/>
    <x v="3"/>
    <x v="273"/>
    <n v="3"/>
    <n v="972"/>
    <x v="264"/>
    <x v="2"/>
    <x v="3"/>
    <x v="0"/>
    <s v="Delivered"/>
    <n v="692"/>
    <n v="324"/>
    <x v="10"/>
    <x v="8"/>
    <x v="10"/>
    <x v="3"/>
    <x v="1"/>
    <m/>
  </r>
  <r>
    <d v="2022-11-28T00:00:00"/>
    <x v="5"/>
    <s v="Cutlery"/>
    <s v="3pcs"/>
    <x v="214"/>
    <x v="5"/>
    <x v="274"/>
    <n v="4"/>
    <n v="164"/>
    <x v="265"/>
    <x v="1"/>
    <x v="3"/>
    <x v="1"/>
    <s v="Delayed"/>
    <n v="568"/>
    <n v="41"/>
    <x v="14"/>
    <x v="6"/>
    <x v="13"/>
    <x v="4"/>
    <x v="6"/>
    <m/>
  </r>
  <r>
    <d v="2022-11-29T00:00:00"/>
    <x v="4"/>
    <s v="Plates &amp; Bowls"/>
    <s v="500ml"/>
    <x v="230"/>
    <x v="4"/>
    <x v="275"/>
    <n v="1.5"/>
    <n v="81"/>
    <x v="266"/>
    <x v="0"/>
    <x v="2"/>
    <x v="2"/>
    <s v="Delivered"/>
    <n v="527"/>
    <n v="54"/>
    <x v="7"/>
    <x v="5"/>
    <x v="7"/>
    <x v="4"/>
    <x v="0"/>
    <m/>
  </r>
  <r>
    <d v="2022-11-30T00:00:00"/>
    <x v="2"/>
    <s v="Housekeeping Items"/>
    <s v="Standard"/>
    <x v="227"/>
    <x v="2"/>
    <x v="276"/>
    <n v="100"/>
    <n v="39600"/>
    <x v="267"/>
    <x v="1"/>
    <x v="0"/>
    <x v="2"/>
    <s v="Delayed"/>
    <n v="797"/>
    <n v="396"/>
    <x v="6"/>
    <x v="4"/>
    <x v="6"/>
    <x v="3"/>
    <x v="4"/>
    <m/>
  </r>
  <r>
    <d v="2022-12-01T00:00:00"/>
    <x v="3"/>
    <s v="Containers"/>
    <s v="1L"/>
    <x v="130"/>
    <x v="3"/>
    <x v="137"/>
    <n v="3"/>
    <n v="993"/>
    <x v="133"/>
    <x v="0"/>
    <x v="3"/>
    <x v="0"/>
    <s v="Delivered"/>
    <n v="915"/>
    <n v="331"/>
    <x v="15"/>
    <x v="10"/>
    <x v="14"/>
    <x v="0"/>
    <x v="6"/>
    <m/>
  </r>
  <r>
    <d v="2022-12-02T00:00:00"/>
    <x v="5"/>
    <s v="Cutlery"/>
    <s v="3pcs"/>
    <x v="71"/>
    <x v="5"/>
    <x v="277"/>
    <n v="4"/>
    <n v="252"/>
    <x v="268"/>
    <x v="1"/>
    <x v="2"/>
    <x v="2"/>
    <s v="Returned"/>
    <n v="860"/>
    <n v="63"/>
    <x v="4"/>
    <x v="3"/>
    <x v="4"/>
    <x v="1"/>
    <x v="6"/>
    <m/>
  </r>
  <r>
    <d v="2022-12-03T00:00:00"/>
    <x v="4"/>
    <s v="Plates &amp; Bowls"/>
    <s v="500ml"/>
    <x v="71"/>
    <x v="4"/>
    <x v="278"/>
    <n v="1.5"/>
    <n v="94.5"/>
    <x v="269"/>
    <x v="0"/>
    <x v="2"/>
    <x v="1"/>
    <s v="Delivered"/>
    <n v="647"/>
    <n v="63"/>
    <x v="16"/>
    <x v="4"/>
    <x v="15"/>
    <x v="2"/>
    <x v="8"/>
    <m/>
  </r>
  <r>
    <d v="2022-12-04T00:00:00"/>
    <x v="0"/>
    <s v="Takeaway Boxes"/>
    <s v="Large"/>
    <x v="93"/>
    <x v="0"/>
    <x v="145"/>
    <n v="5"/>
    <n v="2145"/>
    <x v="141"/>
    <x v="2"/>
    <x v="3"/>
    <x v="2"/>
    <s v="Returned"/>
    <n v="835"/>
    <n v="429"/>
    <x v="3"/>
    <x v="2"/>
    <x v="3"/>
    <x v="4"/>
    <x v="10"/>
    <m/>
  </r>
  <r>
    <d v="2022-12-05T00:00:00"/>
    <x v="4"/>
    <s v="Plates &amp; Bowls"/>
    <s v="500ml"/>
    <x v="206"/>
    <x v="4"/>
    <x v="228"/>
    <n v="1.5"/>
    <n v="363"/>
    <x v="222"/>
    <x v="1"/>
    <x v="0"/>
    <x v="2"/>
    <s v="Delivered"/>
    <n v="817"/>
    <n v="242"/>
    <x v="2"/>
    <x v="2"/>
    <x v="2"/>
    <x v="4"/>
    <x v="2"/>
    <m/>
  </r>
  <r>
    <d v="2022-12-06T00:00:00"/>
    <x v="2"/>
    <s v="Housekeeping Items"/>
    <s v="Standard"/>
    <x v="231"/>
    <x v="2"/>
    <x v="279"/>
    <n v="100"/>
    <n v="17700"/>
    <x v="270"/>
    <x v="2"/>
    <x v="1"/>
    <x v="1"/>
    <s v="Delivered"/>
    <n v="735"/>
    <n v="177"/>
    <x v="2"/>
    <x v="2"/>
    <x v="2"/>
    <x v="0"/>
    <x v="4"/>
    <m/>
  </r>
  <r>
    <d v="2022-12-07T00:00:00"/>
    <x v="0"/>
    <s v="Takeaway Boxes"/>
    <s v="Large"/>
    <x v="127"/>
    <x v="0"/>
    <x v="133"/>
    <n v="5"/>
    <n v="435"/>
    <x v="128"/>
    <x v="0"/>
    <x v="0"/>
    <x v="2"/>
    <s v="Delivered"/>
    <n v="679"/>
    <n v="87"/>
    <x v="17"/>
    <x v="11"/>
    <x v="16"/>
    <x v="2"/>
    <x v="7"/>
    <m/>
  </r>
  <r>
    <d v="2022-12-08T00:00:00"/>
    <x v="0"/>
    <s v="Takeaway Boxes"/>
    <s v="Large"/>
    <x v="232"/>
    <x v="0"/>
    <x v="280"/>
    <n v="5"/>
    <n v="2195"/>
    <x v="271"/>
    <x v="2"/>
    <x v="3"/>
    <x v="1"/>
    <s v="Delayed"/>
    <n v="973"/>
    <n v="439"/>
    <x v="9"/>
    <x v="7"/>
    <x v="9"/>
    <x v="4"/>
    <x v="5"/>
    <m/>
  </r>
  <r>
    <d v="2022-12-09T00:00:00"/>
    <x v="3"/>
    <s v="Containers"/>
    <s v="1L"/>
    <x v="233"/>
    <x v="3"/>
    <x v="281"/>
    <n v="3"/>
    <n v="1251"/>
    <x v="272"/>
    <x v="2"/>
    <x v="0"/>
    <x v="0"/>
    <s v="Returned"/>
    <n v="673"/>
    <n v="417"/>
    <x v="16"/>
    <x v="4"/>
    <x v="15"/>
    <x v="1"/>
    <x v="1"/>
    <m/>
  </r>
  <r>
    <d v="2022-12-10T00:00:00"/>
    <x v="1"/>
    <s v="Glass &amp; Bottles"/>
    <s v="750ml"/>
    <x v="234"/>
    <x v="1"/>
    <x v="282"/>
    <n v="12"/>
    <n v="4908"/>
    <x v="273"/>
    <x v="0"/>
    <x v="3"/>
    <x v="1"/>
    <s v="Returned"/>
    <n v="597"/>
    <n v="409"/>
    <x v="1"/>
    <x v="1"/>
    <x v="1"/>
    <x v="2"/>
    <x v="7"/>
    <m/>
  </r>
  <r>
    <d v="2022-12-11T00:00:00"/>
    <x v="3"/>
    <s v="Containers"/>
    <s v="1L"/>
    <x v="235"/>
    <x v="3"/>
    <x v="283"/>
    <n v="3"/>
    <n v="1185"/>
    <x v="274"/>
    <x v="1"/>
    <x v="2"/>
    <x v="1"/>
    <s v="Returned"/>
    <n v="506"/>
    <n v="395"/>
    <x v="11"/>
    <x v="9"/>
    <x v="11"/>
    <x v="2"/>
    <x v="10"/>
    <m/>
  </r>
  <r>
    <d v="2022-12-12T00:00:00"/>
    <x v="0"/>
    <s v="Takeaway Boxes"/>
    <s v="Large"/>
    <x v="165"/>
    <x v="0"/>
    <x v="188"/>
    <n v="5"/>
    <n v="125"/>
    <x v="183"/>
    <x v="1"/>
    <x v="1"/>
    <x v="1"/>
    <s v="Delayed"/>
    <n v="819"/>
    <n v="25"/>
    <x v="13"/>
    <x v="2"/>
    <x v="12"/>
    <x v="3"/>
    <x v="2"/>
    <m/>
  </r>
  <r>
    <d v="2022-12-13T00:00:00"/>
    <x v="2"/>
    <s v="Housekeeping Items"/>
    <s v="Standard"/>
    <x v="43"/>
    <x v="2"/>
    <x v="284"/>
    <n v="100"/>
    <n v="41800"/>
    <x v="275"/>
    <x v="2"/>
    <x v="2"/>
    <x v="2"/>
    <s v="Returned"/>
    <n v="690"/>
    <n v="418"/>
    <x v="0"/>
    <x v="0"/>
    <x v="0"/>
    <x v="1"/>
    <x v="2"/>
    <m/>
  </r>
  <r>
    <d v="2022-12-14T00:00:00"/>
    <x v="3"/>
    <s v="Containers"/>
    <s v="1L"/>
    <x v="50"/>
    <x v="3"/>
    <x v="285"/>
    <n v="3"/>
    <n v="1023"/>
    <x v="276"/>
    <x v="1"/>
    <x v="1"/>
    <x v="2"/>
    <s v="Delayed"/>
    <n v="993"/>
    <n v="341"/>
    <x v="2"/>
    <x v="2"/>
    <x v="2"/>
    <x v="3"/>
    <x v="8"/>
    <m/>
  </r>
  <r>
    <d v="2022-12-15T00:00:00"/>
    <x v="1"/>
    <s v="Glass &amp; Bottles"/>
    <s v="750ml"/>
    <x v="236"/>
    <x v="1"/>
    <x v="286"/>
    <n v="12"/>
    <n v="912"/>
    <x v="277"/>
    <x v="2"/>
    <x v="2"/>
    <x v="2"/>
    <s v="Delayed"/>
    <n v="640"/>
    <n v="76"/>
    <x v="10"/>
    <x v="8"/>
    <x v="10"/>
    <x v="4"/>
    <x v="7"/>
    <m/>
  </r>
  <r>
    <d v="2022-12-16T00:00:00"/>
    <x v="1"/>
    <s v="Glass &amp; Bottles"/>
    <s v="750ml"/>
    <x v="237"/>
    <x v="1"/>
    <x v="287"/>
    <n v="12"/>
    <n v="1488"/>
    <x v="278"/>
    <x v="1"/>
    <x v="1"/>
    <x v="1"/>
    <s v="Delayed"/>
    <n v="822"/>
    <n v="124"/>
    <x v="7"/>
    <x v="5"/>
    <x v="7"/>
    <x v="3"/>
    <x v="7"/>
    <m/>
  </r>
  <r>
    <d v="2022-12-17T00:00:00"/>
    <x v="2"/>
    <s v="Housekeeping Items"/>
    <s v="Standard"/>
    <x v="238"/>
    <x v="2"/>
    <x v="288"/>
    <n v="100"/>
    <n v="5300"/>
    <x v="279"/>
    <x v="2"/>
    <x v="3"/>
    <x v="1"/>
    <s v="Returned"/>
    <n v="845"/>
    <n v="53"/>
    <x v="7"/>
    <x v="5"/>
    <x v="7"/>
    <x v="1"/>
    <x v="5"/>
    <m/>
  </r>
  <r>
    <d v="2022-12-18T00:00:00"/>
    <x v="3"/>
    <s v="Containers"/>
    <s v="1L"/>
    <x v="239"/>
    <x v="3"/>
    <x v="289"/>
    <n v="3"/>
    <n v="1236"/>
    <x v="280"/>
    <x v="1"/>
    <x v="1"/>
    <x v="2"/>
    <s v="Delivered"/>
    <n v="671"/>
    <n v="412"/>
    <x v="8"/>
    <x v="6"/>
    <x v="8"/>
    <x v="2"/>
    <x v="7"/>
    <m/>
  </r>
  <r>
    <d v="2022-12-19T00:00:00"/>
    <x v="4"/>
    <s v="Plates &amp; Bowls"/>
    <s v="500ml"/>
    <x v="240"/>
    <x v="4"/>
    <x v="5"/>
    <n v="1.5"/>
    <n v="606"/>
    <x v="5"/>
    <x v="0"/>
    <x v="3"/>
    <x v="0"/>
    <s v="Delivered"/>
    <n v="710"/>
    <n v="404"/>
    <x v="1"/>
    <x v="1"/>
    <x v="1"/>
    <x v="4"/>
    <x v="10"/>
    <m/>
  </r>
  <r>
    <d v="2022-12-20T00:00:00"/>
    <x v="5"/>
    <s v="Cutlery"/>
    <s v="3pcs"/>
    <x v="22"/>
    <x v="5"/>
    <x v="23"/>
    <n v="4"/>
    <n v="276"/>
    <x v="23"/>
    <x v="1"/>
    <x v="3"/>
    <x v="2"/>
    <s v="Returned"/>
    <n v="885"/>
    <n v="69"/>
    <x v="8"/>
    <x v="6"/>
    <x v="8"/>
    <x v="4"/>
    <x v="0"/>
    <m/>
  </r>
  <r>
    <d v="2022-12-21T00:00:00"/>
    <x v="5"/>
    <s v="Cutlery"/>
    <s v="3pcs"/>
    <x v="225"/>
    <x v="5"/>
    <x v="290"/>
    <n v="4"/>
    <n v="1832"/>
    <x v="281"/>
    <x v="0"/>
    <x v="1"/>
    <x v="1"/>
    <s v="Delayed"/>
    <n v="833"/>
    <n v="458"/>
    <x v="9"/>
    <x v="7"/>
    <x v="9"/>
    <x v="0"/>
    <x v="11"/>
    <m/>
  </r>
  <r>
    <d v="2022-12-22T00:00:00"/>
    <x v="2"/>
    <s v="Housekeeping Items"/>
    <s v="Standard"/>
    <x v="103"/>
    <x v="2"/>
    <x v="107"/>
    <n v="100"/>
    <n v="5700"/>
    <x v="104"/>
    <x v="0"/>
    <x v="0"/>
    <x v="2"/>
    <s v="Delivered"/>
    <n v="708"/>
    <n v="57"/>
    <x v="5"/>
    <x v="0"/>
    <x v="5"/>
    <x v="1"/>
    <x v="2"/>
    <m/>
  </r>
  <r>
    <d v="2022-12-23T00:00:00"/>
    <x v="3"/>
    <s v="Containers"/>
    <s v="1L"/>
    <x v="241"/>
    <x v="3"/>
    <x v="291"/>
    <n v="3"/>
    <n v="822"/>
    <x v="282"/>
    <x v="0"/>
    <x v="2"/>
    <x v="1"/>
    <s v="Delivered"/>
    <n v="680"/>
    <n v="274"/>
    <x v="11"/>
    <x v="9"/>
    <x v="11"/>
    <x v="1"/>
    <x v="2"/>
    <m/>
  </r>
  <r>
    <d v="2022-12-24T00:00:00"/>
    <x v="3"/>
    <s v="Containers"/>
    <s v="1L"/>
    <x v="229"/>
    <x v="3"/>
    <x v="292"/>
    <n v="3"/>
    <n v="408"/>
    <x v="283"/>
    <x v="1"/>
    <x v="1"/>
    <x v="0"/>
    <s v="Delivered"/>
    <n v="963"/>
    <n v="136"/>
    <x v="6"/>
    <x v="4"/>
    <x v="6"/>
    <x v="3"/>
    <x v="0"/>
    <m/>
  </r>
  <r>
    <d v="2022-12-25T00:00:00"/>
    <x v="3"/>
    <s v="Containers"/>
    <s v="1L"/>
    <x v="242"/>
    <x v="3"/>
    <x v="293"/>
    <n v="3"/>
    <n v="663"/>
    <x v="284"/>
    <x v="2"/>
    <x v="3"/>
    <x v="0"/>
    <s v="Delayed"/>
    <n v="680"/>
    <n v="221"/>
    <x v="14"/>
    <x v="6"/>
    <x v="13"/>
    <x v="4"/>
    <x v="4"/>
    <m/>
  </r>
  <r>
    <d v="2022-12-26T00:00:00"/>
    <x v="5"/>
    <s v="Cutlery"/>
    <s v="3pcs"/>
    <x v="167"/>
    <x v="5"/>
    <x v="294"/>
    <n v="4"/>
    <n v="1012"/>
    <x v="185"/>
    <x v="0"/>
    <x v="2"/>
    <x v="0"/>
    <s v="Delayed"/>
    <n v="510"/>
    <n v="253"/>
    <x v="5"/>
    <x v="0"/>
    <x v="5"/>
    <x v="4"/>
    <x v="2"/>
    <m/>
  </r>
  <r>
    <d v="2022-12-27T00:00:00"/>
    <x v="4"/>
    <s v="Plates &amp; Bowls"/>
    <s v="500ml"/>
    <x v="243"/>
    <x v="4"/>
    <x v="295"/>
    <n v="1.5"/>
    <n v="393"/>
    <x v="285"/>
    <x v="0"/>
    <x v="0"/>
    <x v="2"/>
    <s v="Returned"/>
    <n v="671"/>
    <n v="262"/>
    <x v="1"/>
    <x v="1"/>
    <x v="1"/>
    <x v="2"/>
    <x v="1"/>
    <m/>
  </r>
  <r>
    <d v="2022-12-28T00:00:00"/>
    <x v="4"/>
    <s v="Plates &amp; Bowls"/>
    <s v="500ml"/>
    <x v="244"/>
    <x v="4"/>
    <x v="296"/>
    <n v="1.5"/>
    <n v="145.5"/>
    <x v="286"/>
    <x v="1"/>
    <x v="1"/>
    <x v="2"/>
    <s v="Returned"/>
    <n v="775"/>
    <n v="97"/>
    <x v="19"/>
    <x v="13"/>
    <x v="18"/>
    <x v="3"/>
    <x v="4"/>
    <m/>
  </r>
  <r>
    <d v="2022-12-29T00:00:00"/>
    <x v="0"/>
    <s v="Takeaway Boxes"/>
    <s v="Large"/>
    <x v="84"/>
    <x v="0"/>
    <x v="88"/>
    <n v="5"/>
    <n v="300"/>
    <x v="74"/>
    <x v="2"/>
    <x v="3"/>
    <x v="2"/>
    <s v="Returned"/>
    <n v="937"/>
    <n v="60"/>
    <x v="4"/>
    <x v="3"/>
    <x v="4"/>
    <x v="4"/>
    <x v="1"/>
    <m/>
  </r>
  <r>
    <d v="2022-12-30T00:00:00"/>
    <x v="4"/>
    <s v="Plates &amp; Bowls"/>
    <s v="500ml"/>
    <x v="143"/>
    <x v="4"/>
    <x v="156"/>
    <n v="1.5"/>
    <n v="175.5"/>
    <x v="151"/>
    <x v="1"/>
    <x v="2"/>
    <x v="0"/>
    <s v="Returned"/>
    <n v="675"/>
    <n v="117"/>
    <x v="12"/>
    <x v="3"/>
    <x v="10"/>
    <x v="3"/>
    <x v="6"/>
    <m/>
  </r>
  <r>
    <d v="2022-12-31T00:00:00"/>
    <x v="5"/>
    <s v="Cutlery"/>
    <s v="3pcs"/>
    <x v="12"/>
    <x v="5"/>
    <x v="297"/>
    <n v="4"/>
    <n v="672"/>
    <x v="287"/>
    <x v="1"/>
    <x v="0"/>
    <x v="1"/>
    <s v="Returned"/>
    <n v="529"/>
    <n v="168"/>
    <x v="9"/>
    <x v="7"/>
    <x v="9"/>
    <x v="4"/>
    <x v="4"/>
    <m/>
  </r>
  <r>
    <d v="2023-01-01T00:00:00"/>
    <x v="2"/>
    <s v="Housekeeping Items"/>
    <s v="Standard"/>
    <x v="22"/>
    <x v="2"/>
    <x v="136"/>
    <n v="100"/>
    <n v="6900"/>
    <x v="132"/>
    <x v="2"/>
    <x v="0"/>
    <x v="0"/>
    <s v="Returned"/>
    <n v="753"/>
    <n v="69"/>
    <x v="9"/>
    <x v="7"/>
    <x v="9"/>
    <x v="4"/>
    <x v="10"/>
    <m/>
  </r>
  <r>
    <d v="2023-01-02T00:00:00"/>
    <x v="3"/>
    <s v="Containers"/>
    <s v="1L"/>
    <x v="245"/>
    <x v="3"/>
    <x v="61"/>
    <n v="3"/>
    <n v="768"/>
    <x v="60"/>
    <x v="0"/>
    <x v="3"/>
    <x v="0"/>
    <s v="Delivered"/>
    <n v="863"/>
    <n v="256"/>
    <x v="1"/>
    <x v="1"/>
    <x v="1"/>
    <x v="2"/>
    <x v="11"/>
    <m/>
  </r>
  <r>
    <d v="2023-01-03T00:00:00"/>
    <x v="3"/>
    <s v="Containers"/>
    <s v="1L"/>
    <x v="58"/>
    <x v="3"/>
    <x v="59"/>
    <n v="3"/>
    <n v="474"/>
    <x v="58"/>
    <x v="0"/>
    <x v="1"/>
    <x v="1"/>
    <s v="Returned"/>
    <n v="721"/>
    <n v="158"/>
    <x v="9"/>
    <x v="7"/>
    <x v="9"/>
    <x v="0"/>
    <x v="7"/>
    <m/>
  </r>
  <r>
    <d v="2023-01-04T00:00:00"/>
    <x v="1"/>
    <s v="Glass &amp; Bottles"/>
    <s v="750ml"/>
    <x v="13"/>
    <x v="1"/>
    <x v="175"/>
    <n v="12"/>
    <n v="4584"/>
    <x v="170"/>
    <x v="0"/>
    <x v="2"/>
    <x v="2"/>
    <s v="Delivered"/>
    <n v="572"/>
    <n v="382"/>
    <x v="13"/>
    <x v="2"/>
    <x v="12"/>
    <x v="4"/>
    <x v="3"/>
    <m/>
  </r>
  <r>
    <d v="2023-01-05T00:00:00"/>
    <x v="1"/>
    <s v="Glass &amp; Bottles"/>
    <s v="750ml"/>
    <x v="46"/>
    <x v="1"/>
    <x v="298"/>
    <n v="12"/>
    <n v="5124"/>
    <x v="288"/>
    <x v="2"/>
    <x v="3"/>
    <x v="1"/>
    <s v="Delivered"/>
    <n v="965"/>
    <n v="427"/>
    <x v="10"/>
    <x v="8"/>
    <x v="10"/>
    <x v="3"/>
    <x v="9"/>
    <m/>
  </r>
  <r>
    <d v="2023-01-06T00:00:00"/>
    <x v="1"/>
    <s v="Glass &amp; Bottles"/>
    <s v="750ml"/>
    <x v="155"/>
    <x v="1"/>
    <x v="173"/>
    <n v="12"/>
    <n v="3492"/>
    <x v="168"/>
    <x v="1"/>
    <x v="1"/>
    <x v="0"/>
    <s v="Delayed"/>
    <n v="850"/>
    <n v="291"/>
    <x v="15"/>
    <x v="10"/>
    <x v="14"/>
    <x v="2"/>
    <x v="9"/>
    <m/>
  </r>
  <r>
    <d v="2023-01-07T00:00:00"/>
    <x v="4"/>
    <s v="Plates &amp; Bowls"/>
    <s v="500ml"/>
    <x v="246"/>
    <x v="4"/>
    <x v="299"/>
    <n v="1.5"/>
    <n v="688.5"/>
    <x v="63"/>
    <x v="0"/>
    <x v="3"/>
    <x v="1"/>
    <s v="Delivered"/>
    <n v="837"/>
    <n v="459"/>
    <x v="2"/>
    <x v="2"/>
    <x v="2"/>
    <x v="0"/>
    <x v="7"/>
    <m/>
  </r>
  <r>
    <d v="2023-01-08T00:00:00"/>
    <x v="5"/>
    <s v="Cutlery"/>
    <s v="3pcs"/>
    <x v="247"/>
    <x v="5"/>
    <x v="300"/>
    <n v="4"/>
    <n v="1988"/>
    <x v="289"/>
    <x v="1"/>
    <x v="1"/>
    <x v="1"/>
    <s v="Delivered"/>
    <n v="597"/>
    <n v="497"/>
    <x v="16"/>
    <x v="4"/>
    <x v="15"/>
    <x v="0"/>
    <x v="2"/>
    <m/>
  </r>
  <r>
    <d v="2023-01-09T00:00:00"/>
    <x v="0"/>
    <s v="Takeaway Boxes"/>
    <s v="Large"/>
    <x v="70"/>
    <x v="0"/>
    <x v="301"/>
    <n v="5"/>
    <n v="2435"/>
    <x v="290"/>
    <x v="1"/>
    <x v="3"/>
    <x v="0"/>
    <s v="Returned"/>
    <n v="758"/>
    <n v="487"/>
    <x v="3"/>
    <x v="2"/>
    <x v="3"/>
    <x v="0"/>
    <x v="8"/>
    <m/>
  </r>
  <r>
    <d v="2023-01-10T00:00:00"/>
    <x v="3"/>
    <s v="Containers"/>
    <s v="1L"/>
    <x v="248"/>
    <x v="3"/>
    <x v="302"/>
    <n v="3"/>
    <n v="1299"/>
    <x v="291"/>
    <x v="1"/>
    <x v="3"/>
    <x v="0"/>
    <s v="Delivered"/>
    <n v="516"/>
    <n v="433"/>
    <x v="10"/>
    <x v="8"/>
    <x v="10"/>
    <x v="0"/>
    <x v="6"/>
    <m/>
  </r>
  <r>
    <d v="2023-01-11T00:00:00"/>
    <x v="5"/>
    <s v="Cutlery"/>
    <s v="3pcs"/>
    <x v="159"/>
    <x v="5"/>
    <x v="303"/>
    <n v="4"/>
    <n v="956"/>
    <x v="174"/>
    <x v="2"/>
    <x v="0"/>
    <x v="1"/>
    <s v="Returned"/>
    <n v="552"/>
    <n v="239"/>
    <x v="7"/>
    <x v="5"/>
    <x v="7"/>
    <x v="4"/>
    <x v="8"/>
    <m/>
  </r>
  <r>
    <d v="2023-01-12T00:00:00"/>
    <x v="3"/>
    <s v="Containers"/>
    <s v="1L"/>
    <x v="123"/>
    <x v="3"/>
    <x v="304"/>
    <n v="3"/>
    <n v="1290"/>
    <x v="125"/>
    <x v="0"/>
    <x v="2"/>
    <x v="1"/>
    <s v="Returned"/>
    <n v="560"/>
    <n v="430"/>
    <x v="15"/>
    <x v="10"/>
    <x v="14"/>
    <x v="2"/>
    <x v="2"/>
    <m/>
  </r>
  <r>
    <d v="2023-01-13T00:00:00"/>
    <x v="3"/>
    <s v="Containers"/>
    <s v="1L"/>
    <x v="113"/>
    <x v="3"/>
    <x v="118"/>
    <n v="3"/>
    <n v="987"/>
    <x v="115"/>
    <x v="1"/>
    <x v="0"/>
    <x v="1"/>
    <s v="Delivered"/>
    <n v="579"/>
    <n v="329"/>
    <x v="19"/>
    <x v="13"/>
    <x v="18"/>
    <x v="0"/>
    <x v="6"/>
    <m/>
  </r>
  <r>
    <d v="2023-01-14T00:00:00"/>
    <x v="5"/>
    <s v="Cutlery"/>
    <s v="3pcs"/>
    <x v="249"/>
    <x v="5"/>
    <x v="305"/>
    <n v="4"/>
    <n v="676"/>
    <x v="292"/>
    <x v="0"/>
    <x v="1"/>
    <x v="1"/>
    <s v="Delayed"/>
    <n v="966"/>
    <n v="169"/>
    <x v="12"/>
    <x v="3"/>
    <x v="10"/>
    <x v="2"/>
    <x v="2"/>
    <m/>
  </r>
  <r>
    <d v="2023-01-15T00:00:00"/>
    <x v="5"/>
    <s v="Cutlery"/>
    <s v="3pcs"/>
    <x v="235"/>
    <x v="5"/>
    <x v="306"/>
    <n v="4"/>
    <n v="1580"/>
    <x v="274"/>
    <x v="2"/>
    <x v="2"/>
    <x v="2"/>
    <s v="Delayed"/>
    <n v="829"/>
    <n v="395"/>
    <x v="17"/>
    <x v="11"/>
    <x v="16"/>
    <x v="4"/>
    <x v="5"/>
    <m/>
  </r>
  <r>
    <d v="2023-01-16T00:00:00"/>
    <x v="2"/>
    <s v="Housekeeping Items"/>
    <s v="Standard"/>
    <x v="195"/>
    <x v="2"/>
    <x v="307"/>
    <n v="100"/>
    <n v="41100"/>
    <x v="293"/>
    <x v="0"/>
    <x v="3"/>
    <x v="1"/>
    <s v="Delayed"/>
    <n v="733"/>
    <n v="411"/>
    <x v="10"/>
    <x v="8"/>
    <x v="10"/>
    <x v="1"/>
    <x v="5"/>
    <m/>
  </r>
  <r>
    <d v="2023-01-17T00:00:00"/>
    <x v="2"/>
    <s v="Housekeeping Items"/>
    <s v="Standard"/>
    <x v="250"/>
    <x v="2"/>
    <x v="308"/>
    <n v="100"/>
    <n v="38300"/>
    <x v="294"/>
    <x v="0"/>
    <x v="2"/>
    <x v="0"/>
    <s v="Returned"/>
    <n v="989"/>
    <n v="383"/>
    <x v="16"/>
    <x v="4"/>
    <x v="15"/>
    <x v="3"/>
    <x v="4"/>
    <m/>
  </r>
  <r>
    <d v="2023-01-18T00:00:00"/>
    <x v="4"/>
    <s v="Plates &amp; Bowls"/>
    <s v="500ml"/>
    <x v="251"/>
    <x v="4"/>
    <x v="309"/>
    <n v="1.5"/>
    <n v="639"/>
    <x v="295"/>
    <x v="0"/>
    <x v="1"/>
    <x v="1"/>
    <s v="Delivered"/>
    <n v="601"/>
    <n v="426"/>
    <x v="12"/>
    <x v="3"/>
    <x v="10"/>
    <x v="3"/>
    <x v="1"/>
    <m/>
  </r>
  <r>
    <d v="2023-01-19T00:00:00"/>
    <x v="5"/>
    <s v="Cutlery"/>
    <s v="3pcs"/>
    <x v="153"/>
    <x v="5"/>
    <x v="310"/>
    <n v="4"/>
    <n v="1296"/>
    <x v="264"/>
    <x v="1"/>
    <x v="1"/>
    <x v="0"/>
    <s v="Returned"/>
    <n v="936"/>
    <n v="324"/>
    <x v="10"/>
    <x v="8"/>
    <x v="10"/>
    <x v="1"/>
    <x v="3"/>
    <m/>
  </r>
  <r>
    <d v="2023-01-20T00:00:00"/>
    <x v="1"/>
    <s v="Glass &amp; Bottles"/>
    <s v="750ml"/>
    <x v="237"/>
    <x v="1"/>
    <x v="287"/>
    <n v="12"/>
    <n v="1488"/>
    <x v="278"/>
    <x v="0"/>
    <x v="2"/>
    <x v="1"/>
    <s v="Returned"/>
    <n v="955"/>
    <n v="124"/>
    <x v="17"/>
    <x v="11"/>
    <x v="16"/>
    <x v="1"/>
    <x v="2"/>
    <m/>
  </r>
  <r>
    <d v="2023-01-21T00:00:00"/>
    <x v="0"/>
    <s v="Takeaway Boxes"/>
    <s v="Large"/>
    <x v="161"/>
    <x v="0"/>
    <x v="311"/>
    <n v="5"/>
    <n v="1340"/>
    <x v="296"/>
    <x v="2"/>
    <x v="3"/>
    <x v="2"/>
    <s v="Delivered"/>
    <n v="729"/>
    <n v="268"/>
    <x v="13"/>
    <x v="2"/>
    <x v="12"/>
    <x v="3"/>
    <x v="4"/>
    <m/>
  </r>
  <r>
    <d v="2023-01-22T00:00:00"/>
    <x v="1"/>
    <s v="Glass &amp; Bottles"/>
    <s v="750ml"/>
    <x v="56"/>
    <x v="1"/>
    <x v="312"/>
    <n v="12"/>
    <n v="5244"/>
    <x v="297"/>
    <x v="0"/>
    <x v="0"/>
    <x v="2"/>
    <s v="Returned"/>
    <n v="679"/>
    <n v="437"/>
    <x v="5"/>
    <x v="0"/>
    <x v="5"/>
    <x v="1"/>
    <x v="3"/>
    <m/>
  </r>
  <r>
    <d v="2023-01-23T00:00:00"/>
    <x v="4"/>
    <s v="Plates &amp; Bowls"/>
    <s v="500ml"/>
    <x v="252"/>
    <x v="4"/>
    <x v="313"/>
    <n v="1.5"/>
    <n v="102"/>
    <x v="298"/>
    <x v="1"/>
    <x v="3"/>
    <x v="1"/>
    <s v="Delivered"/>
    <n v="995"/>
    <n v="68"/>
    <x v="6"/>
    <x v="4"/>
    <x v="6"/>
    <x v="2"/>
    <x v="10"/>
    <m/>
  </r>
  <r>
    <d v="2023-01-24T00:00:00"/>
    <x v="3"/>
    <s v="Containers"/>
    <s v="1L"/>
    <x v="253"/>
    <x v="3"/>
    <x v="314"/>
    <n v="3"/>
    <n v="63"/>
    <x v="299"/>
    <x v="2"/>
    <x v="2"/>
    <x v="1"/>
    <s v="Delayed"/>
    <n v="537"/>
    <n v="21"/>
    <x v="3"/>
    <x v="2"/>
    <x v="3"/>
    <x v="0"/>
    <x v="0"/>
    <m/>
  </r>
  <r>
    <d v="2023-01-25T00:00:00"/>
    <x v="4"/>
    <s v="Plates &amp; Bowls"/>
    <s v="500ml"/>
    <x v="219"/>
    <x v="4"/>
    <x v="259"/>
    <n v="1.5"/>
    <n v="334.5"/>
    <x v="252"/>
    <x v="1"/>
    <x v="0"/>
    <x v="2"/>
    <s v="Delivered"/>
    <n v="890"/>
    <n v="223"/>
    <x v="19"/>
    <x v="13"/>
    <x v="18"/>
    <x v="3"/>
    <x v="2"/>
    <m/>
  </r>
  <r>
    <d v="2023-01-26T00:00:00"/>
    <x v="3"/>
    <s v="Containers"/>
    <s v="1L"/>
    <x v="254"/>
    <x v="3"/>
    <x v="315"/>
    <n v="3"/>
    <n v="1086"/>
    <x v="300"/>
    <x v="2"/>
    <x v="0"/>
    <x v="1"/>
    <s v="Delayed"/>
    <n v="655"/>
    <n v="362"/>
    <x v="2"/>
    <x v="2"/>
    <x v="2"/>
    <x v="4"/>
    <x v="10"/>
    <m/>
  </r>
  <r>
    <d v="2023-01-27T00:00:00"/>
    <x v="2"/>
    <s v="Housekeeping Items"/>
    <s v="Standard"/>
    <x v="255"/>
    <x v="2"/>
    <x v="316"/>
    <n v="100"/>
    <n v="48600"/>
    <x v="301"/>
    <x v="0"/>
    <x v="1"/>
    <x v="1"/>
    <s v="Returned"/>
    <n v="648"/>
    <n v="486"/>
    <x v="19"/>
    <x v="13"/>
    <x v="18"/>
    <x v="2"/>
    <x v="0"/>
    <m/>
  </r>
  <r>
    <d v="2023-01-28T00:00:00"/>
    <x v="2"/>
    <s v="Housekeeping Items"/>
    <s v="Standard"/>
    <x v="256"/>
    <x v="2"/>
    <x v="317"/>
    <n v="100"/>
    <n v="20400"/>
    <x v="302"/>
    <x v="2"/>
    <x v="2"/>
    <x v="2"/>
    <s v="Returned"/>
    <n v="916"/>
    <n v="204"/>
    <x v="0"/>
    <x v="0"/>
    <x v="0"/>
    <x v="0"/>
    <x v="10"/>
    <m/>
  </r>
  <r>
    <d v="2023-01-29T00:00:00"/>
    <x v="2"/>
    <s v="Housekeeping Items"/>
    <s v="Standard"/>
    <x v="165"/>
    <x v="2"/>
    <x v="318"/>
    <n v="100"/>
    <n v="2500"/>
    <x v="303"/>
    <x v="2"/>
    <x v="2"/>
    <x v="1"/>
    <s v="Delayed"/>
    <n v="849"/>
    <n v="25"/>
    <x v="10"/>
    <x v="8"/>
    <x v="10"/>
    <x v="1"/>
    <x v="3"/>
    <m/>
  </r>
  <r>
    <d v="2023-01-30T00:00:00"/>
    <x v="0"/>
    <s v="Takeaway Boxes"/>
    <s v="Large"/>
    <x v="95"/>
    <x v="0"/>
    <x v="319"/>
    <n v="5"/>
    <n v="1155"/>
    <x v="304"/>
    <x v="2"/>
    <x v="0"/>
    <x v="0"/>
    <s v="Delivered"/>
    <n v="849"/>
    <n v="231"/>
    <x v="11"/>
    <x v="9"/>
    <x v="11"/>
    <x v="1"/>
    <x v="4"/>
    <m/>
  </r>
  <r>
    <d v="2023-01-31T00:00:00"/>
    <x v="4"/>
    <s v="Plates &amp; Bowls"/>
    <s v="500ml"/>
    <x v="153"/>
    <x v="4"/>
    <x v="227"/>
    <n v="1.5"/>
    <n v="486"/>
    <x v="221"/>
    <x v="2"/>
    <x v="1"/>
    <x v="0"/>
    <s v="Delivered"/>
    <n v="662"/>
    <n v="324"/>
    <x v="8"/>
    <x v="6"/>
    <x v="8"/>
    <x v="1"/>
    <x v="2"/>
    <m/>
  </r>
  <r>
    <d v="2023-02-01T00:00:00"/>
    <x v="4"/>
    <s v="Plates &amp; Bowls"/>
    <s v="500ml"/>
    <x v="257"/>
    <x v="4"/>
    <x v="320"/>
    <n v="1.5"/>
    <n v="154.5"/>
    <x v="305"/>
    <x v="1"/>
    <x v="3"/>
    <x v="2"/>
    <s v="Delivered"/>
    <n v="642"/>
    <n v="103"/>
    <x v="5"/>
    <x v="0"/>
    <x v="5"/>
    <x v="1"/>
    <x v="5"/>
    <m/>
  </r>
  <r>
    <d v="2023-02-02T00:00:00"/>
    <x v="3"/>
    <s v="Containers"/>
    <s v="1L"/>
    <x v="102"/>
    <x v="3"/>
    <x v="106"/>
    <n v="3"/>
    <n v="1131"/>
    <x v="103"/>
    <x v="0"/>
    <x v="3"/>
    <x v="1"/>
    <s v="Delayed"/>
    <n v="601"/>
    <n v="377"/>
    <x v="8"/>
    <x v="6"/>
    <x v="8"/>
    <x v="3"/>
    <x v="6"/>
    <m/>
  </r>
  <r>
    <d v="2023-02-03T00:00:00"/>
    <x v="3"/>
    <s v="Containers"/>
    <s v="1L"/>
    <x v="103"/>
    <x v="3"/>
    <x v="321"/>
    <n v="3"/>
    <n v="171"/>
    <x v="306"/>
    <x v="1"/>
    <x v="3"/>
    <x v="2"/>
    <s v="Returned"/>
    <n v="848"/>
    <n v="57"/>
    <x v="7"/>
    <x v="5"/>
    <x v="7"/>
    <x v="3"/>
    <x v="0"/>
    <m/>
  </r>
  <r>
    <d v="2023-02-04T00:00:00"/>
    <x v="5"/>
    <s v="Cutlery"/>
    <s v="3pcs"/>
    <x v="73"/>
    <x v="5"/>
    <x v="76"/>
    <n v="4"/>
    <n v="360"/>
    <x v="74"/>
    <x v="2"/>
    <x v="1"/>
    <x v="1"/>
    <s v="Returned"/>
    <n v="766"/>
    <n v="90"/>
    <x v="2"/>
    <x v="2"/>
    <x v="2"/>
    <x v="0"/>
    <x v="5"/>
    <m/>
  </r>
  <r>
    <d v="2023-02-05T00:00:00"/>
    <x v="2"/>
    <s v="Housekeeping Items"/>
    <s v="Standard"/>
    <x v="51"/>
    <x v="2"/>
    <x v="322"/>
    <n v="100"/>
    <n v="47200"/>
    <x v="307"/>
    <x v="0"/>
    <x v="3"/>
    <x v="0"/>
    <s v="Delayed"/>
    <n v="862"/>
    <n v="472"/>
    <x v="5"/>
    <x v="0"/>
    <x v="5"/>
    <x v="3"/>
    <x v="4"/>
    <m/>
  </r>
  <r>
    <d v="2023-02-06T00:00:00"/>
    <x v="0"/>
    <s v="Takeaway Boxes"/>
    <s v="Large"/>
    <x v="71"/>
    <x v="0"/>
    <x v="323"/>
    <n v="5"/>
    <n v="315"/>
    <x v="308"/>
    <x v="0"/>
    <x v="2"/>
    <x v="1"/>
    <s v="Delayed"/>
    <n v="848"/>
    <n v="63"/>
    <x v="19"/>
    <x v="13"/>
    <x v="18"/>
    <x v="1"/>
    <x v="4"/>
    <m/>
  </r>
  <r>
    <d v="2023-02-07T00:00:00"/>
    <x v="0"/>
    <s v="Takeaway Boxes"/>
    <s v="Large"/>
    <x v="258"/>
    <x v="0"/>
    <x v="324"/>
    <n v="5"/>
    <n v="1440"/>
    <x v="309"/>
    <x v="2"/>
    <x v="3"/>
    <x v="1"/>
    <s v="Delayed"/>
    <n v="654"/>
    <n v="288"/>
    <x v="17"/>
    <x v="11"/>
    <x v="16"/>
    <x v="3"/>
    <x v="10"/>
    <m/>
  </r>
  <r>
    <d v="2023-02-08T00:00:00"/>
    <x v="2"/>
    <s v="Housekeeping Items"/>
    <s v="Standard"/>
    <x v="259"/>
    <x v="2"/>
    <x v="325"/>
    <n v="100"/>
    <n v="46700"/>
    <x v="310"/>
    <x v="0"/>
    <x v="0"/>
    <x v="2"/>
    <s v="Delayed"/>
    <n v="695"/>
    <n v="467"/>
    <x v="5"/>
    <x v="0"/>
    <x v="5"/>
    <x v="0"/>
    <x v="11"/>
    <m/>
  </r>
  <r>
    <d v="2023-02-09T00:00:00"/>
    <x v="4"/>
    <s v="Plates &amp; Bowls"/>
    <s v="500ml"/>
    <x v="230"/>
    <x v="4"/>
    <x v="275"/>
    <n v="1.5"/>
    <n v="81"/>
    <x v="266"/>
    <x v="1"/>
    <x v="0"/>
    <x v="2"/>
    <s v="Delivered"/>
    <n v="989"/>
    <n v="54"/>
    <x v="8"/>
    <x v="6"/>
    <x v="8"/>
    <x v="0"/>
    <x v="8"/>
    <m/>
  </r>
  <r>
    <d v="2023-02-10T00:00:00"/>
    <x v="0"/>
    <s v="Takeaway Boxes"/>
    <s v="Large"/>
    <x v="240"/>
    <x v="0"/>
    <x v="326"/>
    <n v="5"/>
    <n v="2020"/>
    <x v="311"/>
    <x v="2"/>
    <x v="2"/>
    <x v="2"/>
    <s v="Delivered"/>
    <n v="1000"/>
    <n v="404"/>
    <x v="17"/>
    <x v="11"/>
    <x v="16"/>
    <x v="0"/>
    <x v="9"/>
    <m/>
  </r>
  <r>
    <d v="2023-02-11T00:00:00"/>
    <x v="5"/>
    <s v="Cutlery"/>
    <s v="3pcs"/>
    <x v="260"/>
    <x v="5"/>
    <x v="327"/>
    <n v="4"/>
    <n v="1640"/>
    <x v="312"/>
    <x v="0"/>
    <x v="3"/>
    <x v="2"/>
    <s v="Returned"/>
    <n v="998"/>
    <n v="410"/>
    <x v="16"/>
    <x v="4"/>
    <x v="15"/>
    <x v="2"/>
    <x v="0"/>
    <m/>
  </r>
  <r>
    <d v="2023-02-12T00:00:00"/>
    <x v="2"/>
    <s v="Housekeeping Items"/>
    <s v="Standard"/>
    <x v="261"/>
    <x v="2"/>
    <x v="328"/>
    <n v="100"/>
    <n v="18700"/>
    <x v="313"/>
    <x v="1"/>
    <x v="0"/>
    <x v="1"/>
    <s v="Delivered"/>
    <n v="716"/>
    <n v="187"/>
    <x v="6"/>
    <x v="4"/>
    <x v="6"/>
    <x v="3"/>
    <x v="0"/>
    <m/>
  </r>
  <r>
    <d v="2023-02-13T00:00:00"/>
    <x v="5"/>
    <s v="Cutlery"/>
    <s v="3pcs"/>
    <x v="262"/>
    <x v="5"/>
    <x v="329"/>
    <n v="4"/>
    <n v="1940"/>
    <x v="314"/>
    <x v="0"/>
    <x v="1"/>
    <x v="1"/>
    <s v="Delayed"/>
    <n v="660"/>
    <n v="485"/>
    <x v="3"/>
    <x v="2"/>
    <x v="3"/>
    <x v="0"/>
    <x v="5"/>
    <m/>
  </r>
  <r>
    <d v="2023-02-14T00:00:00"/>
    <x v="5"/>
    <s v="Cutlery"/>
    <s v="3pcs"/>
    <x v="263"/>
    <x v="5"/>
    <x v="330"/>
    <n v="4"/>
    <n v="740"/>
    <x v="240"/>
    <x v="0"/>
    <x v="2"/>
    <x v="1"/>
    <s v="Delivered"/>
    <n v="792"/>
    <n v="185"/>
    <x v="18"/>
    <x v="12"/>
    <x v="17"/>
    <x v="3"/>
    <x v="7"/>
    <m/>
  </r>
  <r>
    <d v="2023-02-15T00:00:00"/>
    <x v="1"/>
    <s v="Glass &amp; Bottles"/>
    <s v="750ml"/>
    <x v="110"/>
    <x v="1"/>
    <x v="331"/>
    <n v="12"/>
    <n v="4212"/>
    <x v="315"/>
    <x v="1"/>
    <x v="2"/>
    <x v="0"/>
    <s v="Delayed"/>
    <n v="975"/>
    <n v="351"/>
    <x v="13"/>
    <x v="2"/>
    <x v="12"/>
    <x v="2"/>
    <x v="2"/>
    <m/>
  </r>
  <r>
    <d v="2023-02-16T00:00:00"/>
    <x v="4"/>
    <s v="Plates &amp; Bowls"/>
    <s v="500ml"/>
    <x v="246"/>
    <x v="4"/>
    <x v="299"/>
    <n v="1.5"/>
    <n v="688.5"/>
    <x v="63"/>
    <x v="1"/>
    <x v="3"/>
    <x v="0"/>
    <s v="Returned"/>
    <n v="866"/>
    <n v="459"/>
    <x v="2"/>
    <x v="2"/>
    <x v="2"/>
    <x v="2"/>
    <x v="11"/>
    <m/>
  </r>
  <r>
    <d v="2023-02-17T00:00:00"/>
    <x v="5"/>
    <s v="Cutlery"/>
    <s v="3pcs"/>
    <x v="135"/>
    <x v="5"/>
    <x v="332"/>
    <n v="4"/>
    <n v="588"/>
    <x v="97"/>
    <x v="0"/>
    <x v="1"/>
    <x v="1"/>
    <s v="Returned"/>
    <n v="715"/>
    <n v="147"/>
    <x v="18"/>
    <x v="12"/>
    <x v="17"/>
    <x v="1"/>
    <x v="3"/>
    <m/>
  </r>
  <r>
    <d v="2023-02-18T00:00:00"/>
    <x v="3"/>
    <s v="Containers"/>
    <s v="1L"/>
    <x v="46"/>
    <x v="3"/>
    <x v="333"/>
    <n v="3"/>
    <n v="1281"/>
    <x v="316"/>
    <x v="1"/>
    <x v="3"/>
    <x v="0"/>
    <s v="Returned"/>
    <n v="733"/>
    <n v="427"/>
    <x v="7"/>
    <x v="5"/>
    <x v="7"/>
    <x v="2"/>
    <x v="0"/>
    <m/>
  </r>
  <r>
    <d v="2023-02-19T00:00:00"/>
    <x v="0"/>
    <s v="Takeaway Boxes"/>
    <s v="Large"/>
    <x v="24"/>
    <x v="0"/>
    <x v="334"/>
    <n v="5"/>
    <n v="1630"/>
    <x v="156"/>
    <x v="1"/>
    <x v="3"/>
    <x v="0"/>
    <s v="Delivered"/>
    <n v="573"/>
    <n v="326"/>
    <x v="16"/>
    <x v="4"/>
    <x v="15"/>
    <x v="1"/>
    <x v="0"/>
    <m/>
  </r>
  <r>
    <d v="2023-02-20T00:00:00"/>
    <x v="2"/>
    <s v="Housekeeping Items"/>
    <s v="Standard"/>
    <x v="227"/>
    <x v="2"/>
    <x v="276"/>
    <n v="100"/>
    <n v="39600"/>
    <x v="267"/>
    <x v="2"/>
    <x v="1"/>
    <x v="1"/>
    <s v="Returned"/>
    <n v="516"/>
    <n v="396"/>
    <x v="10"/>
    <x v="8"/>
    <x v="10"/>
    <x v="4"/>
    <x v="10"/>
    <m/>
  </r>
  <r>
    <d v="2023-02-21T00:00:00"/>
    <x v="4"/>
    <s v="Plates &amp; Bowls"/>
    <s v="500ml"/>
    <x v="264"/>
    <x v="4"/>
    <x v="335"/>
    <n v="1.5"/>
    <n v="93"/>
    <x v="317"/>
    <x v="1"/>
    <x v="3"/>
    <x v="1"/>
    <s v="Delayed"/>
    <n v="871"/>
    <n v="62"/>
    <x v="11"/>
    <x v="9"/>
    <x v="11"/>
    <x v="4"/>
    <x v="5"/>
    <m/>
  </r>
  <r>
    <d v="2023-02-22T00:00:00"/>
    <x v="2"/>
    <s v="Housekeeping Items"/>
    <s v="Standard"/>
    <x v="265"/>
    <x v="2"/>
    <x v="336"/>
    <n v="100"/>
    <n v="44600"/>
    <x v="318"/>
    <x v="0"/>
    <x v="3"/>
    <x v="0"/>
    <s v="Delayed"/>
    <n v="752"/>
    <n v="446"/>
    <x v="10"/>
    <x v="8"/>
    <x v="10"/>
    <x v="3"/>
    <x v="9"/>
    <m/>
  </r>
  <r>
    <d v="2023-02-23T00:00:00"/>
    <x v="4"/>
    <s v="Plates &amp; Bowls"/>
    <s v="500ml"/>
    <x v="266"/>
    <x v="4"/>
    <x v="337"/>
    <n v="1.5"/>
    <n v="289.5"/>
    <x v="319"/>
    <x v="1"/>
    <x v="1"/>
    <x v="2"/>
    <s v="Returned"/>
    <n v="655"/>
    <n v="193"/>
    <x v="5"/>
    <x v="0"/>
    <x v="5"/>
    <x v="2"/>
    <x v="4"/>
    <m/>
  </r>
  <r>
    <d v="2023-02-24T00:00:00"/>
    <x v="3"/>
    <s v="Containers"/>
    <s v="1L"/>
    <x v="215"/>
    <x v="3"/>
    <x v="254"/>
    <n v="3"/>
    <n v="1470"/>
    <x v="247"/>
    <x v="2"/>
    <x v="1"/>
    <x v="0"/>
    <s v="Returned"/>
    <n v="609"/>
    <n v="490"/>
    <x v="9"/>
    <x v="7"/>
    <x v="9"/>
    <x v="2"/>
    <x v="8"/>
    <m/>
  </r>
  <r>
    <d v="2023-02-25T00:00:00"/>
    <x v="0"/>
    <s v="Takeaway Boxes"/>
    <s v="Large"/>
    <x v="267"/>
    <x v="0"/>
    <x v="338"/>
    <n v="5"/>
    <n v="2095"/>
    <x v="320"/>
    <x v="1"/>
    <x v="2"/>
    <x v="1"/>
    <s v="Delayed"/>
    <n v="609"/>
    <n v="419"/>
    <x v="10"/>
    <x v="8"/>
    <x v="10"/>
    <x v="1"/>
    <x v="7"/>
    <m/>
  </r>
  <r>
    <d v="2023-02-26T00:00:00"/>
    <x v="0"/>
    <s v="Takeaway Boxes"/>
    <s v="Large"/>
    <x v="268"/>
    <x v="0"/>
    <x v="339"/>
    <n v="5"/>
    <n v="395"/>
    <x v="321"/>
    <x v="0"/>
    <x v="1"/>
    <x v="1"/>
    <s v="Returned"/>
    <n v="824"/>
    <n v="79"/>
    <x v="16"/>
    <x v="4"/>
    <x v="15"/>
    <x v="0"/>
    <x v="0"/>
    <m/>
  </r>
  <r>
    <d v="2023-02-27T00:00:00"/>
    <x v="1"/>
    <s v="Glass &amp; Bottles"/>
    <s v="750ml"/>
    <x v="99"/>
    <x v="1"/>
    <x v="340"/>
    <n v="12"/>
    <n v="4488"/>
    <x v="322"/>
    <x v="0"/>
    <x v="1"/>
    <x v="2"/>
    <s v="Delayed"/>
    <n v="803"/>
    <n v="374"/>
    <x v="12"/>
    <x v="3"/>
    <x v="10"/>
    <x v="1"/>
    <x v="1"/>
    <m/>
  </r>
  <r>
    <d v="2023-02-28T00:00:00"/>
    <x v="2"/>
    <s v="Housekeeping Items"/>
    <s v="Standard"/>
    <x v="186"/>
    <x v="2"/>
    <x v="246"/>
    <n v="100"/>
    <n v="16500"/>
    <x v="239"/>
    <x v="2"/>
    <x v="1"/>
    <x v="0"/>
    <s v="Returned"/>
    <n v="591"/>
    <n v="165"/>
    <x v="16"/>
    <x v="4"/>
    <x v="15"/>
    <x v="4"/>
    <x v="7"/>
    <m/>
  </r>
  <r>
    <d v="2023-03-01T00:00:00"/>
    <x v="1"/>
    <s v="Glass &amp; Bottles"/>
    <s v="750ml"/>
    <x v="269"/>
    <x v="1"/>
    <x v="341"/>
    <n v="12"/>
    <n v="5796"/>
    <x v="323"/>
    <x v="0"/>
    <x v="1"/>
    <x v="1"/>
    <s v="Returned"/>
    <n v="641"/>
    <n v="483"/>
    <x v="10"/>
    <x v="8"/>
    <x v="10"/>
    <x v="4"/>
    <x v="2"/>
    <m/>
  </r>
  <r>
    <d v="2023-03-02T00:00:00"/>
    <x v="5"/>
    <s v="Cutlery"/>
    <s v="3pcs"/>
    <x v="23"/>
    <x v="5"/>
    <x v="135"/>
    <n v="4"/>
    <n v="1240"/>
    <x v="130"/>
    <x v="2"/>
    <x v="3"/>
    <x v="2"/>
    <s v="Delayed"/>
    <n v="844"/>
    <n v="310"/>
    <x v="17"/>
    <x v="11"/>
    <x v="16"/>
    <x v="1"/>
    <x v="7"/>
    <m/>
  </r>
  <r>
    <d v="2023-03-03T00:00:00"/>
    <x v="1"/>
    <s v="Glass &amp; Bottles"/>
    <s v="750ml"/>
    <x v="270"/>
    <x v="1"/>
    <x v="342"/>
    <n v="12"/>
    <n v="2568"/>
    <x v="324"/>
    <x v="2"/>
    <x v="0"/>
    <x v="2"/>
    <s v="Delivered"/>
    <n v="774"/>
    <n v="214"/>
    <x v="18"/>
    <x v="12"/>
    <x v="17"/>
    <x v="2"/>
    <x v="6"/>
    <m/>
  </r>
  <r>
    <d v="2023-03-04T00:00:00"/>
    <x v="3"/>
    <s v="Containers"/>
    <s v="1L"/>
    <x v="271"/>
    <x v="3"/>
    <x v="343"/>
    <n v="3"/>
    <n v="1089"/>
    <x v="325"/>
    <x v="2"/>
    <x v="1"/>
    <x v="2"/>
    <s v="Returned"/>
    <n v="810"/>
    <n v="363"/>
    <x v="7"/>
    <x v="5"/>
    <x v="7"/>
    <x v="1"/>
    <x v="11"/>
    <m/>
  </r>
  <r>
    <d v="2023-03-05T00:00:00"/>
    <x v="5"/>
    <s v="Cutlery"/>
    <s v="3pcs"/>
    <x v="272"/>
    <x v="5"/>
    <x v="344"/>
    <n v="4"/>
    <n v="332"/>
    <x v="326"/>
    <x v="0"/>
    <x v="0"/>
    <x v="2"/>
    <s v="Delayed"/>
    <n v="582"/>
    <n v="83"/>
    <x v="5"/>
    <x v="0"/>
    <x v="5"/>
    <x v="2"/>
    <x v="2"/>
    <m/>
  </r>
  <r>
    <d v="2023-03-06T00:00:00"/>
    <x v="2"/>
    <s v="Housekeeping Items"/>
    <s v="Standard"/>
    <x v="42"/>
    <x v="2"/>
    <x v="345"/>
    <n v="100"/>
    <n v="9100"/>
    <x v="327"/>
    <x v="0"/>
    <x v="2"/>
    <x v="1"/>
    <s v="Returned"/>
    <n v="878"/>
    <n v="91"/>
    <x v="18"/>
    <x v="12"/>
    <x v="17"/>
    <x v="4"/>
    <x v="10"/>
    <m/>
  </r>
  <r>
    <d v="2023-03-07T00:00:00"/>
    <x v="3"/>
    <s v="Containers"/>
    <s v="1L"/>
    <x v="72"/>
    <x v="3"/>
    <x v="346"/>
    <n v="3"/>
    <n v="552"/>
    <x v="328"/>
    <x v="1"/>
    <x v="3"/>
    <x v="2"/>
    <s v="Delivered"/>
    <n v="791"/>
    <n v="184"/>
    <x v="5"/>
    <x v="0"/>
    <x v="5"/>
    <x v="1"/>
    <x v="2"/>
    <m/>
  </r>
  <r>
    <d v="2023-03-08T00:00:00"/>
    <x v="5"/>
    <s v="Cutlery"/>
    <s v="3pcs"/>
    <x v="273"/>
    <x v="5"/>
    <x v="347"/>
    <n v="4"/>
    <n v="44"/>
    <x v="123"/>
    <x v="0"/>
    <x v="1"/>
    <x v="0"/>
    <s v="Delivered"/>
    <n v="859"/>
    <n v="11"/>
    <x v="15"/>
    <x v="10"/>
    <x v="14"/>
    <x v="2"/>
    <x v="4"/>
    <m/>
  </r>
  <r>
    <d v="2023-03-09T00:00:00"/>
    <x v="5"/>
    <s v="Cutlery"/>
    <s v="3pcs"/>
    <x v="274"/>
    <x v="5"/>
    <x v="348"/>
    <n v="4"/>
    <n v="476"/>
    <x v="329"/>
    <x v="2"/>
    <x v="3"/>
    <x v="2"/>
    <s v="Returned"/>
    <n v="966"/>
    <n v="119"/>
    <x v="6"/>
    <x v="4"/>
    <x v="6"/>
    <x v="1"/>
    <x v="7"/>
    <m/>
  </r>
  <r>
    <d v="2023-03-10T00:00:00"/>
    <x v="1"/>
    <s v="Glass &amp; Bottles"/>
    <s v="750ml"/>
    <x v="275"/>
    <x v="1"/>
    <x v="349"/>
    <n v="12"/>
    <n v="4812"/>
    <x v="330"/>
    <x v="2"/>
    <x v="1"/>
    <x v="0"/>
    <s v="Returned"/>
    <n v="835"/>
    <n v="401"/>
    <x v="19"/>
    <x v="13"/>
    <x v="18"/>
    <x v="2"/>
    <x v="1"/>
    <m/>
  </r>
  <r>
    <d v="2023-03-11T00:00:00"/>
    <x v="2"/>
    <s v="Housekeeping Items"/>
    <s v="Standard"/>
    <x v="276"/>
    <x v="2"/>
    <x v="350"/>
    <n v="100"/>
    <n v="10900"/>
    <x v="331"/>
    <x v="2"/>
    <x v="2"/>
    <x v="0"/>
    <s v="Delayed"/>
    <n v="879"/>
    <n v="109"/>
    <x v="18"/>
    <x v="12"/>
    <x v="17"/>
    <x v="2"/>
    <x v="7"/>
    <m/>
  </r>
  <r>
    <d v="2023-03-12T00:00:00"/>
    <x v="0"/>
    <s v="Takeaway Boxes"/>
    <s v="Large"/>
    <x v="277"/>
    <x v="0"/>
    <x v="351"/>
    <n v="5"/>
    <n v="2105"/>
    <x v="332"/>
    <x v="0"/>
    <x v="1"/>
    <x v="2"/>
    <s v="Delivered"/>
    <n v="728"/>
    <n v="421"/>
    <x v="12"/>
    <x v="3"/>
    <x v="10"/>
    <x v="3"/>
    <x v="2"/>
    <m/>
  </r>
  <r>
    <d v="2023-03-13T00:00:00"/>
    <x v="3"/>
    <s v="Containers"/>
    <s v="1L"/>
    <x v="115"/>
    <x v="3"/>
    <x v="352"/>
    <n v="3"/>
    <n v="420"/>
    <x v="333"/>
    <x v="1"/>
    <x v="0"/>
    <x v="2"/>
    <s v="Delayed"/>
    <n v="544"/>
    <n v="140"/>
    <x v="18"/>
    <x v="12"/>
    <x v="17"/>
    <x v="4"/>
    <x v="5"/>
    <m/>
  </r>
  <r>
    <d v="2023-03-14T00:00:00"/>
    <x v="1"/>
    <s v="Glass &amp; Bottles"/>
    <s v="750ml"/>
    <x v="77"/>
    <x v="1"/>
    <x v="81"/>
    <n v="12"/>
    <n v="3264"/>
    <x v="79"/>
    <x v="1"/>
    <x v="3"/>
    <x v="1"/>
    <s v="Returned"/>
    <n v="710"/>
    <n v="272"/>
    <x v="17"/>
    <x v="11"/>
    <x v="16"/>
    <x v="4"/>
    <x v="8"/>
    <m/>
  </r>
  <r>
    <d v="2023-03-15T00:00:00"/>
    <x v="5"/>
    <s v="Cutlery"/>
    <s v="3pcs"/>
    <x v="198"/>
    <x v="5"/>
    <x v="353"/>
    <n v="4"/>
    <n v="484"/>
    <x v="222"/>
    <x v="2"/>
    <x v="0"/>
    <x v="0"/>
    <s v="Returned"/>
    <n v="511"/>
    <n v="121"/>
    <x v="4"/>
    <x v="3"/>
    <x v="4"/>
    <x v="1"/>
    <x v="7"/>
    <m/>
  </r>
  <r>
    <d v="2023-03-16T00:00:00"/>
    <x v="4"/>
    <s v="Plates &amp; Bowls"/>
    <s v="500ml"/>
    <x v="82"/>
    <x v="4"/>
    <x v="354"/>
    <n v="1.5"/>
    <n v="261"/>
    <x v="334"/>
    <x v="0"/>
    <x v="0"/>
    <x v="0"/>
    <s v="Delivered"/>
    <n v="979"/>
    <n v="174"/>
    <x v="18"/>
    <x v="12"/>
    <x v="17"/>
    <x v="1"/>
    <x v="11"/>
    <m/>
  </r>
  <r>
    <d v="2023-03-17T00:00:00"/>
    <x v="2"/>
    <s v="Housekeeping Items"/>
    <s v="Standard"/>
    <x v="254"/>
    <x v="2"/>
    <x v="355"/>
    <n v="100"/>
    <n v="36200"/>
    <x v="335"/>
    <x v="0"/>
    <x v="1"/>
    <x v="2"/>
    <s v="Returned"/>
    <n v="534"/>
    <n v="362"/>
    <x v="13"/>
    <x v="2"/>
    <x v="12"/>
    <x v="2"/>
    <x v="0"/>
    <m/>
  </r>
  <r>
    <d v="2023-03-18T00:00:00"/>
    <x v="2"/>
    <s v="Housekeeping Items"/>
    <s v="Standard"/>
    <x v="162"/>
    <x v="2"/>
    <x v="356"/>
    <n v="100"/>
    <n v="36100"/>
    <x v="336"/>
    <x v="2"/>
    <x v="3"/>
    <x v="2"/>
    <s v="Delayed"/>
    <n v="616"/>
    <n v="361"/>
    <x v="12"/>
    <x v="3"/>
    <x v="10"/>
    <x v="3"/>
    <x v="2"/>
    <m/>
  </r>
  <r>
    <d v="2023-03-19T00:00:00"/>
    <x v="0"/>
    <s v="Takeaway Boxes"/>
    <s v="Large"/>
    <x v="278"/>
    <x v="0"/>
    <x v="219"/>
    <n v="5"/>
    <n v="500"/>
    <x v="337"/>
    <x v="1"/>
    <x v="2"/>
    <x v="1"/>
    <s v="Returned"/>
    <n v="534"/>
    <n v="100"/>
    <x v="16"/>
    <x v="4"/>
    <x v="15"/>
    <x v="0"/>
    <x v="1"/>
    <m/>
  </r>
  <r>
    <d v="2023-03-20T00:00:00"/>
    <x v="5"/>
    <s v="Cutlery"/>
    <s v="3pcs"/>
    <x v="279"/>
    <x v="5"/>
    <x v="357"/>
    <n v="4"/>
    <n v="844"/>
    <x v="338"/>
    <x v="0"/>
    <x v="3"/>
    <x v="1"/>
    <s v="Delivered"/>
    <n v="506"/>
    <n v="211"/>
    <x v="13"/>
    <x v="2"/>
    <x v="12"/>
    <x v="0"/>
    <x v="1"/>
    <m/>
  </r>
  <r>
    <d v="2023-03-21T00:00:00"/>
    <x v="1"/>
    <s v="Glass &amp; Bottles"/>
    <s v="750ml"/>
    <x v="145"/>
    <x v="1"/>
    <x v="358"/>
    <n v="12"/>
    <n v="2400"/>
    <x v="339"/>
    <x v="0"/>
    <x v="2"/>
    <x v="0"/>
    <s v="Returned"/>
    <n v="665"/>
    <n v="200"/>
    <x v="1"/>
    <x v="1"/>
    <x v="1"/>
    <x v="1"/>
    <x v="0"/>
    <m/>
  </r>
  <r>
    <d v="2023-03-22T00:00:00"/>
    <x v="1"/>
    <s v="Glass &amp; Bottles"/>
    <s v="750ml"/>
    <x v="134"/>
    <x v="1"/>
    <x v="359"/>
    <n v="12"/>
    <n v="2880"/>
    <x v="340"/>
    <x v="1"/>
    <x v="1"/>
    <x v="0"/>
    <s v="Delayed"/>
    <n v="589"/>
    <n v="240"/>
    <x v="5"/>
    <x v="0"/>
    <x v="5"/>
    <x v="3"/>
    <x v="1"/>
    <m/>
  </r>
  <r>
    <d v="2023-03-23T00:00:00"/>
    <x v="0"/>
    <s v="Takeaway Boxes"/>
    <s v="Large"/>
    <x v="216"/>
    <x v="0"/>
    <x v="360"/>
    <n v="5"/>
    <n v="865"/>
    <x v="341"/>
    <x v="0"/>
    <x v="1"/>
    <x v="2"/>
    <s v="Returned"/>
    <n v="944"/>
    <n v="173"/>
    <x v="4"/>
    <x v="3"/>
    <x v="4"/>
    <x v="1"/>
    <x v="0"/>
    <m/>
  </r>
  <r>
    <d v="2023-03-24T00:00:00"/>
    <x v="2"/>
    <s v="Housekeeping Items"/>
    <s v="Standard"/>
    <x v="280"/>
    <x v="2"/>
    <x v="361"/>
    <n v="100"/>
    <n v="18000"/>
    <x v="342"/>
    <x v="1"/>
    <x v="2"/>
    <x v="1"/>
    <s v="Delivered"/>
    <n v="698"/>
    <n v="180"/>
    <x v="8"/>
    <x v="6"/>
    <x v="8"/>
    <x v="4"/>
    <x v="6"/>
    <m/>
  </r>
  <r>
    <d v="2023-03-25T00:00:00"/>
    <x v="1"/>
    <s v="Glass &amp; Bottles"/>
    <s v="750ml"/>
    <x v="261"/>
    <x v="1"/>
    <x v="362"/>
    <n v="12"/>
    <n v="2244"/>
    <x v="343"/>
    <x v="2"/>
    <x v="2"/>
    <x v="1"/>
    <s v="Delivered"/>
    <n v="975"/>
    <n v="187"/>
    <x v="4"/>
    <x v="3"/>
    <x v="4"/>
    <x v="3"/>
    <x v="9"/>
    <m/>
  </r>
  <r>
    <d v="2023-03-26T00:00:00"/>
    <x v="5"/>
    <s v="Cutlery"/>
    <s v="3pcs"/>
    <x v="131"/>
    <x v="5"/>
    <x v="205"/>
    <n v="4"/>
    <n v="1560"/>
    <x v="344"/>
    <x v="0"/>
    <x v="2"/>
    <x v="0"/>
    <s v="Delivered"/>
    <n v="873"/>
    <n v="390"/>
    <x v="15"/>
    <x v="10"/>
    <x v="14"/>
    <x v="0"/>
    <x v="5"/>
    <m/>
  </r>
  <r>
    <d v="2023-03-27T00:00:00"/>
    <x v="2"/>
    <s v="Housekeeping Items"/>
    <s v="Standard"/>
    <x v="47"/>
    <x v="2"/>
    <x v="363"/>
    <n v="100"/>
    <n v="5800"/>
    <x v="345"/>
    <x v="1"/>
    <x v="1"/>
    <x v="2"/>
    <s v="Returned"/>
    <n v="980"/>
    <n v="58"/>
    <x v="18"/>
    <x v="12"/>
    <x v="17"/>
    <x v="3"/>
    <x v="8"/>
    <m/>
  </r>
  <r>
    <d v="2023-03-28T00:00:00"/>
    <x v="4"/>
    <s v="Plates &amp; Bowls"/>
    <s v="500ml"/>
    <x v="88"/>
    <x v="4"/>
    <x v="364"/>
    <n v="1.5"/>
    <n v="244.5"/>
    <x v="346"/>
    <x v="2"/>
    <x v="1"/>
    <x v="2"/>
    <s v="Delayed"/>
    <n v="655"/>
    <n v="163"/>
    <x v="15"/>
    <x v="10"/>
    <x v="14"/>
    <x v="0"/>
    <x v="5"/>
    <m/>
  </r>
  <r>
    <d v="2023-03-29T00:00:00"/>
    <x v="0"/>
    <s v="Takeaway Boxes"/>
    <s v="Large"/>
    <x v="79"/>
    <x v="0"/>
    <x v="83"/>
    <n v="5"/>
    <n v="65"/>
    <x v="81"/>
    <x v="0"/>
    <x v="3"/>
    <x v="1"/>
    <s v="Returned"/>
    <n v="886"/>
    <n v="13"/>
    <x v="14"/>
    <x v="6"/>
    <x v="13"/>
    <x v="4"/>
    <x v="11"/>
    <m/>
  </r>
  <r>
    <d v="2023-03-30T00:00:00"/>
    <x v="0"/>
    <s v="Takeaway Boxes"/>
    <s v="Large"/>
    <x v="169"/>
    <x v="0"/>
    <x v="365"/>
    <n v="5"/>
    <n v="635"/>
    <x v="347"/>
    <x v="0"/>
    <x v="2"/>
    <x v="1"/>
    <s v="Delivered"/>
    <n v="992"/>
    <n v="127"/>
    <x v="16"/>
    <x v="4"/>
    <x v="15"/>
    <x v="3"/>
    <x v="1"/>
    <m/>
  </r>
  <r>
    <d v="2023-03-31T00:00:00"/>
    <x v="3"/>
    <s v="Containers"/>
    <s v="1L"/>
    <x v="164"/>
    <x v="3"/>
    <x v="366"/>
    <n v="3"/>
    <n v="1128"/>
    <x v="348"/>
    <x v="1"/>
    <x v="1"/>
    <x v="1"/>
    <s v="Delayed"/>
    <n v="742"/>
    <n v="376"/>
    <x v="6"/>
    <x v="4"/>
    <x v="6"/>
    <x v="0"/>
    <x v="10"/>
    <m/>
  </r>
  <r>
    <d v="2023-04-01T00:00:00"/>
    <x v="4"/>
    <s v="Plates &amp; Bowls"/>
    <s v="500ml"/>
    <x v="59"/>
    <x v="4"/>
    <x v="367"/>
    <n v="1.5"/>
    <n v="580.5"/>
    <x v="349"/>
    <x v="2"/>
    <x v="2"/>
    <x v="0"/>
    <s v="Returned"/>
    <n v="922"/>
    <n v="387"/>
    <x v="5"/>
    <x v="0"/>
    <x v="5"/>
    <x v="3"/>
    <x v="2"/>
    <m/>
  </r>
  <r>
    <d v="2023-04-02T00:00:00"/>
    <x v="3"/>
    <s v="Containers"/>
    <s v="1L"/>
    <x v="177"/>
    <x v="3"/>
    <x v="368"/>
    <n v="3"/>
    <n v="1017"/>
    <x v="350"/>
    <x v="1"/>
    <x v="3"/>
    <x v="0"/>
    <s v="Returned"/>
    <n v="651"/>
    <n v="339"/>
    <x v="18"/>
    <x v="12"/>
    <x v="17"/>
    <x v="2"/>
    <x v="1"/>
    <m/>
  </r>
  <r>
    <d v="2023-04-03T00:00:00"/>
    <x v="1"/>
    <s v="Glass &amp; Bottles"/>
    <s v="750ml"/>
    <x v="60"/>
    <x v="1"/>
    <x v="61"/>
    <n v="12"/>
    <n v="768"/>
    <x v="60"/>
    <x v="2"/>
    <x v="2"/>
    <x v="0"/>
    <s v="Returned"/>
    <n v="668"/>
    <n v="64"/>
    <x v="12"/>
    <x v="3"/>
    <x v="10"/>
    <x v="1"/>
    <x v="3"/>
    <m/>
  </r>
  <r>
    <d v="2023-04-04T00:00:00"/>
    <x v="1"/>
    <s v="Glass &amp; Bottles"/>
    <s v="750ml"/>
    <x v="232"/>
    <x v="1"/>
    <x v="369"/>
    <n v="12"/>
    <n v="5268"/>
    <x v="351"/>
    <x v="1"/>
    <x v="1"/>
    <x v="2"/>
    <s v="Delivered"/>
    <n v="634"/>
    <n v="439"/>
    <x v="18"/>
    <x v="12"/>
    <x v="17"/>
    <x v="4"/>
    <x v="0"/>
    <m/>
  </r>
  <r>
    <d v="2023-04-05T00:00:00"/>
    <x v="2"/>
    <s v="Housekeeping Items"/>
    <s v="Standard"/>
    <x v="281"/>
    <x v="2"/>
    <x v="370"/>
    <n v="100"/>
    <n v="23300"/>
    <x v="352"/>
    <x v="2"/>
    <x v="0"/>
    <x v="0"/>
    <s v="Delayed"/>
    <n v="677"/>
    <n v="233"/>
    <x v="14"/>
    <x v="6"/>
    <x v="13"/>
    <x v="4"/>
    <x v="2"/>
    <m/>
  </r>
  <r>
    <d v="2023-04-06T00:00:00"/>
    <x v="3"/>
    <s v="Containers"/>
    <s v="1L"/>
    <x v="158"/>
    <x v="3"/>
    <x v="178"/>
    <n v="3"/>
    <n v="1425"/>
    <x v="173"/>
    <x v="0"/>
    <x v="0"/>
    <x v="1"/>
    <s v="Delayed"/>
    <n v="919"/>
    <n v="475"/>
    <x v="19"/>
    <x v="13"/>
    <x v="18"/>
    <x v="1"/>
    <x v="0"/>
    <m/>
  </r>
  <r>
    <d v="2023-04-07T00:00:00"/>
    <x v="1"/>
    <s v="Glass &amp; Bottles"/>
    <s v="750ml"/>
    <x v="119"/>
    <x v="1"/>
    <x v="371"/>
    <n v="12"/>
    <n v="3084"/>
    <x v="353"/>
    <x v="0"/>
    <x v="3"/>
    <x v="1"/>
    <s v="Returned"/>
    <n v="717"/>
    <n v="257"/>
    <x v="0"/>
    <x v="0"/>
    <x v="0"/>
    <x v="1"/>
    <x v="4"/>
    <m/>
  </r>
  <r>
    <d v="2023-04-08T00:00:00"/>
    <x v="1"/>
    <s v="Glass &amp; Bottles"/>
    <s v="750ml"/>
    <x v="134"/>
    <x v="1"/>
    <x v="359"/>
    <n v="12"/>
    <n v="2880"/>
    <x v="340"/>
    <x v="2"/>
    <x v="3"/>
    <x v="2"/>
    <s v="Returned"/>
    <n v="644"/>
    <n v="240"/>
    <x v="12"/>
    <x v="3"/>
    <x v="10"/>
    <x v="2"/>
    <x v="2"/>
    <m/>
  </r>
  <r>
    <d v="2023-04-09T00:00:00"/>
    <x v="1"/>
    <s v="Glass &amp; Bottles"/>
    <s v="750ml"/>
    <x v="282"/>
    <x v="1"/>
    <x v="372"/>
    <n v="12"/>
    <n v="612"/>
    <x v="354"/>
    <x v="0"/>
    <x v="1"/>
    <x v="0"/>
    <s v="Returned"/>
    <n v="620"/>
    <n v="51"/>
    <x v="1"/>
    <x v="1"/>
    <x v="1"/>
    <x v="2"/>
    <x v="0"/>
    <m/>
  </r>
  <r>
    <d v="2023-04-10T00:00:00"/>
    <x v="4"/>
    <s v="Plates &amp; Bowls"/>
    <s v="500ml"/>
    <x v="261"/>
    <x v="4"/>
    <x v="373"/>
    <n v="1.5"/>
    <n v="280.5"/>
    <x v="355"/>
    <x v="1"/>
    <x v="0"/>
    <x v="0"/>
    <s v="Returned"/>
    <n v="656"/>
    <n v="187"/>
    <x v="17"/>
    <x v="11"/>
    <x v="16"/>
    <x v="4"/>
    <x v="1"/>
    <m/>
  </r>
  <r>
    <d v="2023-04-11T00:00:00"/>
    <x v="2"/>
    <s v="Housekeeping Items"/>
    <s v="Standard"/>
    <x v="172"/>
    <x v="2"/>
    <x v="374"/>
    <n v="100"/>
    <n v="7400"/>
    <x v="356"/>
    <x v="1"/>
    <x v="0"/>
    <x v="2"/>
    <s v="Delayed"/>
    <n v="716"/>
    <n v="74"/>
    <x v="10"/>
    <x v="8"/>
    <x v="10"/>
    <x v="1"/>
    <x v="7"/>
    <m/>
  </r>
  <r>
    <d v="2023-04-12T00:00:00"/>
    <x v="1"/>
    <s v="Glass &amp; Bottles"/>
    <s v="750ml"/>
    <x v="283"/>
    <x v="1"/>
    <x v="375"/>
    <n v="12"/>
    <n v="4368"/>
    <x v="357"/>
    <x v="1"/>
    <x v="1"/>
    <x v="0"/>
    <s v="Returned"/>
    <n v="823"/>
    <n v="364"/>
    <x v="7"/>
    <x v="5"/>
    <x v="7"/>
    <x v="2"/>
    <x v="7"/>
    <m/>
  </r>
  <r>
    <d v="2023-04-13T00:00:00"/>
    <x v="0"/>
    <s v="Takeaway Boxes"/>
    <s v="Large"/>
    <x v="284"/>
    <x v="0"/>
    <x v="376"/>
    <n v="5"/>
    <n v="695"/>
    <x v="358"/>
    <x v="2"/>
    <x v="2"/>
    <x v="1"/>
    <s v="Returned"/>
    <n v="535"/>
    <n v="139"/>
    <x v="11"/>
    <x v="9"/>
    <x v="11"/>
    <x v="0"/>
    <x v="0"/>
    <m/>
  </r>
  <r>
    <d v="2023-04-14T00:00:00"/>
    <x v="3"/>
    <s v="Containers"/>
    <s v="1L"/>
    <x v="285"/>
    <x v="3"/>
    <x v="377"/>
    <n v="3"/>
    <n v="345"/>
    <x v="359"/>
    <x v="0"/>
    <x v="2"/>
    <x v="0"/>
    <s v="Delayed"/>
    <n v="1000"/>
    <n v="115"/>
    <x v="1"/>
    <x v="1"/>
    <x v="1"/>
    <x v="4"/>
    <x v="2"/>
    <m/>
  </r>
  <r>
    <d v="2023-04-15T00:00:00"/>
    <x v="1"/>
    <s v="Glass &amp; Bottles"/>
    <s v="750ml"/>
    <x v="163"/>
    <x v="1"/>
    <x v="378"/>
    <n v="12"/>
    <n v="3732"/>
    <x v="360"/>
    <x v="1"/>
    <x v="2"/>
    <x v="2"/>
    <s v="Returned"/>
    <n v="632"/>
    <n v="311"/>
    <x v="4"/>
    <x v="3"/>
    <x v="4"/>
    <x v="1"/>
    <x v="7"/>
    <m/>
  </r>
  <r>
    <d v="2023-04-16T00:00:00"/>
    <x v="1"/>
    <s v="Glass &amp; Bottles"/>
    <s v="750ml"/>
    <x v="85"/>
    <x v="1"/>
    <x v="379"/>
    <n v="12"/>
    <n v="2328"/>
    <x v="361"/>
    <x v="1"/>
    <x v="3"/>
    <x v="1"/>
    <s v="Delayed"/>
    <n v="991"/>
    <n v="194"/>
    <x v="10"/>
    <x v="8"/>
    <x v="10"/>
    <x v="3"/>
    <x v="5"/>
    <m/>
  </r>
  <r>
    <d v="2023-04-17T00:00:00"/>
    <x v="2"/>
    <s v="Housekeeping Items"/>
    <s v="Standard"/>
    <x v="25"/>
    <x v="2"/>
    <x v="380"/>
    <n v="100"/>
    <n v="43100"/>
    <x v="362"/>
    <x v="0"/>
    <x v="0"/>
    <x v="2"/>
    <s v="Returned"/>
    <n v="584"/>
    <n v="431"/>
    <x v="8"/>
    <x v="6"/>
    <x v="8"/>
    <x v="3"/>
    <x v="9"/>
    <m/>
  </r>
  <r>
    <d v="2023-04-18T00:00:00"/>
    <x v="1"/>
    <s v="Glass &amp; Bottles"/>
    <s v="750ml"/>
    <x v="187"/>
    <x v="1"/>
    <x v="381"/>
    <n v="12"/>
    <n v="3840"/>
    <x v="363"/>
    <x v="1"/>
    <x v="0"/>
    <x v="0"/>
    <s v="Returned"/>
    <n v="620"/>
    <n v="320"/>
    <x v="10"/>
    <x v="8"/>
    <x v="10"/>
    <x v="4"/>
    <x v="8"/>
    <m/>
  </r>
  <r>
    <d v="2023-04-19T00:00:00"/>
    <x v="4"/>
    <s v="Plates &amp; Bowls"/>
    <s v="500ml"/>
    <x v="49"/>
    <x v="4"/>
    <x v="382"/>
    <n v="1.5"/>
    <n v="387"/>
    <x v="364"/>
    <x v="0"/>
    <x v="1"/>
    <x v="1"/>
    <s v="Delivered"/>
    <n v="850"/>
    <n v="258"/>
    <x v="12"/>
    <x v="3"/>
    <x v="10"/>
    <x v="1"/>
    <x v="9"/>
    <m/>
  </r>
  <r>
    <d v="2023-04-20T00:00:00"/>
    <x v="3"/>
    <s v="Containers"/>
    <s v="1L"/>
    <x v="130"/>
    <x v="3"/>
    <x v="137"/>
    <n v="3"/>
    <n v="993"/>
    <x v="133"/>
    <x v="0"/>
    <x v="3"/>
    <x v="2"/>
    <s v="Delayed"/>
    <n v="805"/>
    <n v="331"/>
    <x v="11"/>
    <x v="9"/>
    <x v="11"/>
    <x v="1"/>
    <x v="2"/>
    <m/>
  </r>
  <r>
    <d v="2023-04-21T00:00:00"/>
    <x v="2"/>
    <s v="Housekeeping Items"/>
    <s v="Standard"/>
    <x v="130"/>
    <x v="2"/>
    <x v="383"/>
    <n v="100"/>
    <n v="33100"/>
    <x v="365"/>
    <x v="0"/>
    <x v="0"/>
    <x v="0"/>
    <s v="Delivered"/>
    <n v="641"/>
    <n v="331"/>
    <x v="7"/>
    <x v="5"/>
    <x v="7"/>
    <x v="4"/>
    <x v="1"/>
    <m/>
  </r>
  <r>
    <d v="2023-04-22T00:00:00"/>
    <x v="2"/>
    <s v="Housekeeping Items"/>
    <s v="Standard"/>
    <x v="140"/>
    <x v="2"/>
    <x v="149"/>
    <n v="100"/>
    <n v="36600"/>
    <x v="145"/>
    <x v="2"/>
    <x v="3"/>
    <x v="0"/>
    <s v="Delayed"/>
    <n v="703"/>
    <n v="366"/>
    <x v="12"/>
    <x v="3"/>
    <x v="10"/>
    <x v="1"/>
    <x v="8"/>
    <m/>
  </r>
  <r>
    <d v="2023-04-23T00:00:00"/>
    <x v="3"/>
    <s v="Containers"/>
    <s v="1L"/>
    <x v="286"/>
    <x v="3"/>
    <x v="384"/>
    <n v="3"/>
    <n v="90"/>
    <x v="366"/>
    <x v="1"/>
    <x v="1"/>
    <x v="0"/>
    <s v="Returned"/>
    <n v="941"/>
    <n v="30"/>
    <x v="11"/>
    <x v="9"/>
    <x v="11"/>
    <x v="0"/>
    <x v="1"/>
    <m/>
  </r>
  <r>
    <d v="2023-04-24T00:00:00"/>
    <x v="5"/>
    <s v="Cutlery"/>
    <s v="3pcs"/>
    <x v="257"/>
    <x v="5"/>
    <x v="385"/>
    <n v="4"/>
    <n v="412"/>
    <x v="367"/>
    <x v="1"/>
    <x v="1"/>
    <x v="2"/>
    <s v="Delivered"/>
    <n v="535"/>
    <n v="103"/>
    <x v="14"/>
    <x v="6"/>
    <x v="13"/>
    <x v="0"/>
    <x v="10"/>
    <m/>
  </r>
  <r>
    <d v="2023-04-25T00:00:00"/>
    <x v="4"/>
    <s v="Plates &amp; Bowls"/>
    <s v="500ml"/>
    <x v="219"/>
    <x v="4"/>
    <x v="259"/>
    <n v="1.5"/>
    <n v="334.5"/>
    <x v="252"/>
    <x v="2"/>
    <x v="1"/>
    <x v="1"/>
    <s v="Delayed"/>
    <n v="935"/>
    <n v="223"/>
    <x v="19"/>
    <x v="13"/>
    <x v="18"/>
    <x v="4"/>
    <x v="9"/>
    <m/>
  </r>
  <r>
    <d v="2023-04-26T00:00:00"/>
    <x v="3"/>
    <s v="Containers"/>
    <s v="1L"/>
    <x v="143"/>
    <x v="3"/>
    <x v="386"/>
    <n v="3"/>
    <n v="351"/>
    <x v="184"/>
    <x v="1"/>
    <x v="3"/>
    <x v="0"/>
    <s v="Delivered"/>
    <n v="624"/>
    <n v="117"/>
    <x v="4"/>
    <x v="3"/>
    <x v="4"/>
    <x v="4"/>
    <x v="5"/>
    <m/>
  </r>
  <r>
    <d v="2023-04-27T00:00:00"/>
    <x v="2"/>
    <s v="Housekeeping Items"/>
    <s v="Standard"/>
    <x v="253"/>
    <x v="2"/>
    <x v="387"/>
    <n v="100"/>
    <n v="2100"/>
    <x v="368"/>
    <x v="2"/>
    <x v="3"/>
    <x v="2"/>
    <s v="Returned"/>
    <n v="720"/>
    <n v="21"/>
    <x v="1"/>
    <x v="1"/>
    <x v="1"/>
    <x v="3"/>
    <x v="9"/>
    <m/>
  </r>
  <r>
    <d v="2023-04-28T00:00:00"/>
    <x v="5"/>
    <s v="Cutlery"/>
    <s v="3pcs"/>
    <x v="287"/>
    <x v="5"/>
    <x v="388"/>
    <n v="4"/>
    <n v="524"/>
    <x v="285"/>
    <x v="1"/>
    <x v="2"/>
    <x v="1"/>
    <s v="Delayed"/>
    <n v="761"/>
    <n v="131"/>
    <x v="6"/>
    <x v="4"/>
    <x v="6"/>
    <x v="2"/>
    <x v="9"/>
    <m/>
  </r>
  <r>
    <d v="2023-04-29T00:00:00"/>
    <x v="4"/>
    <s v="Plates &amp; Bowls"/>
    <s v="500ml"/>
    <x v="288"/>
    <x v="4"/>
    <x v="389"/>
    <n v="1.5"/>
    <n v="375"/>
    <x v="369"/>
    <x v="1"/>
    <x v="3"/>
    <x v="0"/>
    <s v="Delivered"/>
    <n v="663"/>
    <n v="250"/>
    <x v="3"/>
    <x v="2"/>
    <x v="3"/>
    <x v="4"/>
    <x v="8"/>
    <m/>
  </r>
  <r>
    <d v="2023-04-30T00:00:00"/>
    <x v="5"/>
    <s v="Cutlery"/>
    <s v="3pcs"/>
    <x v="216"/>
    <x v="5"/>
    <x v="390"/>
    <n v="4"/>
    <n v="692"/>
    <x v="248"/>
    <x v="0"/>
    <x v="3"/>
    <x v="2"/>
    <s v="Delayed"/>
    <n v="676"/>
    <n v="173"/>
    <x v="14"/>
    <x v="6"/>
    <x v="13"/>
    <x v="1"/>
    <x v="1"/>
    <m/>
  </r>
  <r>
    <d v="2023-05-01T00:00:00"/>
    <x v="1"/>
    <s v="Glass &amp; Bottles"/>
    <s v="750ml"/>
    <x v="255"/>
    <x v="1"/>
    <x v="391"/>
    <n v="12"/>
    <n v="5832"/>
    <x v="370"/>
    <x v="1"/>
    <x v="2"/>
    <x v="0"/>
    <s v="Returned"/>
    <n v="558"/>
    <n v="486"/>
    <x v="11"/>
    <x v="9"/>
    <x v="11"/>
    <x v="1"/>
    <x v="5"/>
    <m/>
  </r>
  <r>
    <d v="2023-05-02T00:00:00"/>
    <x v="1"/>
    <s v="Glass &amp; Bottles"/>
    <s v="750ml"/>
    <x v="238"/>
    <x v="1"/>
    <x v="392"/>
    <n v="12"/>
    <n v="636"/>
    <x v="371"/>
    <x v="1"/>
    <x v="2"/>
    <x v="1"/>
    <s v="Returned"/>
    <n v="656"/>
    <n v="53"/>
    <x v="11"/>
    <x v="9"/>
    <x v="11"/>
    <x v="0"/>
    <x v="3"/>
    <m/>
  </r>
  <r>
    <d v="2023-05-03T00:00:00"/>
    <x v="5"/>
    <s v="Cutlery"/>
    <s v="3pcs"/>
    <x v="82"/>
    <x v="5"/>
    <x v="86"/>
    <n v="4"/>
    <n v="696"/>
    <x v="84"/>
    <x v="1"/>
    <x v="3"/>
    <x v="0"/>
    <s v="Delivered"/>
    <n v="809"/>
    <n v="174"/>
    <x v="5"/>
    <x v="0"/>
    <x v="5"/>
    <x v="4"/>
    <x v="0"/>
    <m/>
  </r>
  <r>
    <d v="2023-05-04T00:00:00"/>
    <x v="4"/>
    <s v="Plates &amp; Bowls"/>
    <s v="500ml"/>
    <x v="220"/>
    <x v="4"/>
    <x v="260"/>
    <n v="1.5"/>
    <n v="46.5"/>
    <x v="253"/>
    <x v="2"/>
    <x v="2"/>
    <x v="0"/>
    <s v="Delivered"/>
    <n v="576"/>
    <n v="31"/>
    <x v="0"/>
    <x v="0"/>
    <x v="0"/>
    <x v="3"/>
    <x v="9"/>
    <m/>
  </r>
  <r>
    <d v="2023-05-05T00:00:00"/>
    <x v="0"/>
    <s v="Takeaway Boxes"/>
    <s v="Large"/>
    <x v="289"/>
    <x v="0"/>
    <x v="393"/>
    <n v="5"/>
    <n v="665"/>
    <x v="372"/>
    <x v="0"/>
    <x v="0"/>
    <x v="2"/>
    <s v="Returned"/>
    <n v="753"/>
    <n v="133"/>
    <x v="10"/>
    <x v="8"/>
    <x v="10"/>
    <x v="1"/>
    <x v="2"/>
    <m/>
  </r>
  <r>
    <d v="2023-05-06T00:00:00"/>
    <x v="5"/>
    <s v="Cutlery"/>
    <s v="3pcs"/>
    <x v="171"/>
    <x v="5"/>
    <x v="394"/>
    <n v="4"/>
    <n v="1408"/>
    <x v="191"/>
    <x v="2"/>
    <x v="2"/>
    <x v="0"/>
    <s v="Delivered"/>
    <n v="862"/>
    <n v="352"/>
    <x v="17"/>
    <x v="11"/>
    <x v="16"/>
    <x v="0"/>
    <x v="10"/>
    <m/>
  </r>
  <r>
    <d v="2023-05-07T00:00:00"/>
    <x v="4"/>
    <s v="Plates &amp; Bowls"/>
    <s v="500ml"/>
    <x v="85"/>
    <x v="4"/>
    <x v="395"/>
    <n v="1.5"/>
    <n v="291"/>
    <x v="373"/>
    <x v="0"/>
    <x v="2"/>
    <x v="0"/>
    <s v="Delayed"/>
    <n v="987"/>
    <n v="194"/>
    <x v="14"/>
    <x v="6"/>
    <x v="13"/>
    <x v="0"/>
    <x v="5"/>
    <m/>
  </r>
  <r>
    <d v="2023-05-08T00:00:00"/>
    <x v="0"/>
    <s v="Takeaway Boxes"/>
    <s v="Large"/>
    <x v="290"/>
    <x v="0"/>
    <x v="396"/>
    <n v="5"/>
    <n v="1940"/>
    <x v="374"/>
    <x v="1"/>
    <x v="3"/>
    <x v="0"/>
    <s v="Returned"/>
    <n v="829"/>
    <n v="388"/>
    <x v="19"/>
    <x v="13"/>
    <x v="18"/>
    <x v="1"/>
    <x v="8"/>
    <m/>
  </r>
  <r>
    <d v="2023-05-09T00:00:00"/>
    <x v="3"/>
    <s v="Containers"/>
    <s v="1L"/>
    <x v="291"/>
    <x v="3"/>
    <x v="176"/>
    <n v="3"/>
    <n v="336"/>
    <x v="171"/>
    <x v="0"/>
    <x v="2"/>
    <x v="0"/>
    <s v="Delivered"/>
    <n v="986"/>
    <n v="112"/>
    <x v="18"/>
    <x v="12"/>
    <x v="17"/>
    <x v="0"/>
    <x v="5"/>
    <m/>
  </r>
  <r>
    <d v="2023-05-10T00:00:00"/>
    <x v="3"/>
    <s v="Containers"/>
    <s v="1L"/>
    <x v="227"/>
    <x v="3"/>
    <x v="269"/>
    <n v="3"/>
    <n v="1188"/>
    <x v="261"/>
    <x v="2"/>
    <x v="3"/>
    <x v="2"/>
    <s v="Delayed"/>
    <n v="927"/>
    <n v="396"/>
    <x v="14"/>
    <x v="6"/>
    <x v="13"/>
    <x v="2"/>
    <x v="11"/>
    <m/>
  </r>
  <r>
    <d v="2023-05-11T00:00:00"/>
    <x v="2"/>
    <s v="Housekeeping Items"/>
    <s v="Standard"/>
    <x v="102"/>
    <x v="2"/>
    <x v="397"/>
    <n v="100"/>
    <n v="37700"/>
    <x v="375"/>
    <x v="0"/>
    <x v="2"/>
    <x v="1"/>
    <s v="Delivered"/>
    <n v="697"/>
    <n v="377"/>
    <x v="2"/>
    <x v="2"/>
    <x v="2"/>
    <x v="1"/>
    <x v="5"/>
    <m/>
  </r>
  <r>
    <d v="2023-05-12T00:00:00"/>
    <x v="4"/>
    <s v="Plates &amp; Bowls"/>
    <s v="500ml"/>
    <x v="292"/>
    <x v="4"/>
    <x v="398"/>
    <n v="1.5"/>
    <n v="723"/>
    <x v="197"/>
    <x v="1"/>
    <x v="0"/>
    <x v="1"/>
    <s v="Delivered"/>
    <n v="976"/>
    <n v="482"/>
    <x v="6"/>
    <x v="4"/>
    <x v="6"/>
    <x v="1"/>
    <x v="3"/>
    <m/>
  </r>
  <r>
    <d v="2023-05-13T00:00:00"/>
    <x v="0"/>
    <s v="Takeaway Boxes"/>
    <s v="Large"/>
    <x v="244"/>
    <x v="0"/>
    <x v="399"/>
    <n v="5"/>
    <n v="485"/>
    <x v="376"/>
    <x v="1"/>
    <x v="1"/>
    <x v="1"/>
    <s v="Returned"/>
    <n v="867"/>
    <n v="97"/>
    <x v="12"/>
    <x v="3"/>
    <x v="10"/>
    <x v="1"/>
    <x v="7"/>
    <m/>
  </r>
  <r>
    <d v="2023-05-14T00:00:00"/>
    <x v="1"/>
    <s v="Glass &amp; Bottles"/>
    <s v="750ml"/>
    <x v="8"/>
    <x v="1"/>
    <x v="8"/>
    <n v="12"/>
    <n v="2196"/>
    <x v="8"/>
    <x v="2"/>
    <x v="2"/>
    <x v="2"/>
    <s v="Returned"/>
    <n v="903"/>
    <n v="183"/>
    <x v="17"/>
    <x v="11"/>
    <x v="16"/>
    <x v="3"/>
    <x v="0"/>
    <m/>
  </r>
  <r>
    <d v="2023-05-15T00:00:00"/>
    <x v="2"/>
    <s v="Housekeeping Items"/>
    <s v="Standard"/>
    <x v="293"/>
    <x v="2"/>
    <x v="400"/>
    <n v="100"/>
    <n v="1500"/>
    <x v="377"/>
    <x v="2"/>
    <x v="3"/>
    <x v="1"/>
    <s v="Returned"/>
    <n v="781"/>
    <n v="15"/>
    <x v="15"/>
    <x v="10"/>
    <x v="14"/>
    <x v="2"/>
    <x v="10"/>
    <m/>
  </r>
  <r>
    <d v="2023-05-16T00:00:00"/>
    <x v="3"/>
    <s v="Containers"/>
    <s v="1L"/>
    <x v="294"/>
    <x v="3"/>
    <x v="401"/>
    <n v="3"/>
    <n v="516"/>
    <x v="378"/>
    <x v="1"/>
    <x v="1"/>
    <x v="2"/>
    <s v="Returned"/>
    <n v="900"/>
    <n v="172"/>
    <x v="19"/>
    <x v="13"/>
    <x v="18"/>
    <x v="2"/>
    <x v="11"/>
    <m/>
  </r>
  <r>
    <d v="2023-05-17T00:00:00"/>
    <x v="1"/>
    <s v="Glass &amp; Bottles"/>
    <s v="750ml"/>
    <x v="245"/>
    <x v="1"/>
    <x v="402"/>
    <n v="12"/>
    <n v="3072"/>
    <x v="379"/>
    <x v="1"/>
    <x v="2"/>
    <x v="2"/>
    <s v="Delayed"/>
    <n v="713"/>
    <n v="256"/>
    <x v="4"/>
    <x v="3"/>
    <x v="4"/>
    <x v="1"/>
    <x v="4"/>
    <m/>
  </r>
  <r>
    <d v="2023-05-18T00:00:00"/>
    <x v="2"/>
    <s v="Housekeeping Items"/>
    <s v="Standard"/>
    <x v="233"/>
    <x v="2"/>
    <x v="403"/>
    <n v="100"/>
    <n v="41700"/>
    <x v="380"/>
    <x v="0"/>
    <x v="0"/>
    <x v="0"/>
    <s v="Delivered"/>
    <n v="818"/>
    <n v="417"/>
    <x v="17"/>
    <x v="11"/>
    <x v="16"/>
    <x v="0"/>
    <x v="4"/>
    <m/>
  </r>
  <r>
    <d v="2023-05-19T00:00:00"/>
    <x v="5"/>
    <s v="Cutlery"/>
    <s v="3pcs"/>
    <x v="208"/>
    <x v="5"/>
    <x v="242"/>
    <n v="4"/>
    <n v="792"/>
    <x v="235"/>
    <x v="0"/>
    <x v="2"/>
    <x v="0"/>
    <s v="Delayed"/>
    <n v="669"/>
    <n v="198"/>
    <x v="18"/>
    <x v="12"/>
    <x v="17"/>
    <x v="4"/>
    <x v="2"/>
    <m/>
  </r>
  <r>
    <d v="2023-05-20T00:00:00"/>
    <x v="2"/>
    <s v="Housekeeping Items"/>
    <s v="Standard"/>
    <x v="257"/>
    <x v="2"/>
    <x v="404"/>
    <n v="100"/>
    <n v="10300"/>
    <x v="381"/>
    <x v="2"/>
    <x v="1"/>
    <x v="0"/>
    <s v="Returned"/>
    <n v="713"/>
    <n v="103"/>
    <x v="1"/>
    <x v="1"/>
    <x v="1"/>
    <x v="3"/>
    <x v="4"/>
    <m/>
  </r>
  <r>
    <d v="2023-05-21T00:00:00"/>
    <x v="2"/>
    <s v="Housekeeping Items"/>
    <s v="Standard"/>
    <x v="236"/>
    <x v="2"/>
    <x v="405"/>
    <n v="100"/>
    <n v="7600"/>
    <x v="382"/>
    <x v="2"/>
    <x v="1"/>
    <x v="2"/>
    <s v="Delayed"/>
    <n v="921"/>
    <n v="76"/>
    <x v="8"/>
    <x v="6"/>
    <x v="8"/>
    <x v="2"/>
    <x v="10"/>
    <m/>
  </r>
  <r>
    <d v="2023-05-22T00:00:00"/>
    <x v="2"/>
    <s v="Housekeeping Items"/>
    <s v="Standard"/>
    <x v="277"/>
    <x v="2"/>
    <x v="406"/>
    <n v="100"/>
    <n v="42100"/>
    <x v="383"/>
    <x v="0"/>
    <x v="1"/>
    <x v="2"/>
    <s v="Returned"/>
    <n v="932"/>
    <n v="421"/>
    <x v="15"/>
    <x v="10"/>
    <x v="14"/>
    <x v="1"/>
    <x v="6"/>
    <m/>
  </r>
  <r>
    <d v="2023-05-23T00:00:00"/>
    <x v="0"/>
    <s v="Takeaway Boxes"/>
    <s v="Large"/>
    <x v="295"/>
    <x v="0"/>
    <x v="407"/>
    <n v="5"/>
    <n v="1930"/>
    <x v="384"/>
    <x v="0"/>
    <x v="1"/>
    <x v="1"/>
    <s v="Returned"/>
    <n v="720"/>
    <n v="386"/>
    <x v="6"/>
    <x v="4"/>
    <x v="6"/>
    <x v="4"/>
    <x v="7"/>
    <m/>
  </r>
  <r>
    <d v="2023-05-24T00:00:00"/>
    <x v="4"/>
    <s v="Plates &amp; Bowls"/>
    <s v="500ml"/>
    <x v="296"/>
    <x v="4"/>
    <x v="408"/>
    <n v="1.5"/>
    <n v="556.5"/>
    <x v="385"/>
    <x v="0"/>
    <x v="2"/>
    <x v="1"/>
    <s v="Delivered"/>
    <n v="716"/>
    <n v="371"/>
    <x v="11"/>
    <x v="9"/>
    <x v="11"/>
    <x v="4"/>
    <x v="1"/>
    <m/>
  </r>
  <r>
    <d v="2023-05-25T00:00:00"/>
    <x v="3"/>
    <s v="Containers"/>
    <s v="1L"/>
    <x v="297"/>
    <x v="3"/>
    <x v="286"/>
    <n v="3"/>
    <n v="912"/>
    <x v="277"/>
    <x v="1"/>
    <x v="3"/>
    <x v="2"/>
    <s v="Delivered"/>
    <n v="572"/>
    <n v="304"/>
    <x v="2"/>
    <x v="2"/>
    <x v="2"/>
    <x v="0"/>
    <x v="9"/>
    <m/>
  </r>
  <r>
    <d v="2023-05-26T00:00:00"/>
    <x v="1"/>
    <s v="Glass &amp; Bottles"/>
    <s v="750ml"/>
    <x v="298"/>
    <x v="1"/>
    <x v="366"/>
    <n v="12"/>
    <n v="1128"/>
    <x v="348"/>
    <x v="2"/>
    <x v="3"/>
    <x v="1"/>
    <s v="Delayed"/>
    <n v="545"/>
    <n v="94"/>
    <x v="3"/>
    <x v="2"/>
    <x v="3"/>
    <x v="4"/>
    <x v="6"/>
    <m/>
  </r>
  <r>
    <d v="2023-05-27T00:00:00"/>
    <x v="4"/>
    <s v="Plates &amp; Bowls"/>
    <s v="500ml"/>
    <x v="299"/>
    <x v="4"/>
    <x v="409"/>
    <n v="1.5"/>
    <n v="108"/>
    <x v="114"/>
    <x v="1"/>
    <x v="0"/>
    <x v="1"/>
    <s v="Delayed"/>
    <n v="584"/>
    <n v="72"/>
    <x v="13"/>
    <x v="2"/>
    <x v="12"/>
    <x v="0"/>
    <x v="11"/>
    <m/>
  </r>
  <r>
    <d v="2023-05-28T00:00:00"/>
    <x v="3"/>
    <s v="Containers"/>
    <s v="1L"/>
    <x v="261"/>
    <x v="3"/>
    <x v="410"/>
    <n v="3"/>
    <n v="561"/>
    <x v="386"/>
    <x v="0"/>
    <x v="2"/>
    <x v="1"/>
    <s v="Returned"/>
    <n v="789"/>
    <n v="187"/>
    <x v="0"/>
    <x v="0"/>
    <x v="0"/>
    <x v="1"/>
    <x v="4"/>
    <m/>
  </r>
  <r>
    <d v="2023-05-29T00:00:00"/>
    <x v="2"/>
    <s v="Housekeeping Items"/>
    <s v="Standard"/>
    <x v="231"/>
    <x v="2"/>
    <x v="279"/>
    <n v="100"/>
    <n v="17700"/>
    <x v="270"/>
    <x v="2"/>
    <x v="2"/>
    <x v="2"/>
    <s v="Delayed"/>
    <n v="572"/>
    <n v="177"/>
    <x v="0"/>
    <x v="0"/>
    <x v="0"/>
    <x v="0"/>
    <x v="2"/>
    <m/>
  </r>
  <r>
    <d v="2023-05-30T00:00:00"/>
    <x v="5"/>
    <s v="Cutlery"/>
    <s v="3pcs"/>
    <x v="124"/>
    <x v="5"/>
    <x v="411"/>
    <n v="4"/>
    <n v="456"/>
    <x v="387"/>
    <x v="1"/>
    <x v="1"/>
    <x v="1"/>
    <s v="Delayed"/>
    <n v="667"/>
    <n v="114"/>
    <x v="11"/>
    <x v="9"/>
    <x v="11"/>
    <x v="4"/>
    <x v="6"/>
    <m/>
  </r>
  <r>
    <d v="2023-05-31T00:00:00"/>
    <x v="3"/>
    <s v="Containers"/>
    <s v="1L"/>
    <x v="210"/>
    <x v="3"/>
    <x v="412"/>
    <n v="3"/>
    <n v="1110"/>
    <x v="388"/>
    <x v="1"/>
    <x v="2"/>
    <x v="2"/>
    <s v="Delayed"/>
    <n v="790"/>
    <n v="370"/>
    <x v="10"/>
    <x v="8"/>
    <x v="10"/>
    <x v="3"/>
    <x v="9"/>
    <m/>
  </r>
  <r>
    <d v="2023-06-01T00:00:00"/>
    <x v="4"/>
    <s v="Plates &amp; Bowls"/>
    <s v="500ml"/>
    <x v="11"/>
    <x v="4"/>
    <x v="12"/>
    <n v="1.5"/>
    <n v="583.5"/>
    <x v="12"/>
    <x v="1"/>
    <x v="1"/>
    <x v="2"/>
    <s v="Delayed"/>
    <n v="962"/>
    <n v="389"/>
    <x v="16"/>
    <x v="4"/>
    <x v="15"/>
    <x v="3"/>
    <x v="10"/>
    <m/>
  </r>
  <r>
    <d v="2023-06-02T00:00:00"/>
    <x v="3"/>
    <s v="Containers"/>
    <s v="1L"/>
    <x v="98"/>
    <x v="3"/>
    <x v="413"/>
    <n v="3"/>
    <n v="438"/>
    <x v="389"/>
    <x v="2"/>
    <x v="2"/>
    <x v="0"/>
    <s v="Returned"/>
    <n v="951"/>
    <n v="146"/>
    <x v="15"/>
    <x v="10"/>
    <x v="14"/>
    <x v="2"/>
    <x v="8"/>
    <m/>
  </r>
  <r>
    <d v="2023-06-03T00:00:00"/>
    <x v="2"/>
    <s v="Housekeeping Items"/>
    <s v="Standard"/>
    <x v="159"/>
    <x v="2"/>
    <x v="414"/>
    <n v="100"/>
    <n v="23900"/>
    <x v="390"/>
    <x v="0"/>
    <x v="0"/>
    <x v="0"/>
    <s v="Delivered"/>
    <n v="662"/>
    <n v="239"/>
    <x v="12"/>
    <x v="3"/>
    <x v="10"/>
    <x v="0"/>
    <x v="3"/>
    <m/>
  </r>
  <r>
    <d v="2023-06-04T00:00:00"/>
    <x v="2"/>
    <s v="Housekeeping Items"/>
    <s v="Standard"/>
    <x v="300"/>
    <x v="2"/>
    <x v="415"/>
    <n v="100"/>
    <n v="46000"/>
    <x v="391"/>
    <x v="1"/>
    <x v="3"/>
    <x v="0"/>
    <s v="Delivered"/>
    <n v="707"/>
    <n v="460"/>
    <x v="2"/>
    <x v="2"/>
    <x v="2"/>
    <x v="3"/>
    <x v="10"/>
    <m/>
  </r>
  <r>
    <d v="2023-06-05T00:00:00"/>
    <x v="4"/>
    <s v="Plates &amp; Bowls"/>
    <s v="500ml"/>
    <x v="301"/>
    <x v="4"/>
    <x v="416"/>
    <n v="1.5"/>
    <n v="189"/>
    <x v="268"/>
    <x v="0"/>
    <x v="3"/>
    <x v="1"/>
    <s v="Delayed"/>
    <n v="651"/>
    <n v="126"/>
    <x v="9"/>
    <x v="7"/>
    <x v="9"/>
    <x v="0"/>
    <x v="11"/>
    <m/>
  </r>
  <r>
    <d v="2023-06-06T00:00:00"/>
    <x v="4"/>
    <s v="Plates &amp; Bowls"/>
    <s v="500ml"/>
    <x v="302"/>
    <x v="4"/>
    <x v="417"/>
    <n v="1.5"/>
    <n v="709.5"/>
    <x v="392"/>
    <x v="2"/>
    <x v="3"/>
    <x v="1"/>
    <s v="Returned"/>
    <n v="849"/>
    <n v="473"/>
    <x v="10"/>
    <x v="8"/>
    <x v="10"/>
    <x v="4"/>
    <x v="5"/>
    <m/>
  </r>
  <r>
    <d v="2023-06-07T00:00:00"/>
    <x v="4"/>
    <s v="Plates &amp; Bowls"/>
    <s v="500ml"/>
    <x v="210"/>
    <x v="4"/>
    <x v="247"/>
    <n v="1.5"/>
    <n v="555"/>
    <x v="240"/>
    <x v="1"/>
    <x v="0"/>
    <x v="0"/>
    <s v="Returned"/>
    <n v="750"/>
    <n v="370"/>
    <x v="10"/>
    <x v="8"/>
    <x v="10"/>
    <x v="2"/>
    <x v="0"/>
    <m/>
  </r>
  <r>
    <d v="2023-06-08T00:00:00"/>
    <x v="0"/>
    <s v="Takeaway Boxes"/>
    <s v="Large"/>
    <x v="303"/>
    <x v="0"/>
    <x v="418"/>
    <n v="5"/>
    <n v="490"/>
    <x v="97"/>
    <x v="1"/>
    <x v="2"/>
    <x v="0"/>
    <s v="Returned"/>
    <n v="641"/>
    <n v="98"/>
    <x v="19"/>
    <x v="13"/>
    <x v="18"/>
    <x v="3"/>
    <x v="9"/>
    <m/>
  </r>
  <r>
    <d v="2023-06-09T00:00:00"/>
    <x v="4"/>
    <s v="Plates &amp; Bowls"/>
    <s v="500ml"/>
    <x v="133"/>
    <x v="4"/>
    <x v="419"/>
    <n v="1.5"/>
    <n v="679.5"/>
    <x v="393"/>
    <x v="0"/>
    <x v="1"/>
    <x v="0"/>
    <s v="Delivered"/>
    <n v="594"/>
    <n v="453"/>
    <x v="0"/>
    <x v="0"/>
    <x v="0"/>
    <x v="1"/>
    <x v="4"/>
    <m/>
  </r>
  <r>
    <d v="2023-06-10T00:00:00"/>
    <x v="5"/>
    <s v="Cutlery"/>
    <s v="3pcs"/>
    <x v="1"/>
    <x v="5"/>
    <x v="420"/>
    <n v="4"/>
    <n v="784"/>
    <x v="394"/>
    <x v="0"/>
    <x v="1"/>
    <x v="0"/>
    <s v="Returned"/>
    <n v="909"/>
    <n v="196"/>
    <x v="8"/>
    <x v="6"/>
    <x v="8"/>
    <x v="3"/>
    <x v="8"/>
    <m/>
  </r>
  <r>
    <d v="2023-06-11T00:00:00"/>
    <x v="0"/>
    <s v="Takeaway Boxes"/>
    <s v="Large"/>
    <x v="157"/>
    <x v="0"/>
    <x v="286"/>
    <n v="5"/>
    <n v="950"/>
    <x v="395"/>
    <x v="1"/>
    <x v="0"/>
    <x v="0"/>
    <s v="Returned"/>
    <n v="643"/>
    <n v="190"/>
    <x v="4"/>
    <x v="3"/>
    <x v="4"/>
    <x v="2"/>
    <x v="1"/>
    <m/>
  </r>
  <r>
    <d v="2023-06-12T00:00:00"/>
    <x v="2"/>
    <s v="Housekeeping Items"/>
    <s v="Standard"/>
    <x v="304"/>
    <x v="2"/>
    <x v="421"/>
    <n v="100"/>
    <n v="44800"/>
    <x v="396"/>
    <x v="1"/>
    <x v="1"/>
    <x v="2"/>
    <s v="Delivered"/>
    <n v="635"/>
    <n v="448"/>
    <x v="1"/>
    <x v="1"/>
    <x v="1"/>
    <x v="0"/>
    <x v="3"/>
    <m/>
  </r>
  <r>
    <d v="2023-06-13T00:00:00"/>
    <x v="0"/>
    <s v="Takeaway Boxes"/>
    <s v="Large"/>
    <x v="305"/>
    <x v="0"/>
    <x v="422"/>
    <n v="5"/>
    <n v="1715"/>
    <x v="397"/>
    <x v="2"/>
    <x v="1"/>
    <x v="2"/>
    <s v="Delayed"/>
    <n v="668"/>
    <n v="343"/>
    <x v="3"/>
    <x v="2"/>
    <x v="3"/>
    <x v="2"/>
    <x v="3"/>
    <m/>
  </r>
  <r>
    <d v="2023-06-14T00:00:00"/>
    <x v="2"/>
    <s v="Housekeeping Items"/>
    <s v="Standard"/>
    <x v="306"/>
    <x v="2"/>
    <x v="423"/>
    <n v="100"/>
    <n v="28300"/>
    <x v="398"/>
    <x v="1"/>
    <x v="0"/>
    <x v="1"/>
    <s v="Delayed"/>
    <n v="892"/>
    <n v="283"/>
    <x v="6"/>
    <x v="4"/>
    <x v="6"/>
    <x v="3"/>
    <x v="8"/>
    <m/>
  </r>
  <r>
    <d v="2023-06-15T00:00:00"/>
    <x v="2"/>
    <s v="Housekeeping Items"/>
    <s v="Standard"/>
    <x v="26"/>
    <x v="2"/>
    <x v="424"/>
    <n v="100"/>
    <n v="40500"/>
    <x v="399"/>
    <x v="2"/>
    <x v="2"/>
    <x v="0"/>
    <s v="Delayed"/>
    <n v="959"/>
    <n v="405"/>
    <x v="7"/>
    <x v="5"/>
    <x v="7"/>
    <x v="3"/>
    <x v="10"/>
    <m/>
  </r>
  <r>
    <d v="2023-06-16T00:00:00"/>
    <x v="4"/>
    <s v="Plates &amp; Bowls"/>
    <s v="500ml"/>
    <x v="157"/>
    <x v="4"/>
    <x v="425"/>
    <n v="1.5"/>
    <n v="285"/>
    <x v="400"/>
    <x v="0"/>
    <x v="0"/>
    <x v="1"/>
    <s v="Delivered"/>
    <n v="594"/>
    <n v="190"/>
    <x v="13"/>
    <x v="2"/>
    <x v="12"/>
    <x v="0"/>
    <x v="9"/>
    <m/>
  </r>
  <r>
    <d v="2023-06-17T00:00:00"/>
    <x v="0"/>
    <s v="Takeaway Boxes"/>
    <s v="Large"/>
    <x v="117"/>
    <x v="0"/>
    <x v="426"/>
    <n v="5"/>
    <n v="2200"/>
    <x v="401"/>
    <x v="1"/>
    <x v="1"/>
    <x v="2"/>
    <s v="Delivered"/>
    <n v="631"/>
    <n v="440"/>
    <x v="2"/>
    <x v="2"/>
    <x v="2"/>
    <x v="1"/>
    <x v="3"/>
    <m/>
  </r>
  <r>
    <d v="2023-06-18T00:00:00"/>
    <x v="1"/>
    <s v="Glass &amp; Bottles"/>
    <s v="750ml"/>
    <x v="150"/>
    <x v="1"/>
    <x v="427"/>
    <n v="12"/>
    <n v="4008"/>
    <x v="402"/>
    <x v="0"/>
    <x v="3"/>
    <x v="0"/>
    <s v="Delayed"/>
    <n v="948"/>
    <n v="334"/>
    <x v="0"/>
    <x v="0"/>
    <x v="0"/>
    <x v="0"/>
    <x v="10"/>
    <m/>
  </r>
  <r>
    <d v="2023-06-19T00:00:00"/>
    <x v="4"/>
    <s v="Plates &amp; Bowls"/>
    <s v="500ml"/>
    <x v="307"/>
    <x v="4"/>
    <x v="428"/>
    <n v="1.5"/>
    <n v="529.5"/>
    <x v="403"/>
    <x v="2"/>
    <x v="3"/>
    <x v="2"/>
    <s v="Delivered"/>
    <n v="736"/>
    <n v="353"/>
    <x v="11"/>
    <x v="9"/>
    <x v="11"/>
    <x v="2"/>
    <x v="4"/>
    <m/>
  </r>
  <r>
    <d v="2023-06-20T00:00:00"/>
    <x v="5"/>
    <s v="Cutlery"/>
    <s v="3pcs"/>
    <x v="152"/>
    <x v="5"/>
    <x v="429"/>
    <n v="4"/>
    <n v="68"/>
    <x v="404"/>
    <x v="1"/>
    <x v="1"/>
    <x v="1"/>
    <s v="Returned"/>
    <n v="933"/>
    <n v="17"/>
    <x v="2"/>
    <x v="2"/>
    <x v="2"/>
    <x v="3"/>
    <x v="10"/>
    <m/>
  </r>
  <r>
    <d v="2023-06-21T00:00:00"/>
    <x v="4"/>
    <s v="Plates &amp; Bowls"/>
    <s v="500ml"/>
    <x v="247"/>
    <x v="4"/>
    <x v="430"/>
    <n v="1.5"/>
    <n v="745.5"/>
    <x v="405"/>
    <x v="2"/>
    <x v="1"/>
    <x v="1"/>
    <s v="Delivered"/>
    <n v="987"/>
    <n v="497"/>
    <x v="2"/>
    <x v="2"/>
    <x v="2"/>
    <x v="4"/>
    <x v="7"/>
    <m/>
  </r>
  <r>
    <d v="2023-06-22T00:00:00"/>
    <x v="2"/>
    <s v="Housekeeping Items"/>
    <s v="Standard"/>
    <x v="5"/>
    <x v="2"/>
    <x v="431"/>
    <n v="100"/>
    <n v="20200"/>
    <x v="406"/>
    <x v="0"/>
    <x v="2"/>
    <x v="1"/>
    <s v="Delayed"/>
    <n v="608"/>
    <n v="202"/>
    <x v="4"/>
    <x v="3"/>
    <x v="4"/>
    <x v="4"/>
    <x v="0"/>
    <m/>
  </r>
  <r>
    <d v="2023-06-23T00:00:00"/>
    <x v="1"/>
    <s v="Glass &amp; Bottles"/>
    <s v="750ml"/>
    <x v="52"/>
    <x v="1"/>
    <x v="432"/>
    <n v="12"/>
    <n v="5460"/>
    <x v="407"/>
    <x v="0"/>
    <x v="0"/>
    <x v="1"/>
    <s v="Delivered"/>
    <n v="977"/>
    <n v="455"/>
    <x v="16"/>
    <x v="4"/>
    <x v="15"/>
    <x v="0"/>
    <x v="1"/>
    <m/>
  </r>
  <r>
    <d v="2023-06-24T00:00:00"/>
    <x v="4"/>
    <s v="Plates &amp; Bowls"/>
    <s v="500ml"/>
    <x v="243"/>
    <x v="4"/>
    <x v="295"/>
    <n v="1.5"/>
    <n v="393"/>
    <x v="285"/>
    <x v="0"/>
    <x v="1"/>
    <x v="1"/>
    <s v="Delayed"/>
    <n v="768"/>
    <n v="262"/>
    <x v="14"/>
    <x v="6"/>
    <x v="13"/>
    <x v="4"/>
    <x v="0"/>
    <m/>
  </r>
  <r>
    <d v="2023-06-25T00:00:00"/>
    <x v="3"/>
    <s v="Containers"/>
    <s v="1L"/>
    <x v="308"/>
    <x v="3"/>
    <x v="433"/>
    <n v="3"/>
    <n v="942"/>
    <x v="408"/>
    <x v="1"/>
    <x v="3"/>
    <x v="1"/>
    <s v="Returned"/>
    <n v="735"/>
    <n v="314"/>
    <x v="1"/>
    <x v="1"/>
    <x v="1"/>
    <x v="2"/>
    <x v="11"/>
    <m/>
  </r>
  <r>
    <d v="2023-06-26T00:00:00"/>
    <x v="5"/>
    <s v="Cutlery"/>
    <s v="3pcs"/>
    <x v="281"/>
    <x v="5"/>
    <x v="434"/>
    <n v="4"/>
    <n v="932"/>
    <x v="409"/>
    <x v="0"/>
    <x v="1"/>
    <x v="1"/>
    <s v="Delayed"/>
    <n v="799"/>
    <n v="233"/>
    <x v="16"/>
    <x v="4"/>
    <x v="15"/>
    <x v="0"/>
    <x v="1"/>
    <m/>
  </r>
  <r>
    <d v="2023-06-27T00:00:00"/>
    <x v="5"/>
    <s v="Cutlery"/>
    <s v="3pcs"/>
    <x v="215"/>
    <x v="5"/>
    <x v="143"/>
    <n v="4"/>
    <n v="1960"/>
    <x v="247"/>
    <x v="0"/>
    <x v="2"/>
    <x v="0"/>
    <s v="Delayed"/>
    <n v="990"/>
    <n v="490"/>
    <x v="6"/>
    <x v="4"/>
    <x v="6"/>
    <x v="0"/>
    <x v="1"/>
    <m/>
  </r>
  <r>
    <d v="2023-06-28T00:00:00"/>
    <x v="2"/>
    <s v="Housekeeping Items"/>
    <s v="Standard"/>
    <x v="179"/>
    <x v="2"/>
    <x v="435"/>
    <n v="100"/>
    <n v="3900"/>
    <x v="410"/>
    <x v="0"/>
    <x v="0"/>
    <x v="0"/>
    <s v="Delivered"/>
    <n v="555"/>
    <n v="39"/>
    <x v="19"/>
    <x v="13"/>
    <x v="18"/>
    <x v="4"/>
    <x v="7"/>
    <m/>
  </r>
  <r>
    <d v="2023-06-29T00:00:00"/>
    <x v="1"/>
    <s v="Glass &amp; Bottles"/>
    <s v="750ml"/>
    <x v="309"/>
    <x v="1"/>
    <x v="436"/>
    <n v="12"/>
    <n v="3960"/>
    <x v="411"/>
    <x v="2"/>
    <x v="0"/>
    <x v="0"/>
    <s v="Returned"/>
    <n v="724"/>
    <n v="330"/>
    <x v="9"/>
    <x v="7"/>
    <x v="9"/>
    <x v="2"/>
    <x v="5"/>
    <m/>
  </r>
  <r>
    <d v="2023-06-30T00:00:00"/>
    <x v="2"/>
    <s v="Housekeeping Items"/>
    <s v="Standard"/>
    <x v="80"/>
    <x v="2"/>
    <x v="437"/>
    <n v="100"/>
    <n v="18800"/>
    <x v="412"/>
    <x v="2"/>
    <x v="3"/>
    <x v="1"/>
    <s v="Returned"/>
    <n v="541"/>
    <n v="188"/>
    <x v="0"/>
    <x v="0"/>
    <x v="0"/>
    <x v="0"/>
    <x v="9"/>
    <m/>
  </r>
  <r>
    <d v="2023-07-01T00:00:00"/>
    <x v="1"/>
    <s v="Glass &amp; Bottles"/>
    <s v="750ml"/>
    <x v="310"/>
    <x v="1"/>
    <x v="438"/>
    <n v="12"/>
    <n v="1932"/>
    <x v="413"/>
    <x v="2"/>
    <x v="3"/>
    <x v="1"/>
    <s v="Delivered"/>
    <n v="930"/>
    <n v="161"/>
    <x v="18"/>
    <x v="12"/>
    <x v="17"/>
    <x v="2"/>
    <x v="10"/>
    <m/>
  </r>
  <r>
    <d v="2023-07-02T00:00:00"/>
    <x v="4"/>
    <s v="Plates &amp; Bowls"/>
    <s v="500ml"/>
    <x v="311"/>
    <x v="4"/>
    <x v="439"/>
    <n v="1.5"/>
    <n v="481.5"/>
    <x v="414"/>
    <x v="1"/>
    <x v="0"/>
    <x v="0"/>
    <s v="Delayed"/>
    <n v="862"/>
    <n v="321"/>
    <x v="12"/>
    <x v="3"/>
    <x v="10"/>
    <x v="2"/>
    <x v="4"/>
    <m/>
  </r>
  <r>
    <d v="2023-07-03T00:00:00"/>
    <x v="3"/>
    <s v="Containers"/>
    <s v="1L"/>
    <x v="312"/>
    <x v="3"/>
    <x v="58"/>
    <n v="3"/>
    <n v="651"/>
    <x v="57"/>
    <x v="1"/>
    <x v="2"/>
    <x v="0"/>
    <s v="Returned"/>
    <n v="854"/>
    <n v="217"/>
    <x v="15"/>
    <x v="10"/>
    <x v="14"/>
    <x v="0"/>
    <x v="0"/>
    <m/>
  </r>
  <r>
    <d v="2023-07-04T00:00:00"/>
    <x v="0"/>
    <s v="Takeaway Boxes"/>
    <s v="Large"/>
    <x v="34"/>
    <x v="0"/>
    <x v="440"/>
    <n v="5"/>
    <n v="1690"/>
    <x v="415"/>
    <x v="2"/>
    <x v="2"/>
    <x v="1"/>
    <s v="Delivered"/>
    <n v="781"/>
    <n v="338"/>
    <x v="0"/>
    <x v="0"/>
    <x v="0"/>
    <x v="0"/>
    <x v="7"/>
    <m/>
  </r>
  <r>
    <d v="2023-07-05T00:00:00"/>
    <x v="4"/>
    <s v="Plates &amp; Bowls"/>
    <s v="500ml"/>
    <x v="195"/>
    <x v="4"/>
    <x v="441"/>
    <n v="1.5"/>
    <n v="616.5"/>
    <x v="416"/>
    <x v="0"/>
    <x v="0"/>
    <x v="0"/>
    <s v="Delivered"/>
    <n v="908"/>
    <n v="411"/>
    <x v="7"/>
    <x v="5"/>
    <x v="7"/>
    <x v="3"/>
    <x v="0"/>
    <m/>
  </r>
  <r>
    <d v="2023-07-06T00:00:00"/>
    <x v="3"/>
    <s v="Containers"/>
    <s v="1L"/>
    <x v="75"/>
    <x v="3"/>
    <x v="171"/>
    <n v="3"/>
    <n v="105"/>
    <x v="166"/>
    <x v="1"/>
    <x v="0"/>
    <x v="0"/>
    <s v="Delayed"/>
    <n v="509"/>
    <n v="35"/>
    <x v="7"/>
    <x v="5"/>
    <x v="7"/>
    <x v="0"/>
    <x v="10"/>
    <m/>
  </r>
  <r>
    <d v="2023-07-07T00:00:00"/>
    <x v="3"/>
    <s v="Containers"/>
    <s v="1L"/>
    <x v="313"/>
    <x v="3"/>
    <x v="442"/>
    <n v="3"/>
    <n v="339"/>
    <x v="417"/>
    <x v="1"/>
    <x v="3"/>
    <x v="2"/>
    <s v="Delivered"/>
    <n v="760"/>
    <n v="113"/>
    <x v="1"/>
    <x v="1"/>
    <x v="1"/>
    <x v="2"/>
    <x v="8"/>
    <m/>
  </r>
  <r>
    <d v="2023-07-08T00:00:00"/>
    <x v="3"/>
    <s v="Containers"/>
    <s v="1L"/>
    <x v="284"/>
    <x v="3"/>
    <x v="443"/>
    <n v="3"/>
    <n v="417"/>
    <x v="418"/>
    <x v="1"/>
    <x v="2"/>
    <x v="2"/>
    <s v="Delayed"/>
    <n v="838"/>
    <n v="139"/>
    <x v="15"/>
    <x v="10"/>
    <x v="14"/>
    <x v="3"/>
    <x v="1"/>
    <m/>
  </r>
  <r>
    <d v="2023-07-09T00:00:00"/>
    <x v="1"/>
    <s v="Glass &amp; Bottles"/>
    <s v="750ml"/>
    <x v="46"/>
    <x v="1"/>
    <x v="298"/>
    <n v="12"/>
    <n v="5124"/>
    <x v="288"/>
    <x v="1"/>
    <x v="3"/>
    <x v="1"/>
    <s v="Delayed"/>
    <n v="721"/>
    <n v="427"/>
    <x v="2"/>
    <x v="2"/>
    <x v="2"/>
    <x v="4"/>
    <x v="4"/>
    <m/>
  </r>
  <r>
    <d v="2023-07-10T00:00:00"/>
    <x v="0"/>
    <s v="Takeaway Boxes"/>
    <s v="Large"/>
    <x v="311"/>
    <x v="0"/>
    <x v="444"/>
    <n v="5"/>
    <n v="1605"/>
    <x v="419"/>
    <x v="2"/>
    <x v="3"/>
    <x v="0"/>
    <s v="Delivered"/>
    <n v="531"/>
    <n v="321"/>
    <x v="4"/>
    <x v="3"/>
    <x v="4"/>
    <x v="3"/>
    <x v="1"/>
    <m/>
  </r>
  <r>
    <d v="2023-07-11T00:00:00"/>
    <x v="5"/>
    <s v="Cutlery"/>
    <s v="3pcs"/>
    <x v="241"/>
    <x v="5"/>
    <x v="445"/>
    <n v="4"/>
    <n v="1096"/>
    <x v="282"/>
    <x v="1"/>
    <x v="2"/>
    <x v="2"/>
    <s v="Returned"/>
    <n v="728"/>
    <n v="274"/>
    <x v="2"/>
    <x v="2"/>
    <x v="2"/>
    <x v="0"/>
    <x v="8"/>
    <m/>
  </r>
  <r>
    <d v="2023-07-12T00:00:00"/>
    <x v="2"/>
    <s v="Housekeeping Items"/>
    <s v="Standard"/>
    <x v="156"/>
    <x v="2"/>
    <x v="446"/>
    <n v="100"/>
    <n v="22400"/>
    <x v="420"/>
    <x v="0"/>
    <x v="1"/>
    <x v="1"/>
    <s v="Delayed"/>
    <n v="834"/>
    <n v="224"/>
    <x v="0"/>
    <x v="0"/>
    <x v="0"/>
    <x v="3"/>
    <x v="5"/>
    <m/>
  </r>
  <r>
    <d v="2023-07-13T00:00:00"/>
    <x v="3"/>
    <s v="Containers"/>
    <s v="1L"/>
    <x v="21"/>
    <x v="3"/>
    <x v="22"/>
    <n v="3"/>
    <n v="687"/>
    <x v="22"/>
    <x v="2"/>
    <x v="1"/>
    <x v="0"/>
    <s v="Returned"/>
    <n v="747"/>
    <n v="229"/>
    <x v="6"/>
    <x v="4"/>
    <x v="6"/>
    <x v="3"/>
    <x v="4"/>
    <m/>
  </r>
  <r>
    <d v="2023-07-14T00:00:00"/>
    <x v="1"/>
    <s v="Glass &amp; Bottles"/>
    <s v="750ml"/>
    <x v="125"/>
    <x v="1"/>
    <x v="131"/>
    <n v="12"/>
    <n v="2592"/>
    <x v="126"/>
    <x v="2"/>
    <x v="3"/>
    <x v="0"/>
    <s v="Delivered"/>
    <n v="632"/>
    <n v="216"/>
    <x v="6"/>
    <x v="4"/>
    <x v="6"/>
    <x v="2"/>
    <x v="0"/>
    <m/>
  </r>
  <r>
    <d v="2023-07-15T00:00:00"/>
    <x v="3"/>
    <s v="Containers"/>
    <s v="1L"/>
    <x v="314"/>
    <x v="3"/>
    <x v="7"/>
    <n v="3"/>
    <n v="840"/>
    <x v="421"/>
    <x v="2"/>
    <x v="2"/>
    <x v="2"/>
    <s v="Delivered"/>
    <n v="550"/>
    <n v="280"/>
    <x v="10"/>
    <x v="8"/>
    <x v="10"/>
    <x v="0"/>
    <x v="4"/>
    <m/>
  </r>
  <r>
    <d v="2023-07-16T00:00:00"/>
    <x v="5"/>
    <s v="Cutlery"/>
    <s v="3pcs"/>
    <x v="138"/>
    <x v="5"/>
    <x v="447"/>
    <n v="4"/>
    <n v="1964"/>
    <x v="422"/>
    <x v="2"/>
    <x v="3"/>
    <x v="2"/>
    <s v="Delayed"/>
    <n v="601"/>
    <n v="491"/>
    <x v="10"/>
    <x v="8"/>
    <x v="10"/>
    <x v="0"/>
    <x v="2"/>
    <m/>
  </r>
  <r>
    <d v="2023-07-17T00:00:00"/>
    <x v="2"/>
    <s v="Housekeeping Items"/>
    <s v="Standard"/>
    <x v="315"/>
    <x v="2"/>
    <x v="448"/>
    <n v="100"/>
    <n v="12200"/>
    <x v="423"/>
    <x v="0"/>
    <x v="2"/>
    <x v="2"/>
    <s v="Delayed"/>
    <n v="520"/>
    <n v="122"/>
    <x v="17"/>
    <x v="11"/>
    <x v="16"/>
    <x v="4"/>
    <x v="11"/>
    <m/>
  </r>
  <r>
    <d v="2023-07-18T00:00:00"/>
    <x v="4"/>
    <s v="Plates &amp; Bowls"/>
    <s v="500ml"/>
    <x v="156"/>
    <x v="4"/>
    <x v="176"/>
    <n v="1.5"/>
    <n v="336"/>
    <x v="171"/>
    <x v="2"/>
    <x v="1"/>
    <x v="0"/>
    <s v="Delayed"/>
    <n v="590"/>
    <n v="224"/>
    <x v="12"/>
    <x v="3"/>
    <x v="10"/>
    <x v="2"/>
    <x v="6"/>
    <m/>
  </r>
  <r>
    <d v="2023-07-19T00:00:00"/>
    <x v="2"/>
    <s v="Housekeeping Items"/>
    <s v="Standard"/>
    <x v="120"/>
    <x v="2"/>
    <x v="449"/>
    <n v="100"/>
    <n v="8100"/>
    <x v="424"/>
    <x v="1"/>
    <x v="1"/>
    <x v="1"/>
    <s v="Returned"/>
    <n v="919"/>
    <n v="81"/>
    <x v="6"/>
    <x v="4"/>
    <x v="6"/>
    <x v="4"/>
    <x v="6"/>
    <m/>
  </r>
  <r>
    <d v="2023-07-20T00:00:00"/>
    <x v="3"/>
    <s v="Containers"/>
    <s v="1L"/>
    <x v="252"/>
    <x v="3"/>
    <x v="450"/>
    <n v="3"/>
    <n v="204"/>
    <x v="425"/>
    <x v="1"/>
    <x v="0"/>
    <x v="0"/>
    <s v="Returned"/>
    <n v="510"/>
    <n v="68"/>
    <x v="6"/>
    <x v="4"/>
    <x v="6"/>
    <x v="3"/>
    <x v="5"/>
    <m/>
  </r>
  <r>
    <d v="2023-07-21T00:00:00"/>
    <x v="2"/>
    <s v="Housekeeping Items"/>
    <s v="Standard"/>
    <x v="12"/>
    <x v="2"/>
    <x v="451"/>
    <n v="100"/>
    <n v="16800"/>
    <x v="426"/>
    <x v="0"/>
    <x v="2"/>
    <x v="2"/>
    <s v="Delivered"/>
    <n v="781"/>
    <n v="168"/>
    <x v="4"/>
    <x v="3"/>
    <x v="4"/>
    <x v="4"/>
    <x v="2"/>
    <m/>
  </r>
  <r>
    <d v="2023-07-22T00:00:00"/>
    <x v="1"/>
    <s v="Glass &amp; Bottles"/>
    <s v="750ml"/>
    <x v="147"/>
    <x v="1"/>
    <x v="452"/>
    <n v="12"/>
    <n v="5868"/>
    <x v="427"/>
    <x v="2"/>
    <x v="1"/>
    <x v="2"/>
    <s v="Delivered"/>
    <n v="881"/>
    <n v="489"/>
    <x v="3"/>
    <x v="2"/>
    <x v="3"/>
    <x v="4"/>
    <x v="11"/>
    <m/>
  </r>
  <r>
    <d v="2023-07-23T00:00:00"/>
    <x v="4"/>
    <s v="Plates &amp; Bowls"/>
    <s v="500ml"/>
    <x v="316"/>
    <x v="4"/>
    <x v="453"/>
    <n v="1.5"/>
    <n v="538.5"/>
    <x v="428"/>
    <x v="1"/>
    <x v="0"/>
    <x v="0"/>
    <s v="Delayed"/>
    <n v="860"/>
    <n v="359"/>
    <x v="19"/>
    <x v="13"/>
    <x v="18"/>
    <x v="2"/>
    <x v="10"/>
    <m/>
  </r>
  <r>
    <d v="2023-07-24T00:00:00"/>
    <x v="3"/>
    <s v="Containers"/>
    <s v="1L"/>
    <x v="44"/>
    <x v="3"/>
    <x v="454"/>
    <n v="3"/>
    <n v="1497"/>
    <x v="429"/>
    <x v="0"/>
    <x v="3"/>
    <x v="1"/>
    <s v="Delayed"/>
    <n v="982"/>
    <n v="499"/>
    <x v="17"/>
    <x v="11"/>
    <x v="16"/>
    <x v="4"/>
    <x v="2"/>
    <m/>
  </r>
  <r>
    <d v="2023-07-25T00:00:00"/>
    <x v="0"/>
    <s v="Takeaway Boxes"/>
    <s v="Large"/>
    <x v="285"/>
    <x v="0"/>
    <x v="346"/>
    <n v="5"/>
    <n v="575"/>
    <x v="430"/>
    <x v="2"/>
    <x v="3"/>
    <x v="1"/>
    <s v="Delivered"/>
    <n v="762"/>
    <n v="115"/>
    <x v="19"/>
    <x v="13"/>
    <x v="18"/>
    <x v="2"/>
    <x v="9"/>
    <m/>
  </r>
  <r>
    <d v="2023-07-26T00:00:00"/>
    <x v="1"/>
    <s v="Glass &amp; Bottles"/>
    <s v="750ml"/>
    <x v="232"/>
    <x v="1"/>
    <x v="369"/>
    <n v="12"/>
    <n v="5268"/>
    <x v="351"/>
    <x v="2"/>
    <x v="0"/>
    <x v="1"/>
    <s v="Delivered"/>
    <n v="850"/>
    <n v="439"/>
    <x v="16"/>
    <x v="4"/>
    <x v="15"/>
    <x v="2"/>
    <x v="4"/>
    <m/>
  </r>
  <r>
    <d v="2023-07-27T00:00:00"/>
    <x v="5"/>
    <s v="Cutlery"/>
    <s v="3pcs"/>
    <x v="168"/>
    <x v="5"/>
    <x v="455"/>
    <n v="4"/>
    <n v="380"/>
    <x v="400"/>
    <x v="0"/>
    <x v="1"/>
    <x v="0"/>
    <s v="Returned"/>
    <n v="607"/>
    <n v="95"/>
    <x v="12"/>
    <x v="3"/>
    <x v="10"/>
    <x v="2"/>
    <x v="8"/>
    <m/>
  </r>
  <r>
    <d v="2023-07-28T00:00:00"/>
    <x v="3"/>
    <s v="Containers"/>
    <s v="1L"/>
    <x v="241"/>
    <x v="3"/>
    <x v="291"/>
    <n v="3"/>
    <n v="822"/>
    <x v="282"/>
    <x v="0"/>
    <x v="2"/>
    <x v="2"/>
    <s v="Delivered"/>
    <n v="543"/>
    <n v="274"/>
    <x v="19"/>
    <x v="13"/>
    <x v="18"/>
    <x v="2"/>
    <x v="8"/>
    <m/>
  </r>
  <r>
    <d v="2023-07-29T00:00:00"/>
    <x v="1"/>
    <s v="Glass &amp; Bottles"/>
    <s v="750ml"/>
    <x v="135"/>
    <x v="1"/>
    <x v="143"/>
    <n v="12"/>
    <n v="1764"/>
    <x v="139"/>
    <x v="1"/>
    <x v="1"/>
    <x v="1"/>
    <s v="Delayed"/>
    <n v="901"/>
    <n v="147"/>
    <x v="12"/>
    <x v="3"/>
    <x v="10"/>
    <x v="4"/>
    <x v="1"/>
    <m/>
  </r>
  <r>
    <d v="2023-07-30T00:00:00"/>
    <x v="0"/>
    <s v="Takeaway Boxes"/>
    <s v="Large"/>
    <x v="171"/>
    <x v="0"/>
    <x v="456"/>
    <n v="5"/>
    <n v="1760"/>
    <x v="431"/>
    <x v="0"/>
    <x v="0"/>
    <x v="0"/>
    <s v="Returned"/>
    <n v="628"/>
    <n v="352"/>
    <x v="16"/>
    <x v="4"/>
    <x v="15"/>
    <x v="2"/>
    <x v="5"/>
    <m/>
  </r>
  <r>
    <d v="2023-07-31T00:00:00"/>
    <x v="2"/>
    <s v="Housekeeping Items"/>
    <s v="Standard"/>
    <x v="317"/>
    <x v="2"/>
    <x v="457"/>
    <n v="100"/>
    <n v="8400"/>
    <x v="432"/>
    <x v="1"/>
    <x v="2"/>
    <x v="2"/>
    <s v="Delayed"/>
    <n v="509"/>
    <n v="84"/>
    <x v="2"/>
    <x v="2"/>
    <x v="2"/>
    <x v="1"/>
    <x v="1"/>
    <m/>
  </r>
  <r>
    <d v="2023-08-01T00:00:00"/>
    <x v="0"/>
    <s v="Takeaway Boxes"/>
    <s v="Large"/>
    <x v="56"/>
    <x v="0"/>
    <x v="458"/>
    <n v="5"/>
    <n v="2185"/>
    <x v="433"/>
    <x v="0"/>
    <x v="1"/>
    <x v="2"/>
    <s v="Delivered"/>
    <n v="925"/>
    <n v="437"/>
    <x v="2"/>
    <x v="2"/>
    <x v="2"/>
    <x v="4"/>
    <x v="5"/>
    <m/>
  </r>
  <r>
    <d v="2023-08-02T00:00:00"/>
    <x v="2"/>
    <s v="Housekeeping Items"/>
    <s v="Standard"/>
    <x v="318"/>
    <x v="2"/>
    <x v="459"/>
    <n v="100"/>
    <n v="24400"/>
    <x v="434"/>
    <x v="1"/>
    <x v="3"/>
    <x v="1"/>
    <s v="Delivered"/>
    <n v="638"/>
    <n v="244"/>
    <x v="1"/>
    <x v="1"/>
    <x v="1"/>
    <x v="0"/>
    <x v="0"/>
    <m/>
  </r>
  <r>
    <d v="2023-08-03T00:00:00"/>
    <x v="3"/>
    <s v="Containers"/>
    <s v="1L"/>
    <x v="125"/>
    <x v="3"/>
    <x v="460"/>
    <n v="3"/>
    <n v="648"/>
    <x v="435"/>
    <x v="1"/>
    <x v="0"/>
    <x v="1"/>
    <s v="Returned"/>
    <n v="646"/>
    <n v="216"/>
    <x v="1"/>
    <x v="1"/>
    <x v="1"/>
    <x v="0"/>
    <x v="8"/>
    <m/>
  </r>
  <r>
    <d v="2023-08-04T00:00:00"/>
    <x v="4"/>
    <s v="Plates &amp; Bowls"/>
    <s v="500ml"/>
    <x v="319"/>
    <x v="4"/>
    <x v="461"/>
    <n v="1.5"/>
    <n v="394.5"/>
    <x v="436"/>
    <x v="1"/>
    <x v="0"/>
    <x v="2"/>
    <s v="Delivered"/>
    <n v="947"/>
    <n v="263"/>
    <x v="5"/>
    <x v="0"/>
    <x v="5"/>
    <x v="1"/>
    <x v="2"/>
    <m/>
  </r>
  <r>
    <d v="2023-08-05T00:00:00"/>
    <x v="1"/>
    <s v="Glass &amp; Bottles"/>
    <s v="750ml"/>
    <x v="212"/>
    <x v="1"/>
    <x v="462"/>
    <n v="12"/>
    <n v="4572"/>
    <x v="437"/>
    <x v="1"/>
    <x v="0"/>
    <x v="1"/>
    <s v="Delayed"/>
    <n v="893"/>
    <n v="381"/>
    <x v="3"/>
    <x v="2"/>
    <x v="3"/>
    <x v="3"/>
    <x v="4"/>
    <m/>
  </r>
  <r>
    <d v="2023-08-06T00:00:00"/>
    <x v="4"/>
    <s v="Plates &amp; Bowls"/>
    <s v="500ml"/>
    <x v="227"/>
    <x v="4"/>
    <x v="463"/>
    <n v="1.5"/>
    <n v="594"/>
    <x v="235"/>
    <x v="0"/>
    <x v="2"/>
    <x v="2"/>
    <s v="Delayed"/>
    <n v="873"/>
    <n v="396"/>
    <x v="12"/>
    <x v="3"/>
    <x v="10"/>
    <x v="2"/>
    <x v="5"/>
    <m/>
  </r>
  <r>
    <d v="2023-08-07T00:00:00"/>
    <x v="3"/>
    <s v="Containers"/>
    <s v="1L"/>
    <x v="110"/>
    <x v="3"/>
    <x v="115"/>
    <n v="3"/>
    <n v="1053"/>
    <x v="112"/>
    <x v="2"/>
    <x v="3"/>
    <x v="1"/>
    <s v="Returned"/>
    <n v="610"/>
    <n v="351"/>
    <x v="5"/>
    <x v="0"/>
    <x v="5"/>
    <x v="2"/>
    <x v="3"/>
    <m/>
  </r>
  <r>
    <d v="2023-08-08T00:00:00"/>
    <x v="5"/>
    <s v="Cutlery"/>
    <s v="3pcs"/>
    <x v="320"/>
    <x v="5"/>
    <x v="464"/>
    <n v="4"/>
    <n v="940"/>
    <x v="438"/>
    <x v="1"/>
    <x v="3"/>
    <x v="1"/>
    <s v="Delivered"/>
    <n v="947"/>
    <n v="235"/>
    <x v="10"/>
    <x v="8"/>
    <x v="10"/>
    <x v="3"/>
    <x v="2"/>
    <m/>
  </r>
  <r>
    <d v="2023-08-09T00:00:00"/>
    <x v="3"/>
    <s v="Containers"/>
    <s v="1L"/>
    <x v="7"/>
    <x v="3"/>
    <x v="465"/>
    <n v="3"/>
    <n v="525"/>
    <x v="439"/>
    <x v="1"/>
    <x v="0"/>
    <x v="1"/>
    <s v="Returned"/>
    <n v="850"/>
    <n v="175"/>
    <x v="10"/>
    <x v="8"/>
    <x v="10"/>
    <x v="4"/>
    <x v="10"/>
    <m/>
  </r>
  <r>
    <d v="2023-08-10T00:00:00"/>
    <x v="1"/>
    <s v="Glass &amp; Bottles"/>
    <s v="750ml"/>
    <x v="76"/>
    <x v="1"/>
    <x v="466"/>
    <n v="12"/>
    <n v="3744"/>
    <x v="440"/>
    <x v="1"/>
    <x v="3"/>
    <x v="2"/>
    <s v="Returned"/>
    <n v="623"/>
    <n v="312"/>
    <x v="19"/>
    <x v="13"/>
    <x v="18"/>
    <x v="0"/>
    <x v="2"/>
    <m/>
  </r>
  <r>
    <d v="2023-08-11T00:00:00"/>
    <x v="0"/>
    <s v="Takeaway Boxes"/>
    <s v="Large"/>
    <x v="72"/>
    <x v="0"/>
    <x v="467"/>
    <n v="5"/>
    <n v="920"/>
    <x v="441"/>
    <x v="0"/>
    <x v="2"/>
    <x v="2"/>
    <s v="Returned"/>
    <n v="763"/>
    <n v="184"/>
    <x v="7"/>
    <x v="5"/>
    <x v="7"/>
    <x v="1"/>
    <x v="0"/>
    <m/>
  </r>
  <r>
    <d v="2023-08-12T00:00:00"/>
    <x v="0"/>
    <s v="Takeaway Boxes"/>
    <s v="Large"/>
    <x v="321"/>
    <x v="0"/>
    <x v="468"/>
    <n v="5"/>
    <n v="245"/>
    <x v="442"/>
    <x v="2"/>
    <x v="1"/>
    <x v="2"/>
    <s v="Delivered"/>
    <n v="661"/>
    <n v="49"/>
    <x v="7"/>
    <x v="5"/>
    <x v="7"/>
    <x v="1"/>
    <x v="5"/>
    <m/>
  </r>
  <r>
    <d v="2023-08-13T00:00:00"/>
    <x v="4"/>
    <s v="Plates &amp; Bowls"/>
    <s v="500ml"/>
    <x v="42"/>
    <x v="4"/>
    <x v="469"/>
    <n v="1.5"/>
    <n v="136.5"/>
    <x v="443"/>
    <x v="1"/>
    <x v="2"/>
    <x v="0"/>
    <s v="Delayed"/>
    <n v="686"/>
    <n v="91"/>
    <x v="0"/>
    <x v="0"/>
    <x v="0"/>
    <x v="3"/>
    <x v="2"/>
    <m/>
  </r>
  <r>
    <d v="2023-08-14T00:00:00"/>
    <x v="0"/>
    <s v="Takeaway Boxes"/>
    <s v="Large"/>
    <x v="192"/>
    <x v="0"/>
    <x v="470"/>
    <n v="5"/>
    <n v="525"/>
    <x v="444"/>
    <x v="0"/>
    <x v="1"/>
    <x v="0"/>
    <s v="Returned"/>
    <n v="732"/>
    <n v="105"/>
    <x v="11"/>
    <x v="9"/>
    <x v="11"/>
    <x v="2"/>
    <x v="10"/>
    <m/>
  </r>
  <r>
    <d v="2023-08-15T00:00:00"/>
    <x v="1"/>
    <s v="Glass &amp; Bottles"/>
    <s v="750ml"/>
    <x v="249"/>
    <x v="1"/>
    <x v="471"/>
    <n v="12"/>
    <n v="2028"/>
    <x v="445"/>
    <x v="2"/>
    <x v="3"/>
    <x v="0"/>
    <s v="Delivered"/>
    <n v="806"/>
    <n v="169"/>
    <x v="1"/>
    <x v="1"/>
    <x v="1"/>
    <x v="0"/>
    <x v="1"/>
    <m/>
  </r>
  <r>
    <d v="2023-08-16T00:00:00"/>
    <x v="5"/>
    <s v="Cutlery"/>
    <s v="3pcs"/>
    <x v="91"/>
    <x v="5"/>
    <x v="472"/>
    <n v="4"/>
    <n v="888"/>
    <x v="202"/>
    <x v="0"/>
    <x v="0"/>
    <x v="0"/>
    <s v="Delivered"/>
    <n v="591"/>
    <n v="222"/>
    <x v="11"/>
    <x v="9"/>
    <x v="11"/>
    <x v="0"/>
    <x v="6"/>
    <m/>
  </r>
  <r>
    <d v="2023-08-17T00:00:00"/>
    <x v="5"/>
    <s v="Cutlery"/>
    <s v="3pcs"/>
    <x v="281"/>
    <x v="5"/>
    <x v="434"/>
    <n v="4"/>
    <n v="932"/>
    <x v="409"/>
    <x v="0"/>
    <x v="0"/>
    <x v="1"/>
    <s v="Returned"/>
    <n v="921"/>
    <n v="233"/>
    <x v="5"/>
    <x v="0"/>
    <x v="5"/>
    <x v="2"/>
    <x v="0"/>
    <m/>
  </r>
  <r>
    <d v="2023-08-18T00:00:00"/>
    <x v="3"/>
    <s v="Containers"/>
    <s v="1L"/>
    <x v="322"/>
    <x v="3"/>
    <x v="264"/>
    <n v="3"/>
    <n v="657"/>
    <x v="256"/>
    <x v="1"/>
    <x v="3"/>
    <x v="0"/>
    <s v="Delivered"/>
    <n v="926"/>
    <n v="219"/>
    <x v="3"/>
    <x v="2"/>
    <x v="3"/>
    <x v="1"/>
    <x v="11"/>
    <m/>
  </r>
  <r>
    <d v="2023-08-19T00:00:00"/>
    <x v="0"/>
    <s v="Takeaway Boxes"/>
    <s v="Large"/>
    <x v="36"/>
    <x v="0"/>
    <x v="112"/>
    <n v="5"/>
    <n v="640"/>
    <x v="109"/>
    <x v="0"/>
    <x v="1"/>
    <x v="0"/>
    <s v="Returned"/>
    <n v="606"/>
    <n v="128"/>
    <x v="4"/>
    <x v="3"/>
    <x v="4"/>
    <x v="1"/>
    <x v="0"/>
    <m/>
  </r>
  <r>
    <d v="2023-08-20T00:00:00"/>
    <x v="3"/>
    <s v="Containers"/>
    <s v="1L"/>
    <x v="70"/>
    <x v="3"/>
    <x v="72"/>
    <n v="3"/>
    <n v="1461"/>
    <x v="71"/>
    <x v="1"/>
    <x v="0"/>
    <x v="2"/>
    <s v="Returned"/>
    <n v="740"/>
    <n v="487"/>
    <x v="12"/>
    <x v="3"/>
    <x v="10"/>
    <x v="1"/>
    <x v="4"/>
    <m/>
  </r>
  <r>
    <d v="2023-08-21T00:00:00"/>
    <x v="2"/>
    <s v="Housekeeping Items"/>
    <s v="Standard"/>
    <x v="217"/>
    <x v="2"/>
    <x v="473"/>
    <n v="100"/>
    <n v="44100"/>
    <x v="446"/>
    <x v="0"/>
    <x v="3"/>
    <x v="1"/>
    <s v="Returned"/>
    <n v="843"/>
    <n v="441"/>
    <x v="10"/>
    <x v="8"/>
    <x v="10"/>
    <x v="0"/>
    <x v="1"/>
    <m/>
  </r>
  <r>
    <d v="2023-08-22T00:00:00"/>
    <x v="5"/>
    <s v="Cutlery"/>
    <s v="3pcs"/>
    <x v="68"/>
    <x v="5"/>
    <x v="273"/>
    <n v="4"/>
    <n v="1080"/>
    <x v="69"/>
    <x v="1"/>
    <x v="3"/>
    <x v="1"/>
    <s v="Delayed"/>
    <n v="557"/>
    <n v="270"/>
    <x v="17"/>
    <x v="11"/>
    <x v="16"/>
    <x v="3"/>
    <x v="9"/>
    <m/>
  </r>
  <r>
    <d v="2023-08-23T00:00:00"/>
    <x v="0"/>
    <s v="Takeaway Boxes"/>
    <s v="Large"/>
    <x v="203"/>
    <x v="0"/>
    <x v="474"/>
    <n v="5"/>
    <n v="1685"/>
    <x v="447"/>
    <x v="1"/>
    <x v="3"/>
    <x v="0"/>
    <s v="Delayed"/>
    <n v="894"/>
    <n v="337"/>
    <x v="0"/>
    <x v="0"/>
    <x v="0"/>
    <x v="2"/>
    <x v="0"/>
    <m/>
  </r>
  <r>
    <d v="2023-08-24T00:00:00"/>
    <x v="4"/>
    <s v="Plates &amp; Bowls"/>
    <s v="500ml"/>
    <x v="323"/>
    <x v="4"/>
    <x v="475"/>
    <n v="1.5"/>
    <n v="69"/>
    <x v="448"/>
    <x v="1"/>
    <x v="2"/>
    <x v="2"/>
    <s v="Returned"/>
    <n v="763"/>
    <n v="46"/>
    <x v="1"/>
    <x v="1"/>
    <x v="1"/>
    <x v="1"/>
    <x v="8"/>
    <m/>
  </r>
  <r>
    <d v="2023-08-25T00:00:00"/>
    <x v="1"/>
    <s v="Glass &amp; Bottles"/>
    <s v="750ml"/>
    <x v="324"/>
    <x v="1"/>
    <x v="476"/>
    <n v="12"/>
    <n v="4020"/>
    <x v="449"/>
    <x v="1"/>
    <x v="2"/>
    <x v="2"/>
    <s v="Delayed"/>
    <n v="776"/>
    <n v="335"/>
    <x v="13"/>
    <x v="2"/>
    <x v="12"/>
    <x v="2"/>
    <x v="0"/>
    <m/>
  </r>
  <r>
    <d v="2023-08-26T00:00:00"/>
    <x v="5"/>
    <s v="Cutlery"/>
    <s v="3pcs"/>
    <x v="325"/>
    <x v="5"/>
    <x v="477"/>
    <n v="4"/>
    <n v="852"/>
    <x v="295"/>
    <x v="0"/>
    <x v="2"/>
    <x v="0"/>
    <s v="Delayed"/>
    <n v="713"/>
    <n v="213"/>
    <x v="3"/>
    <x v="2"/>
    <x v="3"/>
    <x v="4"/>
    <x v="3"/>
    <m/>
  </r>
  <r>
    <d v="2023-08-27T00:00:00"/>
    <x v="4"/>
    <s v="Plates &amp; Bowls"/>
    <s v="500ml"/>
    <x v="189"/>
    <x v="4"/>
    <x v="46"/>
    <n v="1.5"/>
    <n v="60"/>
    <x v="45"/>
    <x v="2"/>
    <x v="3"/>
    <x v="2"/>
    <s v="Delivered"/>
    <n v="885"/>
    <n v="40"/>
    <x v="7"/>
    <x v="5"/>
    <x v="7"/>
    <x v="3"/>
    <x v="3"/>
    <m/>
  </r>
  <r>
    <d v="2023-08-28T00:00:00"/>
    <x v="1"/>
    <s v="Glass &amp; Bottles"/>
    <s v="750ml"/>
    <x v="59"/>
    <x v="1"/>
    <x v="478"/>
    <n v="12"/>
    <n v="4644"/>
    <x v="450"/>
    <x v="0"/>
    <x v="3"/>
    <x v="0"/>
    <s v="Delivered"/>
    <n v="626"/>
    <n v="387"/>
    <x v="7"/>
    <x v="5"/>
    <x v="7"/>
    <x v="0"/>
    <x v="8"/>
    <m/>
  </r>
  <r>
    <d v="2023-08-29T00:00:00"/>
    <x v="5"/>
    <s v="Cutlery"/>
    <s v="3pcs"/>
    <x v="194"/>
    <x v="5"/>
    <x v="479"/>
    <n v="4"/>
    <n v="1576"/>
    <x v="451"/>
    <x v="2"/>
    <x v="3"/>
    <x v="0"/>
    <s v="Delivered"/>
    <n v="548"/>
    <n v="394"/>
    <x v="0"/>
    <x v="0"/>
    <x v="0"/>
    <x v="0"/>
    <x v="8"/>
    <m/>
  </r>
  <r>
    <d v="2023-08-30T00:00:00"/>
    <x v="2"/>
    <s v="Housekeeping Items"/>
    <s v="Standard"/>
    <x v="169"/>
    <x v="2"/>
    <x v="192"/>
    <n v="100"/>
    <n v="12700"/>
    <x v="188"/>
    <x v="0"/>
    <x v="3"/>
    <x v="0"/>
    <s v="Delayed"/>
    <n v="785"/>
    <n v="127"/>
    <x v="1"/>
    <x v="1"/>
    <x v="1"/>
    <x v="4"/>
    <x v="5"/>
    <m/>
  </r>
  <r>
    <d v="2023-08-31T00:00:00"/>
    <x v="4"/>
    <s v="Plates &amp; Bowls"/>
    <s v="500ml"/>
    <x v="326"/>
    <x v="4"/>
    <x v="480"/>
    <n v="1.5"/>
    <n v="304.5"/>
    <x v="452"/>
    <x v="1"/>
    <x v="0"/>
    <x v="2"/>
    <s v="Delayed"/>
    <n v="597"/>
    <n v="203"/>
    <x v="5"/>
    <x v="0"/>
    <x v="5"/>
    <x v="3"/>
    <x v="4"/>
    <m/>
  </r>
  <r>
    <d v="2023-09-01T00:00:00"/>
    <x v="0"/>
    <s v="Takeaway Boxes"/>
    <s v="Large"/>
    <x v="327"/>
    <x v="0"/>
    <x v="481"/>
    <n v="5"/>
    <n v="2120"/>
    <x v="453"/>
    <x v="2"/>
    <x v="0"/>
    <x v="2"/>
    <s v="Delivered"/>
    <n v="509"/>
    <n v="424"/>
    <x v="7"/>
    <x v="5"/>
    <x v="7"/>
    <x v="3"/>
    <x v="4"/>
    <m/>
  </r>
  <r>
    <d v="2023-09-02T00:00:00"/>
    <x v="4"/>
    <s v="Plates &amp; Bowls"/>
    <s v="500ml"/>
    <x v="106"/>
    <x v="4"/>
    <x v="482"/>
    <n v="1.5"/>
    <n v="49.5"/>
    <x v="454"/>
    <x v="1"/>
    <x v="1"/>
    <x v="0"/>
    <s v="Returned"/>
    <n v="910"/>
    <n v="33"/>
    <x v="18"/>
    <x v="12"/>
    <x v="17"/>
    <x v="2"/>
    <x v="9"/>
    <m/>
  </r>
  <r>
    <d v="2023-09-03T00:00:00"/>
    <x v="5"/>
    <s v="Cutlery"/>
    <s v="3pcs"/>
    <x v="328"/>
    <x v="5"/>
    <x v="483"/>
    <n v="4"/>
    <n v="1564"/>
    <x v="455"/>
    <x v="1"/>
    <x v="1"/>
    <x v="2"/>
    <s v="Returned"/>
    <n v="741"/>
    <n v="391"/>
    <x v="4"/>
    <x v="3"/>
    <x v="4"/>
    <x v="1"/>
    <x v="0"/>
    <m/>
  </r>
  <r>
    <d v="2023-09-04T00:00:00"/>
    <x v="5"/>
    <s v="Cutlery"/>
    <s v="3pcs"/>
    <x v="320"/>
    <x v="5"/>
    <x v="464"/>
    <n v="4"/>
    <n v="940"/>
    <x v="438"/>
    <x v="0"/>
    <x v="1"/>
    <x v="2"/>
    <s v="Delayed"/>
    <n v="923"/>
    <n v="235"/>
    <x v="1"/>
    <x v="1"/>
    <x v="1"/>
    <x v="3"/>
    <x v="7"/>
    <m/>
  </r>
  <r>
    <d v="2023-09-05T00:00:00"/>
    <x v="4"/>
    <s v="Plates &amp; Bowls"/>
    <s v="500ml"/>
    <x v="146"/>
    <x v="4"/>
    <x v="484"/>
    <n v="1.5"/>
    <n v="535.5"/>
    <x v="456"/>
    <x v="0"/>
    <x v="1"/>
    <x v="2"/>
    <s v="Delivered"/>
    <n v="721"/>
    <n v="357"/>
    <x v="19"/>
    <x v="13"/>
    <x v="18"/>
    <x v="0"/>
    <x v="10"/>
    <m/>
  </r>
  <r>
    <d v="2023-09-06T00:00:00"/>
    <x v="0"/>
    <s v="Takeaway Boxes"/>
    <s v="Large"/>
    <x v="329"/>
    <x v="0"/>
    <x v="485"/>
    <n v="5"/>
    <n v="2420"/>
    <x v="457"/>
    <x v="2"/>
    <x v="3"/>
    <x v="2"/>
    <s v="Delivered"/>
    <n v="742"/>
    <n v="484"/>
    <x v="9"/>
    <x v="7"/>
    <x v="9"/>
    <x v="1"/>
    <x v="6"/>
    <m/>
  </r>
  <r>
    <d v="2023-09-07T00:00:00"/>
    <x v="2"/>
    <s v="Housekeeping Items"/>
    <s v="Standard"/>
    <x v="157"/>
    <x v="2"/>
    <x v="486"/>
    <n v="100"/>
    <n v="19000"/>
    <x v="458"/>
    <x v="1"/>
    <x v="0"/>
    <x v="0"/>
    <s v="Delivered"/>
    <n v="849"/>
    <n v="190"/>
    <x v="6"/>
    <x v="4"/>
    <x v="6"/>
    <x v="1"/>
    <x v="9"/>
    <m/>
  </r>
  <r>
    <d v="2023-09-08T00:00:00"/>
    <x v="0"/>
    <s v="Takeaway Boxes"/>
    <s v="Large"/>
    <x v="136"/>
    <x v="0"/>
    <x v="144"/>
    <n v="5"/>
    <n v="250"/>
    <x v="140"/>
    <x v="2"/>
    <x v="1"/>
    <x v="1"/>
    <s v="Returned"/>
    <n v="625"/>
    <n v="50"/>
    <x v="14"/>
    <x v="6"/>
    <x v="13"/>
    <x v="0"/>
    <x v="1"/>
    <m/>
  </r>
  <r>
    <d v="2023-09-09T00:00:00"/>
    <x v="2"/>
    <s v="Housekeeping Items"/>
    <s v="Standard"/>
    <x v="105"/>
    <x v="2"/>
    <x v="487"/>
    <n v="100"/>
    <n v="31700"/>
    <x v="459"/>
    <x v="2"/>
    <x v="1"/>
    <x v="1"/>
    <s v="Delayed"/>
    <n v="546"/>
    <n v="317"/>
    <x v="3"/>
    <x v="2"/>
    <x v="3"/>
    <x v="1"/>
    <x v="2"/>
    <m/>
  </r>
  <r>
    <d v="2023-09-10T00:00:00"/>
    <x v="1"/>
    <s v="Glass &amp; Bottles"/>
    <s v="750ml"/>
    <x v="330"/>
    <x v="1"/>
    <x v="488"/>
    <n v="12"/>
    <n v="3900"/>
    <x v="460"/>
    <x v="2"/>
    <x v="0"/>
    <x v="1"/>
    <s v="Delivered"/>
    <n v="830"/>
    <n v="325"/>
    <x v="7"/>
    <x v="5"/>
    <x v="7"/>
    <x v="1"/>
    <x v="6"/>
    <m/>
  </r>
  <r>
    <d v="2023-09-11T00:00:00"/>
    <x v="0"/>
    <s v="Takeaway Boxes"/>
    <s v="Large"/>
    <x v="320"/>
    <x v="0"/>
    <x v="366"/>
    <n v="5"/>
    <n v="1175"/>
    <x v="461"/>
    <x v="1"/>
    <x v="0"/>
    <x v="0"/>
    <s v="Delivered"/>
    <n v="712"/>
    <n v="235"/>
    <x v="15"/>
    <x v="10"/>
    <x v="14"/>
    <x v="1"/>
    <x v="8"/>
    <m/>
  </r>
  <r>
    <d v="2023-09-12T00:00:00"/>
    <x v="2"/>
    <s v="Housekeeping Items"/>
    <s v="Standard"/>
    <x v="331"/>
    <x v="2"/>
    <x v="489"/>
    <n v="100"/>
    <n v="7300"/>
    <x v="462"/>
    <x v="0"/>
    <x v="3"/>
    <x v="2"/>
    <s v="Delayed"/>
    <n v="856"/>
    <n v="73"/>
    <x v="12"/>
    <x v="3"/>
    <x v="10"/>
    <x v="2"/>
    <x v="6"/>
    <m/>
  </r>
  <r>
    <d v="2023-09-13T00:00:00"/>
    <x v="1"/>
    <s v="Glass &amp; Bottles"/>
    <s v="750ml"/>
    <x v="122"/>
    <x v="1"/>
    <x v="490"/>
    <n v="12"/>
    <n v="1872"/>
    <x v="463"/>
    <x v="0"/>
    <x v="1"/>
    <x v="0"/>
    <s v="Returned"/>
    <n v="548"/>
    <n v="156"/>
    <x v="9"/>
    <x v="7"/>
    <x v="9"/>
    <x v="2"/>
    <x v="3"/>
    <m/>
  </r>
  <r>
    <d v="2023-09-14T00:00:00"/>
    <x v="3"/>
    <s v="Containers"/>
    <s v="1L"/>
    <x v="332"/>
    <x v="3"/>
    <x v="491"/>
    <n v="3"/>
    <n v="84"/>
    <x v="464"/>
    <x v="2"/>
    <x v="1"/>
    <x v="2"/>
    <s v="Delivered"/>
    <n v="526"/>
    <n v="28"/>
    <x v="17"/>
    <x v="11"/>
    <x v="16"/>
    <x v="4"/>
    <x v="1"/>
    <m/>
  </r>
  <r>
    <d v="2023-09-15T00:00:00"/>
    <x v="2"/>
    <s v="Housekeeping Items"/>
    <s v="Standard"/>
    <x v="97"/>
    <x v="2"/>
    <x v="492"/>
    <n v="100"/>
    <n v="23000"/>
    <x v="465"/>
    <x v="0"/>
    <x v="1"/>
    <x v="1"/>
    <s v="Delayed"/>
    <n v="573"/>
    <n v="230"/>
    <x v="18"/>
    <x v="12"/>
    <x v="17"/>
    <x v="4"/>
    <x v="9"/>
    <m/>
  </r>
  <r>
    <d v="2023-09-16T00:00:00"/>
    <x v="3"/>
    <s v="Containers"/>
    <s v="1L"/>
    <x v="210"/>
    <x v="3"/>
    <x v="412"/>
    <n v="3"/>
    <n v="1110"/>
    <x v="388"/>
    <x v="0"/>
    <x v="2"/>
    <x v="2"/>
    <s v="Returned"/>
    <n v="945"/>
    <n v="370"/>
    <x v="14"/>
    <x v="6"/>
    <x v="13"/>
    <x v="4"/>
    <x v="8"/>
    <m/>
  </r>
  <r>
    <d v="2023-09-17T00:00:00"/>
    <x v="5"/>
    <s v="Cutlery"/>
    <s v="3pcs"/>
    <x v="318"/>
    <x v="5"/>
    <x v="493"/>
    <n v="4"/>
    <n v="976"/>
    <x v="466"/>
    <x v="0"/>
    <x v="3"/>
    <x v="2"/>
    <s v="Returned"/>
    <n v="945"/>
    <n v="244"/>
    <x v="11"/>
    <x v="9"/>
    <x v="11"/>
    <x v="0"/>
    <x v="9"/>
    <m/>
  </r>
  <r>
    <d v="2023-09-18T00:00:00"/>
    <x v="2"/>
    <s v="Housekeeping Items"/>
    <s v="Standard"/>
    <x v="333"/>
    <x v="2"/>
    <x v="494"/>
    <n v="100"/>
    <n v="22600"/>
    <x v="467"/>
    <x v="0"/>
    <x v="2"/>
    <x v="0"/>
    <s v="Delivered"/>
    <n v="828"/>
    <n v="226"/>
    <x v="14"/>
    <x v="6"/>
    <x v="13"/>
    <x v="3"/>
    <x v="8"/>
    <m/>
  </r>
  <r>
    <d v="2023-09-19T00:00:00"/>
    <x v="5"/>
    <s v="Cutlery"/>
    <s v="3pcs"/>
    <x v="317"/>
    <x v="5"/>
    <x v="323"/>
    <n v="4"/>
    <n v="336"/>
    <x v="468"/>
    <x v="2"/>
    <x v="3"/>
    <x v="0"/>
    <s v="Delayed"/>
    <n v="889"/>
    <n v="84"/>
    <x v="16"/>
    <x v="4"/>
    <x v="15"/>
    <x v="1"/>
    <x v="10"/>
    <m/>
  </r>
  <r>
    <d v="2023-09-20T00:00:00"/>
    <x v="2"/>
    <s v="Housekeeping Items"/>
    <s v="Standard"/>
    <x v="301"/>
    <x v="2"/>
    <x v="495"/>
    <n v="100"/>
    <n v="12600"/>
    <x v="469"/>
    <x v="2"/>
    <x v="0"/>
    <x v="0"/>
    <s v="Delayed"/>
    <n v="839"/>
    <n v="126"/>
    <x v="5"/>
    <x v="0"/>
    <x v="5"/>
    <x v="0"/>
    <x v="8"/>
    <m/>
  </r>
  <r>
    <d v="2023-09-21T00:00:00"/>
    <x v="5"/>
    <s v="Cutlery"/>
    <s v="3pcs"/>
    <x v="334"/>
    <x v="5"/>
    <x v="496"/>
    <n v="4"/>
    <n v="264"/>
    <x v="470"/>
    <x v="1"/>
    <x v="0"/>
    <x v="2"/>
    <s v="Returned"/>
    <n v="815"/>
    <n v="66"/>
    <x v="8"/>
    <x v="6"/>
    <x v="8"/>
    <x v="1"/>
    <x v="6"/>
    <m/>
  </r>
  <r>
    <d v="2023-09-22T00:00:00"/>
    <x v="2"/>
    <s v="Housekeeping Items"/>
    <s v="Standard"/>
    <x v="223"/>
    <x v="2"/>
    <x v="497"/>
    <n v="100"/>
    <n v="40300"/>
    <x v="471"/>
    <x v="0"/>
    <x v="0"/>
    <x v="0"/>
    <s v="Returned"/>
    <n v="860"/>
    <n v="403"/>
    <x v="11"/>
    <x v="9"/>
    <x v="11"/>
    <x v="3"/>
    <x v="2"/>
    <m/>
  </r>
  <r>
    <d v="2023-09-23T00:00:00"/>
    <x v="1"/>
    <s v="Glass &amp; Bottles"/>
    <s v="750ml"/>
    <x v="181"/>
    <x v="1"/>
    <x v="498"/>
    <n v="12"/>
    <n v="3876"/>
    <x v="472"/>
    <x v="2"/>
    <x v="2"/>
    <x v="0"/>
    <s v="Delayed"/>
    <n v="615"/>
    <n v="323"/>
    <x v="18"/>
    <x v="12"/>
    <x v="17"/>
    <x v="1"/>
    <x v="10"/>
    <m/>
  </r>
  <r>
    <d v="2023-09-24T00:00:00"/>
    <x v="2"/>
    <s v="Housekeeping Items"/>
    <s v="Standard"/>
    <x v="335"/>
    <x v="2"/>
    <x v="499"/>
    <n v="100"/>
    <n v="49800"/>
    <x v="473"/>
    <x v="0"/>
    <x v="0"/>
    <x v="1"/>
    <s v="Returned"/>
    <n v="826"/>
    <n v="498"/>
    <x v="5"/>
    <x v="0"/>
    <x v="5"/>
    <x v="1"/>
    <x v="11"/>
    <m/>
  </r>
  <r>
    <d v="2023-09-25T00:00:00"/>
    <x v="2"/>
    <s v="Housekeeping Items"/>
    <s v="Standard"/>
    <x v="336"/>
    <x v="2"/>
    <x v="500"/>
    <n v="100"/>
    <n v="47700"/>
    <x v="474"/>
    <x v="0"/>
    <x v="1"/>
    <x v="1"/>
    <s v="Returned"/>
    <n v="869"/>
    <n v="477"/>
    <x v="4"/>
    <x v="3"/>
    <x v="4"/>
    <x v="4"/>
    <x v="9"/>
    <m/>
  </r>
  <r>
    <d v="2023-09-26T00:00:00"/>
    <x v="1"/>
    <s v="Glass &amp; Bottles"/>
    <s v="750ml"/>
    <x v="259"/>
    <x v="1"/>
    <x v="501"/>
    <n v="12"/>
    <n v="5604"/>
    <x v="475"/>
    <x v="1"/>
    <x v="3"/>
    <x v="1"/>
    <s v="Delayed"/>
    <n v="720"/>
    <n v="467"/>
    <x v="8"/>
    <x v="6"/>
    <x v="8"/>
    <x v="1"/>
    <x v="7"/>
    <m/>
  </r>
  <r>
    <d v="2023-09-27T00:00:00"/>
    <x v="4"/>
    <s v="Plates &amp; Bowls"/>
    <s v="500ml"/>
    <x v="246"/>
    <x v="4"/>
    <x v="299"/>
    <n v="1.5"/>
    <n v="688.5"/>
    <x v="63"/>
    <x v="0"/>
    <x v="3"/>
    <x v="1"/>
    <s v="Delayed"/>
    <n v="548"/>
    <n v="459"/>
    <x v="7"/>
    <x v="5"/>
    <x v="7"/>
    <x v="3"/>
    <x v="5"/>
    <m/>
  </r>
  <r>
    <d v="2023-09-28T00:00:00"/>
    <x v="0"/>
    <s v="Takeaway Boxes"/>
    <s v="Large"/>
    <x v="69"/>
    <x v="0"/>
    <x v="502"/>
    <n v="5"/>
    <n v="1860"/>
    <x v="476"/>
    <x v="1"/>
    <x v="2"/>
    <x v="1"/>
    <s v="Delivered"/>
    <n v="817"/>
    <n v="372"/>
    <x v="5"/>
    <x v="0"/>
    <x v="5"/>
    <x v="0"/>
    <x v="6"/>
    <m/>
  </r>
  <r>
    <d v="2023-09-29T00:00:00"/>
    <x v="4"/>
    <s v="Plates &amp; Bowls"/>
    <s v="500ml"/>
    <x v="177"/>
    <x v="4"/>
    <x v="503"/>
    <n v="1.5"/>
    <n v="508.5"/>
    <x v="477"/>
    <x v="2"/>
    <x v="2"/>
    <x v="1"/>
    <s v="Delivered"/>
    <n v="847"/>
    <n v="339"/>
    <x v="6"/>
    <x v="4"/>
    <x v="6"/>
    <x v="3"/>
    <x v="3"/>
    <m/>
  </r>
  <r>
    <d v="2023-09-30T00:00:00"/>
    <x v="2"/>
    <s v="Housekeeping Items"/>
    <s v="Standard"/>
    <x v="22"/>
    <x v="2"/>
    <x v="136"/>
    <n v="100"/>
    <n v="6900"/>
    <x v="132"/>
    <x v="2"/>
    <x v="3"/>
    <x v="1"/>
    <s v="Delivered"/>
    <n v="624"/>
    <n v="69"/>
    <x v="11"/>
    <x v="9"/>
    <x v="11"/>
    <x v="0"/>
    <x v="7"/>
    <m/>
  </r>
  <r>
    <d v="2023-10-01T00:00:00"/>
    <x v="1"/>
    <s v="Glass &amp; Bottles"/>
    <s v="750ml"/>
    <x v="252"/>
    <x v="1"/>
    <x v="504"/>
    <n v="12"/>
    <n v="816"/>
    <x v="478"/>
    <x v="1"/>
    <x v="1"/>
    <x v="2"/>
    <s v="Delayed"/>
    <n v="597"/>
    <n v="68"/>
    <x v="2"/>
    <x v="2"/>
    <x v="2"/>
    <x v="3"/>
    <x v="2"/>
    <m/>
  </r>
  <r>
    <d v="2023-10-02T00:00:00"/>
    <x v="3"/>
    <s v="Containers"/>
    <s v="1L"/>
    <x v="220"/>
    <x v="3"/>
    <x v="335"/>
    <n v="3"/>
    <n v="93"/>
    <x v="317"/>
    <x v="1"/>
    <x v="0"/>
    <x v="2"/>
    <s v="Delivered"/>
    <n v="744"/>
    <n v="31"/>
    <x v="10"/>
    <x v="8"/>
    <x v="10"/>
    <x v="1"/>
    <x v="0"/>
    <m/>
  </r>
  <r>
    <d v="2023-10-03T00:00:00"/>
    <x v="2"/>
    <s v="Housekeeping Items"/>
    <s v="Standard"/>
    <x v="137"/>
    <x v="2"/>
    <x v="505"/>
    <n v="100"/>
    <n v="8200"/>
    <x v="479"/>
    <x v="2"/>
    <x v="1"/>
    <x v="2"/>
    <s v="Returned"/>
    <n v="825"/>
    <n v="82"/>
    <x v="4"/>
    <x v="3"/>
    <x v="4"/>
    <x v="1"/>
    <x v="4"/>
    <m/>
  </r>
  <r>
    <d v="2023-10-04T00:00:00"/>
    <x v="2"/>
    <s v="Housekeeping Items"/>
    <s v="Standard"/>
    <x v="224"/>
    <x v="2"/>
    <x v="506"/>
    <n v="100"/>
    <n v="39700"/>
    <x v="480"/>
    <x v="0"/>
    <x v="3"/>
    <x v="1"/>
    <s v="Delayed"/>
    <n v="783"/>
    <n v="397"/>
    <x v="11"/>
    <x v="9"/>
    <x v="11"/>
    <x v="4"/>
    <x v="1"/>
    <m/>
  </r>
  <r>
    <d v="2023-10-05T00:00:00"/>
    <x v="1"/>
    <s v="Glass &amp; Bottles"/>
    <s v="750ml"/>
    <x v="337"/>
    <x v="1"/>
    <x v="507"/>
    <n v="12"/>
    <n v="732"/>
    <x v="466"/>
    <x v="0"/>
    <x v="0"/>
    <x v="1"/>
    <s v="Delayed"/>
    <n v="973"/>
    <n v="61"/>
    <x v="10"/>
    <x v="8"/>
    <x v="10"/>
    <x v="0"/>
    <x v="0"/>
    <m/>
  </r>
  <r>
    <d v="2023-10-06T00:00:00"/>
    <x v="4"/>
    <s v="Plates &amp; Bowls"/>
    <s v="500ml"/>
    <x v="228"/>
    <x v="4"/>
    <x v="508"/>
    <n v="1.5"/>
    <n v="744"/>
    <x v="481"/>
    <x v="0"/>
    <x v="0"/>
    <x v="1"/>
    <s v="Delivered"/>
    <n v="639"/>
    <n v="496"/>
    <x v="14"/>
    <x v="6"/>
    <x v="13"/>
    <x v="3"/>
    <x v="10"/>
    <m/>
  </r>
  <r>
    <d v="2023-10-07T00:00:00"/>
    <x v="2"/>
    <s v="Housekeeping Items"/>
    <s v="Standard"/>
    <x v="338"/>
    <x v="2"/>
    <x v="509"/>
    <n v="100"/>
    <n v="14200"/>
    <x v="482"/>
    <x v="1"/>
    <x v="0"/>
    <x v="0"/>
    <s v="Returned"/>
    <n v="603"/>
    <n v="142"/>
    <x v="18"/>
    <x v="12"/>
    <x v="17"/>
    <x v="3"/>
    <x v="2"/>
    <m/>
  </r>
  <r>
    <d v="2023-10-08T00:00:00"/>
    <x v="0"/>
    <s v="Takeaway Boxes"/>
    <s v="Large"/>
    <x v="200"/>
    <x v="0"/>
    <x v="510"/>
    <n v="5"/>
    <n v="1595"/>
    <x v="483"/>
    <x v="0"/>
    <x v="3"/>
    <x v="2"/>
    <s v="Returned"/>
    <n v="972"/>
    <n v="319"/>
    <x v="11"/>
    <x v="9"/>
    <x v="11"/>
    <x v="1"/>
    <x v="0"/>
    <m/>
  </r>
  <r>
    <d v="2023-10-09T00:00:00"/>
    <x v="4"/>
    <s v="Plates &amp; Bowls"/>
    <s v="500ml"/>
    <x v="339"/>
    <x v="4"/>
    <x v="511"/>
    <n v="1.5"/>
    <n v="388.5"/>
    <x v="484"/>
    <x v="2"/>
    <x v="1"/>
    <x v="1"/>
    <s v="Delayed"/>
    <n v="638"/>
    <n v="259"/>
    <x v="11"/>
    <x v="9"/>
    <x v="11"/>
    <x v="0"/>
    <x v="3"/>
    <m/>
  </r>
  <r>
    <d v="2023-10-10T00:00:00"/>
    <x v="1"/>
    <s v="Glass &amp; Bottles"/>
    <s v="750ml"/>
    <x v="125"/>
    <x v="1"/>
    <x v="131"/>
    <n v="12"/>
    <n v="2592"/>
    <x v="126"/>
    <x v="0"/>
    <x v="1"/>
    <x v="1"/>
    <s v="Returned"/>
    <n v="725"/>
    <n v="216"/>
    <x v="19"/>
    <x v="13"/>
    <x v="18"/>
    <x v="0"/>
    <x v="4"/>
    <m/>
  </r>
  <r>
    <d v="2023-10-11T00:00:00"/>
    <x v="0"/>
    <s v="Takeaway Boxes"/>
    <s v="Large"/>
    <x v="285"/>
    <x v="0"/>
    <x v="346"/>
    <n v="5"/>
    <n v="575"/>
    <x v="430"/>
    <x v="0"/>
    <x v="2"/>
    <x v="1"/>
    <s v="Delayed"/>
    <n v="768"/>
    <n v="115"/>
    <x v="3"/>
    <x v="2"/>
    <x v="3"/>
    <x v="1"/>
    <x v="0"/>
    <m/>
  </r>
  <r>
    <d v="2023-10-12T00:00:00"/>
    <x v="1"/>
    <s v="Glass &amp; Bottles"/>
    <s v="750ml"/>
    <x v="221"/>
    <x v="1"/>
    <x v="216"/>
    <n v="12"/>
    <n v="960"/>
    <x v="210"/>
    <x v="2"/>
    <x v="2"/>
    <x v="1"/>
    <s v="Delayed"/>
    <n v="560"/>
    <n v="80"/>
    <x v="2"/>
    <x v="2"/>
    <x v="2"/>
    <x v="3"/>
    <x v="8"/>
    <m/>
  </r>
  <r>
    <d v="2023-10-13T00:00:00"/>
    <x v="2"/>
    <s v="Housekeeping Items"/>
    <s v="Standard"/>
    <x v="340"/>
    <x v="2"/>
    <x v="512"/>
    <n v="100"/>
    <n v="46400"/>
    <x v="485"/>
    <x v="1"/>
    <x v="1"/>
    <x v="0"/>
    <s v="Returned"/>
    <n v="941"/>
    <n v="464"/>
    <x v="12"/>
    <x v="3"/>
    <x v="10"/>
    <x v="1"/>
    <x v="9"/>
    <m/>
  </r>
  <r>
    <d v="2023-10-14T00:00:00"/>
    <x v="4"/>
    <s v="Plates &amp; Bowls"/>
    <s v="500ml"/>
    <x v="298"/>
    <x v="4"/>
    <x v="513"/>
    <n v="1.5"/>
    <n v="141"/>
    <x v="486"/>
    <x v="0"/>
    <x v="2"/>
    <x v="1"/>
    <s v="Delivered"/>
    <n v="571"/>
    <n v="94"/>
    <x v="7"/>
    <x v="5"/>
    <x v="7"/>
    <x v="1"/>
    <x v="4"/>
    <m/>
  </r>
  <r>
    <d v="2023-10-15T00:00:00"/>
    <x v="0"/>
    <s v="Takeaway Boxes"/>
    <s v="Large"/>
    <x v="26"/>
    <x v="0"/>
    <x v="27"/>
    <n v="5"/>
    <n v="2025"/>
    <x v="27"/>
    <x v="1"/>
    <x v="3"/>
    <x v="0"/>
    <s v="Delivered"/>
    <n v="671"/>
    <n v="405"/>
    <x v="19"/>
    <x v="13"/>
    <x v="18"/>
    <x v="0"/>
    <x v="2"/>
    <m/>
  </r>
  <r>
    <d v="2023-10-16T00:00:00"/>
    <x v="5"/>
    <s v="Cutlery"/>
    <s v="3pcs"/>
    <x v="341"/>
    <x v="5"/>
    <x v="514"/>
    <n v="4"/>
    <n v="828"/>
    <x v="487"/>
    <x v="0"/>
    <x v="0"/>
    <x v="1"/>
    <s v="Returned"/>
    <n v="990"/>
    <n v="207"/>
    <x v="13"/>
    <x v="2"/>
    <x v="12"/>
    <x v="4"/>
    <x v="8"/>
    <m/>
  </r>
  <r>
    <d v="2023-10-17T00:00:00"/>
    <x v="5"/>
    <s v="Cutlery"/>
    <s v="3pcs"/>
    <x v="94"/>
    <x v="5"/>
    <x v="515"/>
    <n v="4"/>
    <n v="1020"/>
    <x v="95"/>
    <x v="0"/>
    <x v="1"/>
    <x v="2"/>
    <s v="Delayed"/>
    <n v="623"/>
    <n v="255"/>
    <x v="5"/>
    <x v="0"/>
    <x v="5"/>
    <x v="1"/>
    <x v="0"/>
    <m/>
  </r>
  <r>
    <d v="2023-10-18T00:00:00"/>
    <x v="5"/>
    <s v="Cutlery"/>
    <s v="3pcs"/>
    <x v="120"/>
    <x v="5"/>
    <x v="125"/>
    <n v="4"/>
    <n v="324"/>
    <x v="122"/>
    <x v="2"/>
    <x v="3"/>
    <x v="0"/>
    <s v="Returned"/>
    <n v="870"/>
    <n v="81"/>
    <x v="17"/>
    <x v="11"/>
    <x v="16"/>
    <x v="0"/>
    <x v="8"/>
    <m/>
  </r>
  <r>
    <d v="2023-10-19T00:00:00"/>
    <x v="5"/>
    <s v="Cutlery"/>
    <s v="3pcs"/>
    <x v="123"/>
    <x v="5"/>
    <x v="128"/>
    <n v="4"/>
    <n v="1720"/>
    <x v="125"/>
    <x v="1"/>
    <x v="0"/>
    <x v="0"/>
    <s v="Delivered"/>
    <n v="853"/>
    <n v="430"/>
    <x v="14"/>
    <x v="6"/>
    <x v="13"/>
    <x v="0"/>
    <x v="1"/>
    <m/>
  </r>
  <r>
    <d v="2023-10-20T00:00:00"/>
    <x v="1"/>
    <s v="Glass &amp; Bottles"/>
    <s v="750ml"/>
    <x v="176"/>
    <x v="1"/>
    <x v="516"/>
    <n v="12"/>
    <n v="444"/>
    <x v="488"/>
    <x v="0"/>
    <x v="1"/>
    <x v="0"/>
    <s v="Returned"/>
    <n v="973"/>
    <n v="37"/>
    <x v="18"/>
    <x v="12"/>
    <x v="17"/>
    <x v="1"/>
    <x v="0"/>
    <m/>
  </r>
  <r>
    <d v="2023-10-21T00:00:00"/>
    <x v="2"/>
    <s v="Housekeeping Items"/>
    <s v="Standard"/>
    <x v="31"/>
    <x v="2"/>
    <x v="32"/>
    <n v="100"/>
    <n v="34000"/>
    <x v="31"/>
    <x v="0"/>
    <x v="1"/>
    <x v="2"/>
    <s v="Delivered"/>
    <n v="612"/>
    <n v="340"/>
    <x v="8"/>
    <x v="6"/>
    <x v="8"/>
    <x v="2"/>
    <x v="9"/>
    <m/>
  </r>
  <r>
    <d v="2023-10-22T00:00:00"/>
    <x v="2"/>
    <s v="Housekeeping Items"/>
    <s v="Standard"/>
    <x v="145"/>
    <x v="2"/>
    <x v="517"/>
    <n v="100"/>
    <n v="20000"/>
    <x v="489"/>
    <x v="2"/>
    <x v="0"/>
    <x v="2"/>
    <s v="Delayed"/>
    <n v="588"/>
    <n v="200"/>
    <x v="15"/>
    <x v="10"/>
    <x v="14"/>
    <x v="4"/>
    <x v="9"/>
    <m/>
  </r>
  <r>
    <d v="2023-10-23T00:00:00"/>
    <x v="3"/>
    <s v="Containers"/>
    <s v="1L"/>
    <x v="119"/>
    <x v="3"/>
    <x v="518"/>
    <n v="3"/>
    <n v="771"/>
    <x v="490"/>
    <x v="0"/>
    <x v="3"/>
    <x v="1"/>
    <s v="Delayed"/>
    <n v="977"/>
    <n v="257"/>
    <x v="17"/>
    <x v="11"/>
    <x v="16"/>
    <x v="0"/>
    <x v="6"/>
    <m/>
  </r>
  <r>
    <d v="2023-10-24T00:00:00"/>
    <x v="1"/>
    <s v="Glass &amp; Bottles"/>
    <s v="750ml"/>
    <x v="342"/>
    <x v="1"/>
    <x v="519"/>
    <n v="12"/>
    <n v="4476"/>
    <x v="491"/>
    <x v="1"/>
    <x v="1"/>
    <x v="1"/>
    <s v="Returned"/>
    <n v="591"/>
    <n v="373"/>
    <x v="7"/>
    <x v="5"/>
    <x v="7"/>
    <x v="3"/>
    <x v="0"/>
    <m/>
  </r>
  <r>
    <d v="2023-10-25T00:00:00"/>
    <x v="5"/>
    <s v="Cutlery"/>
    <s v="3pcs"/>
    <x v="147"/>
    <x v="5"/>
    <x v="161"/>
    <n v="4"/>
    <n v="1956"/>
    <x v="156"/>
    <x v="0"/>
    <x v="1"/>
    <x v="0"/>
    <s v="Delivered"/>
    <n v="744"/>
    <n v="489"/>
    <x v="16"/>
    <x v="4"/>
    <x v="15"/>
    <x v="0"/>
    <x v="5"/>
    <m/>
  </r>
  <r>
    <d v="2023-10-26T00:00:00"/>
    <x v="0"/>
    <s v="Takeaway Boxes"/>
    <s v="Large"/>
    <x v="195"/>
    <x v="0"/>
    <x v="520"/>
    <n v="5"/>
    <n v="2055"/>
    <x v="492"/>
    <x v="1"/>
    <x v="3"/>
    <x v="1"/>
    <s v="Returned"/>
    <n v="700"/>
    <n v="411"/>
    <x v="12"/>
    <x v="3"/>
    <x v="10"/>
    <x v="3"/>
    <x v="11"/>
    <m/>
  </r>
  <r>
    <d v="2023-10-27T00:00:00"/>
    <x v="4"/>
    <s v="Plates &amp; Bowls"/>
    <s v="500ml"/>
    <x v="248"/>
    <x v="4"/>
    <x v="521"/>
    <n v="1.5"/>
    <n v="649.5"/>
    <x v="493"/>
    <x v="0"/>
    <x v="3"/>
    <x v="0"/>
    <s v="Returned"/>
    <n v="525"/>
    <n v="433"/>
    <x v="4"/>
    <x v="3"/>
    <x v="4"/>
    <x v="3"/>
    <x v="1"/>
    <m/>
  </r>
  <r>
    <d v="2023-10-28T00:00:00"/>
    <x v="2"/>
    <s v="Housekeeping Items"/>
    <s v="Standard"/>
    <x v="343"/>
    <x v="2"/>
    <x v="522"/>
    <n v="100"/>
    <n v="30800"/>
    <x v="494"/>
    <x v="2"/>
    <x v="0"/>
    <x v="0"/>
    <s v="Returned"/>
    <n v="580"/>
    <n v="308"/>
    <x v="8"/>
    <x v="6"/>
    <x v="8"/>
    <x v="3"/>
    <x v="5"/>
    <m/>
  </r>
  <r>
    <d v="2023-10-29T00:00:00"/>
    <x v="1"/>
    <s v="Glass &amp; Bottles"/>
    <s v="750ml"/>
    <x v="96"/>
    <x v="1"/>
    <x v="523"/>
    <n v="12"/>
    <n v="3528"/>
    <x v="495"/>
    <x v="0"/>
    <x v="0"/>
    <x v="0"/>
    <s v="Delayed"/>
    <n v="758"/>
    <n v="294"/>
    <x v="3"/>
    <x v="2"/>
    <x v="3"/>
    <x v="3"/>
    <x v="11"/>
    <m/>
  </r>
  <r>
    <d v="2023-10-30T00:00:00"/>
    <x v="0"/>
    <s v="Takeaway Boxes"/>
    <s v="Large"/>
    <x v="130"/>
    <x v="0"/>
    <x v="524"/>
    <n v="5"/>
    <n v="1655"/>
    <x v="496"/>
    <x v="2"/>
    <x v="1"/>
    <x v="2"/>
    <s v="Delayed"/>
    <n v="863"/>
    <n v="331"/>
    <x v="17"/>
    <x v="11"/>
    <x v="16"/>
    <x v="3"/>
    <x v="1"/>
    <m/>
  </r>
  <r>
    <d v="2023-10-31T00:00:00"/>
    <x v="5"/>
    <s v="Cutlery"/>
    <s v="3pcs"/>
    <x v="27"/>
    <x v="5"/>
    <x v="28"/>
    <n v="4"/>
    <n v="1632"/>
    <x v="21"/>
    <x v="1"/>
    <x v="2"/>
    <x v="1"/>
    <s v="Returned"/>
    <n v="866"/>
    <n v="408"/>
    <x v="2"/>
    <x v="2"/>
    <x v="2"/>
    <x v="3"/>
    <x v="10"/>
    <m/>
  </r>
  <r>
    <d v="2023-11-01T00:00:00"/>
    <x v="5"/>
    <s v="Cutlery"/>
    <s v="3pcs"/>
    <x v="162"/>
    <x v="5"/>
    <x v="525"/>
    <n v="4"/>
    <n v="1444"/>
    <x v="497"/>
    <x v="0"/>
    <x v="2"/>
    <x v="1"/>
    <s v="Returned"/>
    <n v="622"/>
    <n v="361"/>
    <x v="19"/>
    <x v="13"/>
    <x v="18"/>
    <x v="3"/>
    <x v="11"/>
    <m/>
  </r>
  <r>
    <d v="2023-11-02T00:00:00"/>
    <x v="2"/>
    <s v="Housekeeping Items"/>
    <s v="Standard"/>
    <x v="344"/>
    <x v="2"/>
    <x v="526"/>
    <n v="100"/>
    <n v="12300"/>
    <x v="498"/>
    <x v="1"/>
    <x v="0"/>
    <x v="0"/>
    <s v="Delayed"/>
    <n v="644"/>
    <n v="123"/>
    <x v="6"/>
    <x v="4"/>
    <x v="6"/>
    <x v="1"/>
    <x v="5"/>
    <m/>
  </r>
  <r>
    <d v="2023-11-03T00:00:00"/>
    <x v="5"/>
    <s v="Cutlery"/>
    <s v="3pcs"/>
    <x v="345"/>
    <x v="5"/>
    <x v="527"/>
    <n v="4"/>
    <n v="724"/>
    <x v="499"/>
    <x v="1"/>
    <x v="1"/>
    <x v="0"/>
    <s v="Delivered"/>
    <n v="923"/>
    <n v="181"/>
    <x v="15"/>
    <x v="10"/>
    <x v="14"/>
    <x v="4"/>
    <x v="11"/>
    <m/>
  </r>
  <r>
    <d v="2023-11-04T00:00:00"/>
    <x v="0"/>
    <s v="Takeaway Boxes"/>
    <s v="Large"/>
    <x v="346"/>
    <x v="0"/>
    <x v="528"/>
    <n v="5"/>
    <n v="1590"/>
    <x v="500"/>
    <x v="1"/>
    <x v="1"/>
    <x v="0"/>
    <s v="Delayed"/>
    <n v="685"/>
    <n v="318"/>
    <x v="13"/>
    <x v="2"/>
    <x v="12"/>
    <x v="2"/>
    <x v="4"/>
    <m/>
  </r>
  <r>
    <d v="2023-11-05T00:00:00"/>
    <x v="4"/>
    <s v="Plates &amp; Bowls"/>
    <s v="500ml"/>
    <x v="347"/>
    <x v="4"/>
    <x v="151"/>
    <n v="1.5"/>
    <n v="246"/>
    <x v="142"/>
    <x v="1"/>
    <x v="0"/>
    <x v="1"/>
    <s v="Delivered"/>
    <n v="791"/>
    <n v="164"/>
    <x v="1"/>
    <x v="1"/>
    <x v="1"/>
    <x v="4"/>
    <x v="6"/>
    <m/>
  </r>
  <r>
    <d v="2023-11-06T00:00:00"/>
    <x v="0"/>
    <s v="Takeaway Boxes"/>
    <s v="Large"/>
    <x v="165"/>
    <x v="0"/>
    <x v="188"/>
    <n v="5"/>
    <n v="125"/>
    <x v="183"/>
    <x v="0"/>
    <x v="3"/>
    <x v="1"/>
    <s v="Returned"/>
    <n v="643"/>
    <n v="25"/>
    <x v="16"/>
    <x v="4"/>
    <x v="15"/>
    <x v="2"/>
    <x v="9"/>
    <m/>
  </r>
  <r>
    <d v="2023-11-07T00:00:00"/>
    <x v="5"/>
    <s v="Cutlery"/>
    <s v="3pcs"/>
    <x v="207"/>
    <x v="5"/>
    <x v="529"/>
    <n v="4"/>
    <n v="1816"/>
    <x v="501"/>
    <x v="1"/>
    <x v="2"/>
    <x v="2"/>
    <s v="Returned"/>
    <n v="505"/>
    <n v="454"/>
    <x v="8"/>
    <x v="6"/>
    <x v="8"/>
    <x v="1"/>
    <x v="1"/>
    <m/>
  </r>
  <r>
    <d v="2023-11-08T00:00:00"/>
    <x v="5"/>
    <s v="Cutlery"/>
    <s v="3pcs"/>
    <x v="348"/>
    <x v="5"/>
    <x v="530"/>
    <n v="4"/>
    <n v="1568"/>
    <x v="502"/>
    <x v="2"/>
    <x v="2"/>
    <x v="2"/>
    <s v="Delayed"/>
    <n v="820"/>
    <n v="392"/>
    <x v="14"/>
    <x v="6"/>
    <x v="13"/>
    <x v="1"/>
    <x v="2"/>
    <m/>
  </r>
  <r>
    <d v="2023-11-09T00:00:00"/>
    <x v="5"/>
    <s v="Cutlery"/>
    <s v="3pcs"/>
    <x v="349"/>
    <x v="5"/>
    <x v="531"/>
    <n v="4"/>
    <n v="1108"/>
    <x v="503"/>
    <x v="2"/>
    <x v="3"/>
    <x v="1"/>
    <s v="Delivered"/>
    <n v="713"/>
    <n v="277"/>
    <x v="13"/>
    <x v="2"/>
    <x v="12"/>
    <x v="3"/>
    <x v="3"/>
    <m/>
  </r>
  <r>
    <d v="2023-11-10T00:00:00"/>
    <x v="5"/>
    <s v="Cutlery"/>
    <s v="3pcs"/>
    <x v="168"/>
    <x v="5"/>
    <x v="455"/>
    <n v="4"/>
    <n v="380"/>
    <x v="400"/>
    <x v="2"/>
    <x v="2"/>
    <x v="0"/>
    <s v="Returned"/>
    <n v="978"/>
    <n v="95"/>
    <x v="13"/>
    <x v="2"/>
    <x v="12"/>
    <x v="0"/>
    <x v="6"/>
    <m/>
  </r>
  <r>
    <d v="2023-11-11T00:00:00"/>
    <x v="5"/>
    <s v="Cutlery"/>
    <s v="3pcs"/>
    <x v="350"/>
    <x v="5"/>
    <x v="532"/>
    <n v="4"/>
    <n v="1312"/>
    <x v="504"/>
    <x v="2"/>
    <x v="0"/>
    <x v="0"/>
    <s v="Delivered"/>
    <n v="754"/>
    <n v="328"/>
    <x v="6"/>
    <x v="4"/>
    <x v="6"/>
    <x v="4"/>
    <x v="5"/>
    <m/>
  </r>
  <r>
    <d v="2023-11-12T00:00:00"/>
    <x v="1"/>
    <s v="Glass &amp; Bottles"/>
    <s v="750ml"/>
    <x v="255"/>
    <x v="1"/>
    <x v="391"/>
    <n v="12"/>
    <n v="5832"/>
    <x v="370"/>
    <x v="0"/>
    <x v="0"/>
    <x v="1"/>
    <s v="Delivered"/>
    <n v="973"/>
    <n v="486"/>
    <x v="12"/>
    <x v="3"/>
    <x v="10"/>
    <x v="3"/>
    <x v="3"/>
    <m/>
  </r>
  <r>
    <d v="2023-11-13T00:00:00"/>
    <x v="3"/>
    <s v="Containers"/>
    <s v="1L"/>
    <x v="351"/>
    <x v="3"/>
    <x v="533"/>
    <n v="3"/>
    <n v="876"/>
    <x v="505"/>
    <x v="0"/>
    <x v="2"/>
    <x v="0"/>
    <s v="Delayed"/>
    <n v="699"/>
    <n v="292"/>
    <x v="19"/>
    <x v="13"/>
    <x v="18"/>
    <x v="4"/>
    <x v="11"/>
    <m/>
  </r>
  <r>
    <d v="2023-11-14T00:00:00"/>
    <x v="3"/>
    <s v="Containers"/>
    <s v="1L"/>
    <x v="352"/>
    <x v="3"/>
    <x v="534"/>
    <n v="3"/>
    <n v="879"/>
    <x v="506"/>
    <x v="0"/>
    <x v="0"/>
    <x v="2"/>
    <s v="Delayed"/>
    <n v="993"/>
    <n v="293"/>
    <x v="5"/>
    <x v="0"/>
    <x v="5"/>
    <x v="4"/>
    <x v="7"/>
    <m/>
  </r>
  <r>
    <d v="2023-11-15T00:00:00"/>
    <x v="2"/>
    <s v="Housekeeping Items"/>
    <s v="Standard"/>
    <x v="353"/>
    <x v="2"/>
    <x v="535"/>
    <n v="100"/>
    <n v="34400"/>
    <x v="507"/>
    <x v="0"/>
    <x v="3"/>
    <x v="0"/>
    <s v="Delayed"/>
    <n v="514"/>
    <n v="344"/>
    <x v="19"/>
    <x v="13"/>
    <x v="18"/>
    <x v="4"/>
    <x v="11"/>
    <m/>
  </r>
  <r>
    <d v="2023-11-16T00:00:00"/>
    <x v="1"/>
    <s v="Glass &amp; Bottles"/>
    <s v="750ml"/>
    <x v="4"/>
    <x v="1"/>
    <x v="536"/>
    <n v="12"/>
    <n v="4296"/>
    <x v="508"/>
    <x v="2"/>
    <x v="2"/>
    <x v="1"/>
    <s v="Delayed"/>
    <n v="963"/>
    <n v="358"/>
    <x v="19"/>
    <x v="13"/>
    <x v="18"/>
    <x v="3"/>
    <x v="7"/>
    <m/>
  </r>
  <r>
    <d v="2023-11-17T00:00:00"/>
    <x v="4"/>
    <s v="Plates &amp; Bowls"/>
    <s v="500ml"/>
    <x v="153"/>
    <x v="4"/>
    <x v="227"/>
    <n v="1.5"/>
    <n v="486"/>
    <x v="221"/>
    <x v="1"/>
    <x v="3"/>
    <x v="2"/>
    <s v="Delayed"/>
    <n v="953"/>
    <n v="324"/>
    <x v="7"/>
    <x v="5"/>
    <x v="7"/>
    <x v="3"/>
    <x v="6"/>
    <m/>
  </r>
  <r>
    <d v="2023-11-18T00:00:00"/>
    <x v="3"/>
    <s v="Containers"/>
    <s v="1L"/>
    <x v="354"/>
    <x v="3"/>
    <x v="464"/>
    <n v="3"/>
    <n v="846"/>
    <x v="509"/>
    <x v="1"/>
    <x v="1"/>
    <x v="2"/>
    <s v="Returned"/>
    <n v="642"/>
    <n v="282"/>
    <x v="11"/>
    <x v="9"/>
    <x v="11"/>
    <x v="2"/>
    <x v="3"/>
    <m/>
  </r>
  <r>
    <d v="2023-11-19T00:00:00"/>
    <x v="4"/>
    <s v="Plates &amp; Bowls"/>
    <s v="500ml"/>
    <x v="122"/>
    <x v="4"/>
    <x v="537"/>
    <n v="1.5"/>
    <n v="234"/>
    <x v="510"/>
    <x v="0"/>
    <x v="3"/>
    <x v="1"/>
    <s v="Delivered"/>
    <n v="900"/>
    <n v="156"/>
    <x v="14"/>
    <x v="6"/>
    <x v="13"/>
    <x v="3"/>
    <x v="6"/>
    <m/>
  </r>
  <r>
    <d v="2023-11-20T00:00:00"/>
    <x v="2"/>
    <s v="Housekeeping Items"/>
    <s v="Standard"/>
    <x v="259"/>
    <x v="2"/>
    <x v="325"/>
    <n v="100"/>
    <n v="46700"/>
    <x v="310"/>
    <x v="2"/>
    <x v="3"/>
    <x v="2"/>
    <s v="Delivered"/>
    <n v="921"/>
    <n v="467"/>
    <x v="11"/>
    <x v="9"/>
    <x v="11"/>
    <x v="2"/>
    <x v="4"/>
    <m/>
  </r>
  <r>
    <d v="2023-11-21T00:00:00"/>
    <x v="4"/>
    <s v="Plates &amp; Bowls"/>
    <s v="500ml"/>
    <x v="355"/>
    <x v="4"/>
    <x v="314"/>
    <n v="1.5"/>
    <n v="63"/>
    <x v="299"/>
    <x v="1"/>
    <x v="0"/>
    <x v="2"/>
    <s v="Returned"/>
    <n v="976"/>
    <n v="42"/>
    <x v="10"/>
    <x v="8"/>
    <x v="10"/>
    <x v="3"/>
    <x v="9"/>
    <m/>
  </r>
  <r>
    <d v="2023-11-22T00:00:00"/>
    <x v="2"/>
    <s v="Housekeeping Items"/>
    <s v="Standard"/>
    <x v="356"/>
    <x v="2"/>
    <x v="538"/>
    <n v="100"/>
    <n v="3400"/>
    <x v="511"/>
    <x v="0"/>
    <x v="3"/>
    <x v="2"/>
    <s v="Delayed"/>
    <n v="947"/>
    <n v="34"/>
    <x v="16"/>
    <x v="4"/>
    <x v="15"/>
    <x v="0"/>
    <x v="11"/>
    <m/>
  </r>
  <r>
    <d v="2023-11-23T00:00:00"/>
    <x v="0"/>
    <s v="Takeaway Boxes"/>
    <s v="Large"/>
    <x v="43"/>
    <x v="0"/>
    <x v="539"/>
    <n v="5"/>
    <n v="2090"/>
    <x v="512"/>
    <x v="2"/>
    <x v="1"/>
    <x v="2"/>
    <s v="Delivered"/>
    <n v="793"/>
    <n v="418"/>
    <x v="15"/>
    <x v="10"/>
    <x v="14"/>
    <x v="3"/>
    <x v="0"/>
    <m/>
  </r>
  <r>
    <d v="2023-11-24T00:00:00"/>
    <x v="4"/>
    <s v="Plates &amp; Bowls"/>
    <s v="500ml"/>
    <x v="357"/>
    <x v="4"/>
    <x v="540"/>
    <n v="1.5"/>
    <n v="313.5"/>
    <x v="513"/>
    <x v="2"/>
    <x v="2"/>
    <x v="0"/>
    <s v="Delivered"/>
    <n v="803"/>
    <n v="209"/>
    <x v="3"/>
    <x v="2"/>
    <x v="3"/>
    <x v="4"/>
    <x v="9"/>
    <m/>
  </r>
  <r>
    <d v="2023-11-25T00:00:00"/>
    <x v="5"/>
    <s v="Cutlery"/>
    <s v="3pcs"/>
    <x v="143"/>
    <x v="5"/>
    <x v="541"/>
    <n v="4"/>
    <n v="468"/>
    <x v="184"/>
    <x v="2"/>
    <x v="3"/>
    <x v="0"/>
    <s v="Returned"/>
    <n v="756"/>
    <n v="117"/>
    <x v="16"/>
    <x v="4"/>
    <x v="15"/>
    <x v="4"/>
    <x v="10"/>
    <m/>
  </r>
  <r>
    <d v="2023-11-26T00:00:00"/>
    <x v="5"/>
    <s v="Cutlery"/>
    <s v="3pcs"/>
    <x v="324"/>
    <x v="5"/>
    <x v="542"/>
    <n v="4"/>
    <n v="1340"/>
    <x v="514"/>
    <x v="1"/>
    <x v="3"/>
    <x v="2"/>
    <s v="Delivered"/>
    <n v="691"/>
    <n v="335"/>
    <x v="8"/>
    <x v="6"/>
    <x v="8"/>
    <x v="2"/>
    <x v="9"/>
    <m/>
  </r>
  <r>
    <d v="2023-11-27T00:00:00"/>
    <x v="2"/>
    <s v="Housekeeping Items"/>
    <s v="Standard"/>
    <x v="245"/>
    <x v="2"/>
    <x v="543"/>
    <n v="100"/>
    <n v="25600"/>
    <x v="515"/>
    <x v="0"/>
    <x v="0"/>
    <x v="2"/>
    <s v="Delivered"/>
    <n v="653"/>
    <n v="256"/>
    <x v="13"/>
    <x v="2"/>
    <x v="12"/>
    <x v="2"/>
    <x v="6"/>
    <m/>
  </r>
  <r>
    <d v="2023-11-28T00:00:00"/>
    <x v="4"/>
    <s v="Plates &amp; Bowls"/>
    <s v="500ml"/>
    <x v="358"/>
    <x v="4"/>
    <x v="88"/>
    <n v="1.5"/>
    <n v="288"/>
    <x v="516"/>
    <x v="1"/>
    <x v="1"/>
    <x v="0"/>
    <s v="Delivered"/>
    <n v="888"/>
    <n v="192"/>
    <x v="11"/>
    <x v="9"/>
    <x v="11"/>
    <x v="3"/>
    <x v="10"/>
    <m/>
  </r>
  <r>
    <d v="2023-11-29T00:00:00"/>
    <x v="4"/>
    <s v="Plates &amp; Bowls"/>
    <s v="500ml"/>
    <x v="231"/>
    <x v="4"/>
    <x v="544"/>
    <n v="1.5"/>
    <n v="265.5"/>
    <x v="517"/>
    <x v="0"/>
    <x v="3"/>
    <x v="0"/>
    <s v="Returned"/>
    <n v="972"/>
    <n v="177"/>
    <x v="6"/>
    <x v="4"/>
    <x v="6"/>
    <x v="2"/>
    <x v="5"/>
    <m/>
  </r>
  <r>
    <d v="2023-11-30T00:00:00"/>
    <x v="2"/>
    <s v="Housekeeping Items"/>
    <s v="Standard"/>
    <x v="150"/>
    <x v="2"/>
    <x v="545"/>
    <n v="100"/>
    <n v="33400"/>
    <x v="518"/>
    <x v="2"/>
    <x v="3"/>
    <x v="0"/>
    <s v="Delivered"/>
    <n v="595"/>
    <n v="334"/>
    <x v="4"/>
    <x v="3"/>
    <x v="4"/>
    <x v="3"/>
    <x v="7"/>
    <m/>
  </r>
  <r>
    <d v="2023-12-01T00:00:00"/>
    <x v="4"/>
    <s v="Plates &amp; Bowls"/>
    <s v="500ml"/>
    <x v="129"/>
    <x v="4"/>
    <x v="507"/>
    <n v="1.5"/>
    <n v="732"/>
    <x v="466"/>
    <x v="2"/>
    <x v="1"/>
    <x v="0"/>
    <s v="Returned"/>
    <n v="794"/>
    <n v="488"/>
    <x v="19"/>
    <x v="13"/>
    <x v="18"/>
    <x v="3"/>
    <x v="3"/>
    <m/>
  </r>
  <r>
    <d v="2023-12-02T00:00:00"/>
    <x v="0"/>
    <s v="Takeaway Boxes"/>
    <s v="Large"/>
    <x v="359"/>
    <x v="0"/>
    <x v="546"/>
    <n v="5"/>
    <n v="1190"/>
    <x v="519"/>
    <x v="0"/>
    <x v="3"/>
    <x v="1"/>
    <s v="Delayed"/>
    <n v="988"/>
    <n v="238"/>
    <x v="12"/>
    <x v="3"/>
    <x v="10"/>
    <x v="1"/>
    <x v="4"/>
    <m/>
  </r>
  <r>
    <d v="2023-12-03T00:00:00"/>
    <x v="5"/>
    <s v="Cutlery"/>
    <s v="3pcs"/>
    <x v="360"/>
    <x v="5"/>
    <x v="547"/>
    <n v="4"/>
    <n v="1788"/>
    <x v="520"/>
    <x v="2"/>
    <x v="1"/>
    <x v="2"/>
    <s v="Delivered"/>
    <n v="579"/>
    <n v="447"/>
    <x v="6"/>
    <x v="4"/>
    <x v="6"/>
    <x v="1"/>
    <x v="10"/>
    <m/>
  </r>
  <r>
    <d v="2023-12-04T00:00:00"/>
    <x v="5"/>
    <s v="Cutlery"/>
    <s v="3pcs"/>
    <x v="216"/>
    <x v="5"/>
    <x v="390"/>
    <n v="4"/>
    <n v="692"/>
    <x v="248"/>
    <x v="0"/>
    <x v="0"/>
    <x v="0"/>
    <s v="Delayed"/>
    <n v="598"/>
    <n v="173"/>
    <x v="8"/>
    <x v="6"/>
    <x v="8"/>
    <x v="3"/>
    <x v="11"/>
    <m/>
  </r>
  <r>
    <d v="2023-12-05T00:00:00"/>
    <x v="4"/>
    <s v="Plates &amp; Bowls"/>
    <s v="500ml"/>
    <x v="361"/>
    <x v="4"/>
    <x v="548"/>
    <n v="1.5"/>
    <n v="165"/>
    <x v="521"/>
    <x v="1"/>
    <x v="0"/>
    <x v="0"/>
    <s v="Delivered"/>
    <n v="581"/>
    <n v="110"/>
    <x v="3"/>
    <x v="2"/>
    <x v="3"/>
    <x v="1"/>
    <x v="11"/>
    <m/>
  </r>
  <r>
    <d v="2023-12-06T00:00:00"/>
    <x v="5"/>
    <s v="Cutlery"/>
    <s v="3pcs"/>
    <x v="82"/>
    <x v="5"/>
    <x v="86"/>
    <n v="4"/>
    <n v="696"/>
    <x v="84"/>
    <x v="2"/>
    <x v="2"/>
    <x v="0"/>
    <s v="Returned"/>
    <n v="676"/>
    <n v="174"/>
    <x v="6"/>
    <x v="4"/>
    <x v="6"/>
    <x v="1"/>
    <x v="1"/>
    <m/>
  </r>
  <r>
    <d v="2023-12-07T00:00:00"/>
    <x v="1"/>
    <s v="Glass &amp; Bottles"/>
    <s v="750ml"/>
    <x v="86"/>
    <x v="1"/>
    <x v="549"/>
    <n v="12"/>
    <n v="3132"/>
    <x v="522"/>
    <x v="1"/>
    <x v="3"/>
    <x v="1"/>
    <s v="Delivered"/>
    <n v="976"/>
    <n v="261"/>
    <x v="5"/>
    <x v="0"/>
    <x v="5"/>
    <x v="0"/>
    <x v="4"/>
    <m/>
  </r>
  <r>
    <d v="2023-12-08T00:00:00"/>
    <x v="3"/>
    <s v="Containers"/>
    <s v="1L"/>
    <x v="240"/>
    <x v="3"/>
    <x v="550"/>
    <n v="3"/>
    <n v="1212"/>
    <x v="523"/>
    <x v="1"/>
    <x v="0"/>
    <x v="2"/>
    <s v="Delayed"/>
    <n v="846"/>
    <n v="404"/>
    <x v="4"/>
    <x v="3"/>
    <x v="4"/>
    <x v="1"/>
    <x v="4"/>
    <m/>
  </r>
  <r>
    <d v="2023-12-09T00:00:00"/>
    <x v="0"/>
    <s v="Takeaway Boxes"/>
    <s v="Large"/>
    <x v="362"/>
    <x v="0"/>
    <x v="551"/>
    <n v="5"/>
    <n v="1390"/>
    <x v="272"/>
    <x v="0"/>
    <x v="0"/>
    <x v="0"/>
    <s v="Delivered"/>
    <n v="588"/>
    <n v="278"/>
    <x v="12"/>
    <x v="3"/>
    <x v="10"/>
    <x v="2"/>
    <x v="9"/>
    <m/>
  </r>
  <r>
    <d v="2023-12-10T00:00:00"/>
    <x v="4"/>
    <s v="Plates &amp; Bowls"/>
    <s v="500ml"/>
    <x v="223"/>
    <x v="4"/>
    <x v="552"/>
    <n v="1.5"/>
    <n v="604.5"/>
    <x v="524"/>
    <x v="2"/>
    <x v="1"/>
    <x v="2"/>
    <s v="Delayed"/>
    <n v="710"/>
    <n v="403"/>
    <x v="11"/>
    <x v="9"/>
    <x v="11"/>
    <x v="0"/>
    <x v="7"/>
    <m/>
  </r>
  <r>
    <d v="2023-12-11T00:00:00"/>
    <x v="0"/>
    <s v="Takeaway Boxes"/>
    <s v="Large"/>
    <x v="363"/>
    <x v="0"/>
    <x v="553"/>
    <n v="5"/>
    <n v="995"/>
    <x v="525"/>
    <x v="0"/>
    <x v="3"/>
    <x v="0"/>
    <s v="Delayed"/>
    <n v="948"/>
    <n v="199"/>
    <x v="19"/>
    <x v="13"/>
    <x v="18"/>
    <x v="2"/>
    <x v="3"/>
    <m/>
  </r>
  <r>
    <d v="2023-12-12T00:00:00"/>
    <x v="5"/>
    <s v="Cutlery"/>
    <s v="3pcs"/>
    <x v="43"/>
    <x v="5"/>
    <x v="44"/>
    <n v="4"/>
    <n v="1672"/>
    <x v="43"/>
    <x v="2"/>
    <x v="0"/>
    <x v="1"/>
    <s v="Delayed"/>
    <n v="588"/>
    <n v="418"/>
    <x v="11"/>
    <x v="9"/>
    <x v="11"/>
    <x v="0"/>
    <x v="6"/>
    <m/>
  </r>
  <r>
    <d v="2023-12-13T00:00:00"/>
    <x v="2"/>
    <s v="Housekeeping Items"/>
    <s v="Standard"/>
    <x v="331"/>
    <x v="2"/>
    <x v="489"/>
    <n v="100"/>
    <n v="7300"/>
    <x v="462"/>
    <x v="1"/>
    <x v="3"/>
    <x v="0"/>
    <s v="Delayed"/>
    <n v="911"/>
    <n v="73"/>
    <x v="18"/>
    <x v="12"/>
    <x v="17"/>
    <x v="4"/>
    <x v="4"/>
    <m/>
  </r>
  <r>
    <d v="2023-12-14T00:00:00"/>
    <x v="1"/>
    <s v="Glass &amp; Bottles"/>
    <s v="750ml"/>
    <x v="2"/>
    <x v="1"/>
    <x v="554"/>
    <n v="12"/>
    <n v="2412"/>
    <x v="526"/>
    <x v="1"/>
    <x v="0"/>
    <x v="1"/>
    <s v="Delayed"/>
    <n v="752"/>
    <n v="201"/>
    <x v="4"/>
    <x v="3"/>
    <x v="4"/>
    <x v="4"/>
    <x v="0"/>
    <m/>
  </r>
  <r>
    <d v="2023-12-15T00:00:00"/>
    <x v="2"/>
    <s v="Housekeeping Items"/>
    <s v="Standard"/>
    <x v="364"/>
    <x v="2"/>
    <x v="555"/>
    <n v="100"/>
    <n v="33600"/>
    <x v="527"/>
    <x v="0"/>
    <x v="1"/>
    <x v="0"/>
    <s v="Delivered"/>
    <n v="658"/>
    <n v="336"/>
    <x v="15"/>
    <x v="10"/>
    <x v="14"/>
    <x v="1"/>
    <x v="9"/>
    <m/>
  </r>
  <r>
    <d v="2023-12-16T00:00:00"/>
    <x v="0"/>
    <s v="Takeaway Boxes"/>
    <s v="Large"/>
    <x v="90"/>
    <x v="0"/>
    <x v="556"/>
    <n v="5"/>
    <n v="2285"/>
    <x v="528"/>
    <x v="1"/>
    <x v="3"/>
    <x v="2"/>
    <s v="Returned"/>
    <n v="562"/>
    <n v="457"/>
    <x v="10"/>
    <x v="8"/>
    <x v="10"/>
    <x v="3"/>
    <x v="3"/>
    <m/>
  </r>
  <r>
    <d v="2023-12-17T00:00:00"/>
    <x v="3"/>
    <s v="Containers"/>
    <s v="1L"/>
    <x v="270"/>
    <x v="3"/>
    <x v="557"/>
    <n v="3"/>
    <n v="642"/>
    <x v="529"/>
    <x v="0"/>
    <x v="1"/>
    <x v="0"/>
    <s v="Delivered"/>
    <n v="612"/>
    <n v="214"/>
    <x v="4"/>
    <x v="3"/>
    <x v="4"/>
    <x v="2"/>
    <x v="7"/>
    <m/>
  </r>
  <r>
    <d v="2023-12-18T00:00:00"/>
    <x v="1"/>
    <s v="Glass &amp; Bottles"/>
    <s v="750ml"/>
    <x v="365"/>
    <x v="1"/>
    <x v="558"/>
    <n v="12"/>
    <n v="900"/>
    <x v="530"/>
    <x v="1"/>
    <x v="0"/>
    <x v="1"/>
    <s v="Delayed"/>
    <n v="788"/>
    <n v="75"/>
    <x v="10"/>
    <x v="8"/>
    <x v="10"/>
    <x v="3"/>
    <x v="5"/>
    <m/>
  </r>
  <r>
    <d v="2023-12-19T00:00:00"/>
    <x v="3"/>
    <s v="Containers"/>
    <s v="1L"/>
    <x v="366"/>
    <x v="3"/>
    <x v="559"/>
    <n v="3"/>
    <n v="1413"/>
    <x v="531"/>
    <x v="0"/>
    <x v="3"/>
    <x v="0"/>
    <s v="Returned"/>
    <n v="736"/>
    <n v="471"/>
    <x v="17"/>
    <x v="11"/>
    <x v="16"/>
    <x v="4"/>
    <x v="0"/>
    <m/>
  </r>
  <r>
    <d v="2023-12-20T00:00:00"/>
    <x v="5"/>
    <s v="Cutlery"/>
    <s v="3pcs"/>
    <x v="232"/>
    <x v="5"/>
    <x v="560"/>
    <n v="4"/>
    <n v="1756"/>
    <x v="532"/>
    <x v="1"/>
    <x v="2"/>
    <x v="1"/>
    <s v="Delayed"/>
    <n v="723"/>
    <n v="439"/>
    <x v="5"/>
    <x v="0"/>
    <x v="5"/>
    <x v="0"/>
    <x v="8"/>
    <m/>
  </r>
  <r>
    <d v="2023-12-21T00:00:00"/>
    <x v="2"/>
    <s v="Housekeeping Items"/>
    <s v="Standard"/>
    <x v="276"/>
    <x v="2"/>
    <x v="350"/>
    <n v="100"/>
    <n v="10900"/>
    <x v="331"/>
    <x v="0"/>
    <x v="0"/>
    <x v="2"/>
    <s v="Returned"/>
    <n v="720"/>
    <n v="109"/>
    <x v="19"/>
    <x v="13"/>
    <x v="18"/>
    <x v="2"/>
    <x v="7"/>
    <m/>
  </r>
  <r>
    <d v="2023-12-22T00:00:00"/>
    <x v="0"/>
    <s v="Takeaway Boxes"/>
    <s v="Large"/>
    <x v="281"/>
    <x v="0"/>
    <x v="561"/>
    <n v="5"/>
    <n v="1165"/>
    <x v="533"/>
    <x v="2"/>
    <x v="3"/>
    <x v="0"/>
    <s v="Delayed"/>
    <n v="690"/>
    <n v="233"/>
    <x v="2"/>
    <x v="2"/>
    <x v="2"/>
    <x v="3"/>
    <x v="5"/>
    <m/>
  </r>
  <r>
    <d v="2023-12-23T00:00:00"/>
    <x v="2"/>
    <s v="Housekeeping Items"/>
    <s v="Standard"/>
    <x v="127"/>
    <x v="2"/>
    <x v="562"/>
    <n v="100"/>
    <n v="8700"/>
    <x v="534"/>
    <x v="0"/>
    <x v="0"/>
    <x v="2"/>
    <s v="Delayed"/>
    <n v="788"/>
    <n v="87"/>
    <x v="14"/>
    <x v="6"/>
    <x v="13"/>
    <x v="3"/>
    <x v="9"/>
    <m/>
  </r>
  <r>
    <d v="2023-12-24T00:00:00"/>
    <x v="2"/>
    <s v="Housekeeping Items"/>
    <s v="Standard"/>
    <x v="367"/>
    <x v="2"/>
    <x v="563"/>
    <n v="100"/>
    <n v="10600"/>
    <x v="535"/>
    <x v="2"/>
    <x v="0"/>
    <x v="1"/>
    <s v="Delayed"/>
    <n v="679"/>
    <n v="106"/>
    <x v="3"/>
    <x v="2"/>
    <x v="3"/>
    <x v="1"/>
    <x v="1"/>
    <m/>
  </r>
  <r>
    <d v="2023-12-25T00:00:00"/>
    <x v="2"/>
    <s v="Housekeeping Items"/>
    <s v="Standard"/>
    <x v="222"/>
    <x v="2"/>
    <x v="564"/>
    <n v="100"/>
    <n v="18200"/>
    <x v="536"/>
    <x v="0"/>
    <x v="1"/>
    <x v="2"/>
    <s v="Delivered"/>
    <n v="927"/>
    <n v="182"/>
    <x v="4"/>
    <x v="3"/>
    <x v="4"/>
    <x v="0"/>
    <x v="3"/>
    <m/>
  </r>
  <r>
    <d v="2023-12-26T00:00:00"/>
    <x v="2"/>
    <s v="Housekeeping Items"/>
    <s v="Standard"/>
    <x v="368"/>
    <x v="2"/>
    <x v="565"/>
    <n v="100"/>
    <n v="26700"/>
    <x v="537"/>
    <x v="1"/>
    <x v="2"/>
    <x v="1"/>
    <s v="Delayed"/>
    <n v="897"/>
    <n v="267"/>
    <x v="3"/>
    <x v="2"/>
    <x v="3"/>
    <x v="3"/>
    <x v="9"/>
    <m/>
  </r>
  <r>
    <d v="2023-12-27T00:00:00"/>
    <x v="4"/>
    <s v="Plates &amp; Bowls"/>
    <s v="500ml"/>
    <x v="307"/>
    <x v="4"/>
    <x v="428"/>
    <n v="1.5"/>
    <n v="529.5"/>
    <x v="403"/>
    <x v="2"/>
    <x v="0"/>
    <x v="0"/>
    <s v="Returned"/>
    <n v="954"/>
    <n v="353"/>
    <x v="19"/>
    <x v="13"/>
    <x v="18"/>
    <x v="1"/>
    <x v="10"/>
    <m/>
  </r>
  <r>
    <d v="2023-12-28T00:00:00"/>
    <x v="3"/>
    <s v="Containers"/>
    <s v="1L"/>
    <x v="62"/>
    <x v="3"/>
    <x v="566"/>
    <n v="3"/>
    <n v="435"/>
    <x v="538"/>
    <x v="2"/>
    <x v="3"/>
    <x v="2"/>
    <s v="Delivered"/>
    <n v="761"/>
    <n v="145"/>
    <x v="10"/>
    <x v="8"/>
    <x v="10"/>
    <x v="4"/>
    <x v="7"/>
    <m/>
  </r>
  <r>
    <d v="2023-12-29T00:00:00"/>
    <x v="5"/>
    <s v="Cutlery"/>
    <s v="3pcs"/>
    <x v="19"/>
    <x v="5"/>
    <x v="567"/>
    <n v="4"/>
    <n v="344"/>
    <x v="539"/>
    <x v="2"/>
    <x v="2"/>
    <x v="1"/>
    <s v="Delayed"/>
    <n v="633"/>
    <n v="86"/>
    <x v="16"/>
    <x v="4"/>
    <x v="15"/>
    <x v="0"/>
    <x v="5"/>
    <m/>
  </r>
  <r>
    <d v="2023-12-30T00:00:00"/>
    <x v="5"/>
    <s v="Cutlery"/>
    <s v="3pcs"/>
    <x v="263"/>
    <x v="5"/>
    <x v="330"/>
    <n v="4"/>
    <n v="740"/>
    <x v="240"/>
    <x v="2"/>
    <x v="2"/>
    <x v="1"/>
    <s v="Delayed"/>
    <n v="726"/>
    <n v="185"/>
    <x v="18"/>
    <x v="12"/>
    <x v="17"/>
    <x v="3"/>
    <x v="5"/>
    <m/>
  </r>
  <r>
    <d v="2023-12-31T00:00:00"/>
    <x v="5"/>
    <s v="Cutlery"/>
    <s v="3pcs"/>
    <x v="369"/>
    <x v="5"/>
    <x v="568"/>
    <n v="4"/>
    <n v="2000"/>
    <x v="540"/>
    <x v="2"/>
    <x v="3"/>
    <x v="1"/>
    <s v="Delivered"/>
    <n v="805"/>
    <n v="500"/>
    <x v="0"/>
    <x v="0"/>
    <x v="0"/>
    <x v="1"/>
    <x v="8"/>
    <m/>
  </r>
  <r>
    <d v="2024-01-01T00:00:00"/>
    <x v="3"/>
    <s v="Containers"/>
    <s v="1L"/>
    <x v="370"/>
    <x v="3"/>
    <x v="569"/>
    <n v="3"/>
    <n v="852"/>
    <x v="541"/>
    <x v="0"/>
    <x v="3"/>
    <x v="1"/>
    <s v="Delayed"/>
    <n v="807"/>
    <n v="284"/>
    <x v="1"/>
    <x v="1"/>
    <x v="1"/>
    <x v="3"/>
    <x v="8"/>
    <m/>
  </r>
  <r>
    <d v="2024-01-02T00:00:00"/>
    <x v="1"/>
    <s v="Glass &amp; Bottles"/>
    <s v="750ml"/>
    <x v="337"/>
    <x v="1"/>
    <x v="507"/>
    <n v="12"/>
    <n v="732"/>
    <x v="466"/>
    <x v="1"/>
    <x v="3"/>
    <x v="1"/>
    <s v="Delayed"/>
    <n v="609"/>
    <n v="61"/>
    <x v="8"/>
    <x v="6"/>
    <x v="8"/>
    <x v="4"/>
    <x v="2"/>
    <m/>
  </r>
  <r>
    <d v="2024-01-03T00:00:00"/>
    <x v="4"/>
    <s v="Plates &amp; Bowls"/>
    <s v="500ml"/>
    <x v="88"/>
    <x v="4"/>
    <x v="364"/>
    <n v="1.5"/>
    <n v="244.5"/>
    <x v="346"/>
    <x v="2"/>
    <x v="2"/>
    <x v="0"/>
    <s v="Delivered"/>
    <n v="635"/>
    <n v="163"/>
    <x v="0"/>
    <x v="0"/>
    <x v="0"/>
    <x v="1"/>
    <x v="9"/>
    <m/>
  </r>
  <r>
    <d v="2024-01-04T00:00:00"/>
    <x v="0"/>
    <s v="Takeaway Boxes"/>
    <s v="Large"/>
    <x v="95"/>
    <x v="0"/>
    <x v="319"/>
    <n v="5"/>
    <n v="1155"/>
    <x v="304"/>
    <x v="0"/>
    <x v="1"/>
    <x v="0"/>
    <s v="Returned"/>
    <n v="701"/>
    <n v="231"/>
    <x v="8"/>
    <x v="6"/>
    <x v="8"/>
    <x v="2"/>
    <x v="0"/>
    <m/>
  </r>
  <r>
    <d v="2024-01-05T00:00:00"/>
    <x v="0"/>
    <s v="Takeaway Boxes"/>
    <s v="Large"/>
    <x v="171"/>
    <x v="0"/>
    <x v="456"/>
    <n v="5"/>
    <n v="1760"/>
    <x v="431"/>
    <x v="2"/>
    <x v="3"/>
    <x v="0"/>
    <s v="Delivered"/>
    <n v="645"/>
    <n v="352"/>
    <x v="19"/>
    <x v="13"/>
    <x v="18"/>
    <x v="2"/>
    <x v="5"/>
    <m/>
  </r>
  <r>
    <d v="2024-01-06T00:00:00"/>
    <x v="5"/>
    <s v="Cutlery"/>
    <s v="3pcs"/>
    <x v="129"/>
    <x v="5"/>
    <x v="570"/>
    <n v="4"/>
    <n v="1952"/>
    <x v="131"/>
    <x v="0"/>
    <x v="3"/>
    <x v="0"/>
    <s v="Returned"/>
    <n v="808"/>
    <n v="488"/>
    <x v="18"/>
    <x v="12"/>
    <x v="17"/>
    <x v="4"/>
    <x v="8"/>
    <m/>
  </r>
  <r>
    <d v="2024-01-07T00:00:00"/>
    <x v="2"/>
    <s v="Housekeeping Items"/>
    <s v="Standard"/>
    <x v="100"/>
    <x v="2"/>
    <x v="571"/>
    <n v="100"/>
    <n v="47600"/>
    <x v="542"/>
    <x v="2"/>
    <x v="0"/>
    <x v="2"/>
    <s v="Delivered"/>
    <n v="919"/>
    <n v="476"/>
    <x v="16"/>
    <x v="4"/>
    <x v="15"/>
    <x v="0"/>
    <x v="7"/>
    <m/>
  </r>
  <r>
    <d v="2024-01-08T00:00:00"/>
    <x v="0"/>
    <s v="Takeaway Boxes"/>
    <s v="Large"/>
    <x v="280"/>
    <x v="0"/>
    <x v="142"/>
    <n v="5"/>
    <n v="900"/>
    <x v="69"/>
    <x v="0"/>
    <x v="2"/>
    <x v="1"/>
    <s v="Delivered"/>
    <n v="646"/>
    <n v="180"/>
    <x v="8"/>
    <x v="6"/>
    <x v="8"/>
    <x v="4"/>
    <x v="5"/>
    <m/>
  </r>
  <r>
    <d v="2024-01-09T00:00:00"/>
    <x v="2"/>
    <s v="Housekeeping Items"/>
    <s v="Standard"/>
    <x v="332"/>
    <x v="2"/>
    <x v="572"/>
    <n v="100"/>
    <n v="2800"/>
    <x v="543"/>
    <x v="1"/>
    <x v="1"/>
    <x v="2"/>
    <s v="Delayed"/>
    <n v="598"/>
    <n v="28"/>
    <x v="2"/>
    <x v="2"/>
    <x v="2"/>
    <x v="2"/>
    <x v="8"/>
    <m/>
  </r>
  <r>
    <d v="2024-01-10T00:00:00"/>
    <x v="0"/>
    <s v="Takeaway Boxes"/>
    <s v="Large"/>
    <x v="234"/>
    <x v="0"/>
    <x v="573"/>
    <n v="5"/>
    <n v="2045"/>
    <x v="544"/>
    <x v="0"/>
    <x v="0"/>
    <x v="2"/>
    <s v="Delayed"/>
    <n v="678"/>
    <n v="409"/>
    <x v="6"/>
    <x v="4"/>
    <x v="6"/>
    <x v="4"/>
    <x v="9"/>
    <m/>
  </r>
  <r>
    <d v="2024-01-11T00:00:00"/>
    <x v="2"/>
    <s v="Housekeeping Items"/>
    <s v="Standard"/>
    <x v="338"/>
    <x v="2"/>
    <x v="509"/>
    <n v="100"/>
    <n v="14200"/>
    <x v="482"/>
    <x v="1"/>
    <x v="0"/>
    <x v="1"/>
    <s v="Delivered"/>
    <n v="664"/>
    <n v="142"/>
    <x v="18"/>
    <x v="12"/>
    <x v="17"/>
    <x v="0"/>
    <x v="7"/>
    <m/>
  </r>
  <r>
    <d v="2024-01-12T00:00:00"/>
    <x v="3"/>
    <s v="Containers"/>
    <s v="1L"/>
    <x v="154"/>
    <x v="3"/>
    <x v="306"/>
    <n v="3"/>
    <n v="1422"/>
    <x v="167"/>
    <x v="2"/>
    <x v="3"/>
    <x v="2"/>
    <s v="Returned"/>
    <n v="505"/>
    <n v="474"/>
    <x v="16"/>
    <x v="4"/>
    <x v="15"/>
    <x v="2"/>
    <x v="0"/>
    <m/>
  </r>
  <r>
    <d v="2024-01-13T00:00:00"/>
    <x v="5"/>
    <s v="Cutlery"/>
    <s v="3pcs"/>
    <x v="371"/>
    <x v="5"/>
    <x v="574"/>
    <n v="4"/>
    <n v="92"/>
    <x v="448"/>
    <x v="1"/>
    <x v="2"/>
    <x v="2"/>
    <s v="Returned"/>
    <n v="900"/>
    <n v="23"/>
    <x v="6"/>
    <x v="4"/>
    <x v="6"/>
    <x v="1"/>
    <x v="4"/>
    <m/>
  </r>
  <r>
    <d v="2024-01-14T00:00:00"/>
    <x v="2"/>
    <s v="Housekeeping Items"/>
    <s v="Standard"/>
    <x v="372"/>
    <x v="2"/>
    <x v="575"/>
    <n v="100"/>
    <n v="43500"/>
    <x v="545"/>
    <x v="2"/>
    <x v="0"/>
    <x v="0"/>
    <s v="Delayed"/>
    <n v="851"/>
    <n v="435"/>
    <x v="0"/>
    <x v="0"/>
    <x v="0"/>
    <x v="2"/>
    <x v="1"/>
    <m/>
  </r>
  <r>
    <d v="2024-01-15T00:00:00"/>
    <x v="4"/>
    <s v="Plates &amp; Bowls"/>
    <s v="500ml"/>
    <x v="373"/>
    <x v="4"/>
    <x v="576"/>
    <n v="1.5"/>
    <n v="198"/>
    <x v="470"/>
    <x v="2"/>
    <x v="2"/>
    <x v="2"/>
    <s v="Delayed"/>
    <n v="879"/>
    <n v="132"/>
    <x v="12"/>
    <x v="3"/>
    <x v="10"/>
    <x v="2"/>
    <x v="4"/>
    <m/>
  </r>
  <r>
    <d v="2024-01-16T00:00:00"/>
    <x v="2"/>
    <s v="Housekeeping Items"/>
    <s v="Standard"/>
    <x v="374"/>
    <x v="2"/>
    <x v="577"/>
    <n v="100"/>
    <n v="41500"/>
    <x v="546"/>
    <x v="0"/>
    <x v="2"/>
    <x v="1"/>
    <s v="Delayed"/>
    <n v="700"/>
    <n v="415"/>
    <x v="13"/>
    <x v="2"/>
    <x v="12"/>
    <x v="4"/>
    <x v="3"/>
    <m/>
  </r>
  <r>
    <d v="2024-01-17T00:00:00"/>
    <x v="3"/>
    <s v="Containers"/>
    <s v="1L"/>
    <x v="55"/>
    <x v="3"/>
    <x v="398"/>
    <n v="3"/>
    <n v="723"/>
    <x v="197"/>
    <x v="1"/>
    <x v="3"/>
    <x v="2"/>
    <s v="Delayed"/>
    <n v="670"/>
    <n v="241"/>
    <x v="7"/>
    <x v="5"/>
    <x v="7"/>
    <x v="3"/>
    <x v="9"/>
    <m/>
  </r>
  <r>
    <d v="2024-01-18T00:00:00"/>
    <x v="3"/>
    <s v="Containers"/>
    <s v="1L"/>
    <x v="375"/>
    <x v="3"/>
    <x v="578"/>
    <n v="3"/>
    <n v="735"/>
    <x v="547"/>
    <x v="0"/>
    <x v="0"/>
    <x v="2"/>
    <s v="Returned"/>
    <n v="942"/>
    <n v="245"/>
    <x v="0"/>
    <x v="0"/>
    <x v="0"/>
    <x v="4"/>
    <x v="0"/>
    <m/>
  </r>
  <r>
    <d v="2024-01-19T00:00:00"/>
    <x v="2"/>
    <s v="Housekeeping Items"/>
    <s v="Standard"/>
    <x v="63"/>
    <x v="2"/>
    <x v="579"/>
    <n v="100"/>
    <n v="42800"/>
    <x v="548"/>
    <x v="0"/>
    <x v="0"/>
    <x v="0"/>
    <s v="Delayed"/>
    <n v="501"/>
    <n v="428"/>
    <x v="9"/>
    <x v="7"/>
    <x v="9"/>
    <x v="1"/>
    <x v="3"/>
    <m/>
  </r>
  <r>
    <d v="2024-01-20T00:00:00"/>
    <x v="0"/>
    <s v="Takeaway Boxes"/>
    <s v="Large"/>
    <x v="376"/>
    <x v="0"/>
    <x v="580"/>
    <n v="5"/>
    <n v="480"/>
    <x v="549"/>
    <x v="2"/>
    <x v="2"/>
    <x v="0"/>
    <s v="Returned"/>
    <n v="596"/>
    <n v="96"/>
    <x v="17"/>
    <x v="11"/>
    <x v="16"/>
    <x v="0"/>
    <x v="4"/>
    <m/>
  </r>
  <r>
    <d v="2024-01-21T00:00:00"/>
    <x v="0"/>
    <s v="Takeaway Boxes"/>
    <s v="Large"/>
    <x v="345"/>
    <x v="0"/>
    <x v="581"/>
    <n v="5"/>
    <n v="905"/>
    <x v="550"/>
    <x v="2"/>
    <x v="3"/>
    <x v="0"/>
    <s v="Delivered"/>
    <n v="994"/>
    <n v="181"/>
    <x v="7"/>
    <x v="5"/>
    <x v="7"/>
    <x v="0"/>
    <x v="9"/>
    <m/>
  </r>
  <r>
    <d v="2024-01-22T00:00:00"/>
    <x v="1"/>
    <s v="Glass &amp; Bottles"/>
    <s v="750ml"/>
    <x v="308"/>
    <x v="1"/>
    <x v="582"/>
    <n v="12"/>
    <n v="3768"/>
    <x v="551"/>
    <x v="2"/>
    <x v="1"/>
    <x v="1"/>
    <s v="Delayed"/>
    <n v="849"/>
    <n v="314"/>
    <x v="3"/>
    <x v="2"/>
    <x v="3"/>
    <x v="1"/>
    <x v="3"/>
    <m/>
  </r>
  <r>
    <d v="2024-01-23T00:00:00"/>
    <x v="4"/>
    <s v="Plates &amp; Bowls"/>
    <s v="500ml"/>
    <x v="84"/>
    <x v="4"/>
    <x v="384"/>
    <n v="1.5"/>
    <n v="90"/>
    <x v="366"/>
    <x v="2"/>
    <x v="2"/>
    <x v="2"/>
    <s v="Delayed"/>
    <n v="592"/>
    <n v="60"/>
    <x v="13"/>
    <x v="2"/>
    <x v="12"/>
    <x v="1"/>
    <x v="3"/>
    <m/>
  </r>
  <r>
    <d v="2024-01-24T00:00:00"/>
    <x v="5"/>
    <s v="Cutlery"/>
    <s v="3pcs"/>
    <x v="183"/>
    <x v="5"/>
    <x v="583"/>
    <n v="4"/>
    <n v="788"/>
    <x v="552"/>
    <x v="2"/>
    <x v="3"/>
    <x v="0"/>
    <s v="Delivered"/>
    <n v="611"/>
    <n v="197"/>
    <x v="19"/>
    <x v="13"/>
    <x v="18"/>
    <x v="3"/>
    <x v="2"/>
    <m/>
  </r>
  <r>
    <d v="2024-01-25T00:00:00"/>
    <x v="4"/>
    <s v="Plates &amp; Bowls"/>
    <s v="500ml"/>
    <x v="12"/>
    <x v="4"/>
    <x v="584"/>
    <n v="1.5"/>
    <n v="252"/>
    <x v="468"/>
    <x v="1"/>
    <x v="0"/>
    <x v="0"/>
    <s v="Returned"/>
    <n v="801"/>
    <n v="168"/>
    <x v="7"/>
    <x v="5"/>
    <x v="7"/>
    <x v="2"/>
    <x v="2"/>
    <m/>
  </r>
  <r>
    <d v="2024-01-26T00:00:00"/>
    <x v="3"/>
    <s v="Containers"/>
    <s v="1L"/>
    <x v="135"/>
    <x v="3"/>
    <x v="100"/>
    <n v="3"/>
    <n v="441"/>
    <x v="97"/>
    <x v="0"/>
    <x v="1"/>
    <x v="2"/>
    <s v="Returned"/>
    <n v="645"/>
    <n v="147"/>
    <x v="15"/>
    <x v="10"/>
    <x v="14"/>
    <x v="1"/>
    <x v="1"/>
    <m/>
  </r>
  <r>
    <d v="2024-01-27T00:00:00"/>
    <x v="1"/>
    <s v="Glass &amp; Bottles"/>
    <s v="750ml"/>
    <x v="31"/>
    <x v="1"/>
    <x v="585"/>
    <n v="12"/>
    <n v="4080"/>
    <x v="553"/>
    <x v="0"/>
    <x v="0"/>
    <x v="1"/>
    <s v="Delayed"/>
    <n v="747"/>
    <n v="340"/>
    <x v="18"/>
    <x v="12"/>
    <x v="17"/>
    <x v="3"/>
    <x v="8"/>
    <m/>
  </r>
  <r>
    <d v="2024-01-28T00:00:00"/>
    <x v="5"/>
    <s v="Cutlery"/>
    <s v="3pcs"/>
    <x v="127"/>
    <x v="5"/>
    <x v="586"/>
    <n v="4"/>
    <n v="348"/>
    <x v="334"/>
    <x v="1"/>
    <x v="0"/>
    <x v="2"/>
    <s v="Returned"/>
    <n v="979"/>
    <n v="87"/>
    <x v="11"/>
    <x v="9"/>
    <x v="11"/>
    <x v="3"/>
    <x v="2"/>
    <m/>
  </r>
  <r>
    <d v="2024-01-29T00:00:00"/>
    <x v="5"/>
    <s v="Cutlery"/>
    <s v="3pcs"/>
    <x v="95"/>
    <x v="5"/>
    <x v="99"/>
    <n v="4"/>
    <n v="924"/>
    <x v="96"/>
    <x v="1"/>
    <x v="1"/>
    <x v="2"/>
    <s v="Delivered"/>
    <n v="672"/>
    <n v="231"/>
    <x v="10"/>
    <x v="8"/>
    <x v="10"/>
    <x v="1"/>
    <x v="6"/>
    <m/>
  </r>
  <r>
    <d v="2024-01-30T00:00:00"/>
    <x v="0"/>
    <s v="Takeaway Boxes"/>
    <s v="Large"/>
    <x v="50"/>
    <x v="0"/>
    <x v="52"/>
    <n v="5"/>
    <n v="1705"/>
    <x v="51"/>
    <x v="2"/>
    <x v="3"/>
    <x v="0"/>
    <s v="Delivered"/>
    <n v="746"/>
    <n v="341"/>
    <x v="8"/>
    <x v="6"/>
    <x v="8"/>
    <x v="2"/>
    <x v="7"/>
    <m/>
  </r>
  <r>
    <d v="2024-01-31T00:00:00"/>
    <x v="4"/>
    <s v="Plates &amp; Bowls"/>
    <s v="500ml"/>
    <x v="377"/>
    <x v="4"/>
    <x v="271"/>
    <n v="1.5"/>
    <n v="216"/>
    <x v="554"/>
    <x v="0"/>
    <x v="0"/>
    <x v="0"/>
    <s v="Delayed"/>
    <n v="941"/>
    <n v="144"/>
    <x v="2"/>
    <x v="2"/>
    <x v="2"/>
    <x v="3"/>
    <x v="2"/>
    <m/>
  </r>
  <r>
    <d v="2024-02-01T00:00:00"/>
    <x v="0"/>
    <s v="Takeaway Boxes"/>
    <s v="Large"/>
    <x v="372"/>
    <x v="0"/>
    <x v="587"/>
    <n v="5"/>
    <n v="2175"/>
    <x v="555"/>
    <x v="1"/>
    <x v="0"/>
    <x v="2"/>
    <s v="Returned"/>
    <n v="505"/>
    <n v="435"/>
    <x v="8"/>
    <x v="6"/>
    <x v="8"/>
    <x v="3"/>
    <x v="5"/>
    <m/>
  </r>
  <r>
    <d v="2024-02-02T00:00:00"/>
    <x v="0"/>
    <s v="Takeaway Boxes"/>
    <s v="Large"/>
    <x v="378"/>
    <x v="0"/>
    <x v="588"/>
    <n v="5"/>
    <n v="70"/>
    <x v="299"/>
    <x v="0"/>
    <x v="3"/>
    <x v="2"/>
    <s v="Returned"/>
    <n v="899"/>
    <n v="14"/>
    <x v="10"/>
    <x v="8"/>
    <x v="10"/>
    <x v="3"/>
    <x v="6"/>
    <m/>
  </r>
  <r>
    <d v="2024-02-03T00:00:00"/>
    <x v="4"/>
    <s v="Plates &amp; Bowls"/>
    <s v="500ml"/>
    <x v="188"/>
    <x v="4"/>
    <x v="245"/>
    <n v="1.5"/>
    <n v="36"/>
    <x v="238"/>
    <x v="2"/>
    <x v="3"/>
    <x v="0"/>
    <s v="Delivered"/>
    <n v="745"/>
    <n v="24"/>
    <x v="7"/>
    <x v="5"/>
    <x v="7"/>
    <x v="1"/>
    <x v="2"/>
    <m/>
  </r>
  <r>
    <d v="2024-02-04T00:00:00"/>
    <x v="2"/>
    <s v="Housekeeping Items"/>
    <s v="Standard"/>
    <x v="289"/>
    <x v="2"/>
    <x v="589"/>
    <n v="100"/>
    <n v="13300"/>
    <x v="556"/>
    <x v="1"/>
    <x v="1"/>
    <x v="2"/>
    <s v="Returned"/>
    <n v="638"/>
    <n v="133"/>
    <x v="15"/>
    <x v="10"/>
    <x v="14"/>
    <x v="1"/>
    <x v="4"/>
    <m/>
  </r>
  <r>
    <d v="2024-02-05T00:00:00"/>
    <x v="1"/>
    <s v="Glass &amp; Bottles"/>
    <s v="750ml"/>
    <x v="129"/>
    <x v="1"/>
    <x v="590"/>
    <n v="12"/>
    <n v="5856"/>
    <x v="557"/>
    <x v="0"/>
    <x v="2"/>
    <x v="1"/>
    <s v="Delivered"/>
    <n v="983"/>
    <n v="488"/>
    <x v="5"/>
    <x v="0"/>
    <x v="5"/>
    <x v="2"/>
    <x v="9"/>
    <m/>
  </r>
  <r>
    <d v="2024-02-06T00:00:00"/>
    <x v="2"/>
    <s v="Housekeeping Items"/>
    <s v="Standard"/>
    <x v="139"/>
    <x v="2"/>
    <x v="591"/>
    <n v="100"/>
    <n v="19500"/>
    <x v="558"/>
    <x v="0"/>
    <x v="1"/>
    <x v="2"/>
    <s v="Returned"/>
    <n v="935"/>
    <n v="195"/>
    <x v="8"/>
    <x v="6"/>
    <x v="8"/>
    <x v="3"/>
    <x v="3"/>
    <m/>
  </r>
  <r>
    <d v="2024-02-07T00:00:00"/>
    <x v="0"/>
    <s v="Takeaway Boxes"/>
    <s v="Large"/>
    <x v="379"/>
    <x v="0"/>
    <x v="592"/>
    <n v="5"/>
    <n v="1775"/>
    <x v="559"/>
    <x v="2"/>
    <x v="2"/>
    <x v="0"/>
    <s v="Returned"/>
    <n v="781"/>
    <n v="355"/>
    <x v="3"/>
    <x v="2"/>
    <x v="3"/>
    <x v="0"/>
    <x v="7"/>
    <m/>
  </r>
  <r>
    <d v="2024-02-08T00:00:00"/>
    <x v="4"/>
    <s v="Plates &amp; Bowls"/>
    <s v="500ml"/>
    <x v="230"/>
    <x v="4"/>
    <x v="275"/>
    <n v="1.5"/>
    <n v="81"/>
    <x v="266"/>
    <x v="0"/>
    <x v="1"/>
    <x v="2"/>
    <s v="Delivered"/>
    <n v="663"/>
    <n v="54"/>
    <x v="2"/>
    <x v="2"/>
    <x v="2"/>
    <x v="4"/>
    <x v="8"/>
    <m/>
  </r>
  <r>
    <d v="2024-02-09T00:00:00"/>
    <x v="0"/>
    <s v="Takeaway Boxes"/>
    <s v="Large"/>
    <x v="125"/>
    <x v="0"/>
    <x v="593"/>
    <n v="5"/>
    <n v="1080"/>
    <x v="264"/>
    <x v="0"/>
    <x v="0"/>
    <x v="1"/>
    <s v="Delivered"/>
    <n v="563"/>
    <n v="216"/>
    <x v="2"/>
    <x v="2"/>
    <x v="2"/>
    <x v="3"/>
    <x v="11"/>
    <m/>
  </r>
  <r>
    <d v="2024-02-10T00:00:00"/>
    <x v="0"/>
    <s v="Takeaway Boxes"/>
    <s v="Large"/>
    <x v="369"/>
    <x v="0"/>
    <x v="358"/>
    <n v="5"/>
    <n v="2500"/>
    <x v="560"/>
    <x v="1"/>
    <x v="0"/>
    <x v="1"/>
    <s v="Delivered"/>
    <n v="645"/>
    <n v="500"/>
    <x v="3"/>
    <x v="2"/>
    <x v="3"/>
    <x v="4"/>
    <x v="8"/>
    <m/>
  </r>
  <r>
    <d v="2024-02-11T00:00:00"/>
    <x v="1"/>
    <s v="Glass &amp; Bottles"/>
    <s v="750ml"/>
    <x v="363"/>
    <x v="1"/>
    <x v="594"/>
    <n v="12"/>
    <n v="2388"/>
    <x v="561"/>
    <x v="1"/>
    <x v="1"/>
    <x v="2"/>
    <s v="Returned"/>
    <n v="868"/>
    <n v="199"/>
    <x v="6"/>
    <x v="4"/>
    <x v="6"/>
    <x v="0"/>
    <x v="11"/>
    <m/>
  </r>
  <r>
    <d v="2024-02-12T00:00:00"/>
    <x v="3"/>
    <s v="Containers"/>
    <s v="1L"/>
    <x v="253"/>
    <x v="3"/>
    <x v="314"/>
    <n v="3"/>
    <n v="63"/>
    <x v="299"/>
    <x v="0"/>
    <x v="2"/>
    <x v="2"/>
    <s v="Delayed"/>
    <n v="642"/>
    <n v="21"/>
    <x v="14"/>
    <x v="6"/>
    <x v="13"/>
    <x v="1"/>
    <x v="0"/>
    <m/>
  </r>
  <r>
    <d v="2024-02-13T00:00:00"/>
    <x v="5"/>
    <s v="Cutlery"/>
    <s v="3pcs"/>
    <x v="380"/>
    <x v="5"/>
    <x v="595"/>
    <n v="4"/>
    <n v="1664"/>
    <x v="562"/>
    <x v="2"/>
    <x v="1"/>
    <x v="2"/>
    <s v="Delayed"/>
    <n v="538"/>
    <n v="416"/>
    <x v="6"/>
    <x v="4"/>
    <x v="6"/>
    <x v="3"/>
    <x v="0"/>
    <m/>
  </r>
  <r>
    <d v="2024-02-14T00:00:00"/>
    <x v="2"/>
    <s v="Housekeeping Items"/>
    <s v="Standard"/>
    <x v="321"/>
    <x v="2"/>
    <x v="596"/>
    <n v="100"/>
    <n v="4900"/>
    <x v="563"/>
    <x v="0"/>
    <x v="2"/>
    <x v="1"/>
    <s v="Delayed"/>
    <n v="533"/>
    <n v="49"/>
    <x v="11"/>
    <x v="9"/>
    <x v="11"/>
    <x v="4"/>
    <x v="4"/>
    <m/>
  </r>
  <r>
    <d v="2024-02-15T00:00:00"/>
    <x v="3"/>
    <s v="Containers"/>
    <s v="1L"/>
    <x v="251"/>
    <x v="3"/>
    <x v="597"/>
    <n v="3"/>
    <n v="1278"/>
    <x v="564"/>
    <x v="1"/>
    <x v="3"/>
    <x v="0"/>
    <s v="Delivered"/>
    <n v="784"/>
    <n v="426"/>
    <x v="12"/>
    <x v="3"/>
    <x v="10"/>
    <x v="0"/>
    <x v="8"/>
    <m/>
  </r>
  <r>
    <d v="2024-02-16T00:00:00"/>
    <x v="4"/>
    <s v="Plates &amp; Bowls"/>
    <s v="500ml"/>
    <x v="271"/>
    <x v="4"/>
    <x v="598"/>
    <n v="1.5"/>
    <n v="544.5"/>
    <x v="565"/>
    <x v="0"/>
    <x v="1"/>
    <x v="2"/>
    <s v="Returned"/>
    <n v="893"/>
    <n v="363"/>
    <x v="14"/>
    <x v="6"/>
    <x v="13"/>
    <x v="1"/>
    <x v="8"/>
    <m/>
  </r>
  <r>
    <d v="2024-02-17T00:00:00"/>
    <x v="5"/>
    <s v="Cutlery"/>
    <s v="3pcs"/>
    <x v="381"/>
    <x v="5"/>
    <x v="599"/>
    <n v="4"/>
    <n v="824"/>
    <x v="566"/>
    <x v="0"/>
    <x v="3"/>
    <x v="2"/>
    <s v="Returned"/>
    <n v="599"/>
    <n v="206"/>
    <x v="6"/>
    <x v="4"/>
    <x v="6"/>
    <x v="1"/>
    <x v="7"/>
    <m/>
  </r>
  <r>
    <d v="2024-02-18T00:00:00"/>
    <x v="3"/>
    <s v="Containers"/>
    <s v="1L"/>
    <x v="22"/>
    <x v="3"/>
    <x v="174"/>
    <n v="3"/>
    <n v="207"/>
    <x v="23"/>
    <x v="0"/>
    <x v="2"/>
    <x v="2"/>
    <s v="Delivered"/>
    <n v="642"/>
    <n v="69"/>
    <x v="9"/>
    <x v="7"/>
    <x v="9"/>
    <x v="1"/>
    <x v="0"/>
    <m/>
  </r>
  <r>
    <d v="2024-02-19T00:00:00"/>
    <x v="3"/>
    <s v="Containers"/>
    <s v="1L"/>
    <x v="382"/>
    <x v="3"/>
    <x v="600"/>
    <n v="3"/>
    <n v="471"/>
    <x v="567"/>
    <x v="0"/>
    <x v="2"/>
    <x v="2"/>
    <s v="Delivered"/>
    <n v="683"/>
    <n v="157"/>
    <x v="9"/>
    <x v="7"/>
    <x v="9"/>
    <x v="0"/>
    <x v="1"/>
    <m/>
  </r>
  <r>
    <d v="2024-02-20T00:00:00"/>
    <x v="0"/>
    <s v="Takeaway Boxes"/>
    <s v="Large"/>
    <x v="383"/>
    <x v="0"/>
    <x v="601"/>
    <n v="5"/>
    <n v="1240"/>
    <x v="568"/>
    <x v="1"/>
    <x v="3"/>
    <x v="1"/>
    <s v="Delivered"/>
    <n v="592"/>
    <n v="248"/>
    <x v="14"/>
    <x v="6"/>
    <x v="13"/>
    <x v="4"/>
    <x v="9"/>
    <m/>
  </r>
  <r>
    <d v="2024-02-21T00:00:00"/>
    <x v="4"/>
    <s v="Plates &amp; Bowls"/>
    <s v="500ml"/>
    <x v="55"/>
    <x v="4"/>
    <x v="602"/>
    <n v="1.5"/>
    <n v="361.5"/>
    <x v="569"/>
    <x v="0"/>
    <x v="0"/>
    <x v="0"/>
    <s v="Returned"/>
    <n v="691"/>
    <n v="241"/>
    <x v="18"/>
    <x v="12"/>
    <x v="17"/>
    <x v="3"/>
    <x v="6"/>
    <m/>
  </r>
  <r>
    <d v="2024-02-22T00:00:00"/>
    <x v="3"/>
    <s v="Containers"/>
    <s v="1L"/>
    <x v="66"/>
    <x v="3"/>
    <x v="603"/>
    <n v="3"/>
    <n v="1152"/>
    <x v="570"/>
    <x v="0"/>
    <x v="1"/>
    <x v="2"/>
    <s v="Delivered"/>
    <n v="930"/>
    <n v="384"/>
    <x v="5"/>
    <x v="0"/>
    <x v="5"/>
    <x v="0"/>
    <x v="1"/>
    <m/>
  </r>
  <r>
    <d v="2024-02-23T00:00:00"/>
    <x v="1"/>
    <s v="Glass &amp; Bottles"/>
    <s v="750ml"/>
    <x v="314"/>
    <x v="1"/>
    <x v="604"/>
    <n v="12"/>
    <n v="3360"/>
    <x v="571"/>
    <x v="0"/>
    <x v="1"/>
    <x v="2"/>
    <s v="Delivered"/>
    <n v="986"/>
    <n v="280"/>
    <x v="10"/>
    <x v="8"/>
    <x v="10"/>
    <x v="2"/>
    <x v="6"/>
    <m/>
  </r>
  <r>
    <d v="2024-02-24T00:00:00"/>
    <x v="5"/>
    <s v="Cutlery"/>
    <s v="3pcs"/>
    <x v="332"/>
    <x v="5"/>
    <x v="605"/>
    <n v="4"/>
    <n v="112"/>
    <x v="464"/>
    <x v="1"/>
    <x v="0"/>
    <x v="1"/>
    <s v="Delayed"/>
    <n v="921"/>
    <n v="28"/>
    <x v="2"/>
    <x v="2"/>
    <x v="2"/>
    <x v="0"/>
    <x v="0"/>
    <m/>
  </r>
  <r>
    <d v="2024-02-25T00:00:00"/>
    <x v="5"/>
    <s v="Cutlery"/>
    <s v="3pcs"/>
    <x v="118"/>
    <x v="5"/>
    <x v="123"/>
    <n v="4"/>
    <n v="1064"/>
    <x v="120"/>
    <x v="1"/>
    <x v="2"/>
    <x v="1"/>
    <s v="Delayed"/>
    <n v="723"/>
    <n v="266"/>
    <x v="7"/>
    <x v="5"/>
    <x v="7"/>
    <x v="0"/>
    <x v="7"/>
    <m/>
  </r>
  <r>
    <d v="2024-02-26T00:00:00"/>
    <x v="4"/>
    <s v="Plates &amp; Bowls"/>
    <s v="500ml"/>
    <x v="299"/>
    <x v="4"/>
    <x v="409"/>
    <n v="1.5"/>
    <n v="108"/>
    <x v="114"/>
    <x v="2"/>
    <x v="3"/>
    <x v="1"/>
    <s v="Delayed"/>
    <n v="723"/>
    <n v="72"/>
    <x v="6"/>
    <x v="4"/>
    <x v="6"/>
    <x v="2"/>
    <x v="6"/>
    <m/>
  </r>
  <r>
    <d v="2024-02-27T00:00:00"/>
    <x v="4"/>
    <s v="Plates &amp; Bowls"/>
    <s v="500ml"/>
    <x v="384"/>
    <x v="4"/>
    <x v="606"/>
    <n v="1.5"/>
    <n v="177"/>
    <x v="572"/>
    <x v="2"/>
    <x v="1"/>
    <x v="2"/>
    <s v="Returned"/>
    <n v="514"/>
    <n v="118"/>
    <x v="12"/>
    <x v="3"/>
    <x v="10"/>
    <x v="1"/>
    <x v="11"/>
    <m/>
  </r>
  <r>
    <d v="2024-02-28T00:00:00"/>
    <x v="4"/>
    <s v="Plates &amp; Bowls"/>
    <s v="500ml"/>
    <x v="385"/>
    <x v="4"/>
    <x v="566"/>
    <n v="1.5"/>
    <n v="435"/>
    <x v="538"/>
    <x v="0"/>
    <x v="1"/>
    <x v="2"/>
    <s v="Delayed"/>
    <n v="678"/>
    <n v="290"/>
    <x v="11"/>
    <x v="9"/>
    <x v="11"/>
    <x v="0"/>
    <x v="5"/>
    <m/>
  </r>
  <r>
    <d v="2024-02-29T00:00:00"/>
    <x v="4"/>
    <s v="Plates &amp; Bowls"/>
    <s v="500ml"/>
    <x v="73"/>
    <x v="4"/>
    <x v="79"/>
    <n v="1.5"/>
    <n v="135"/>
    <x v="77"/>
    <x v="0"/>
    <x v="1"/>
    <x v="1"/>
    <s v="Delivered"/>
    <n v="806"/>
    <n v="90"/>
    <x v="5"/>
    <x v="0"/>
    <x v="5"/>
    <x v="2"/>
    <x v="5"/>
    <m/>
  </r>
  <r>
    <d v="2024-03-01T00:00:00"/>
    <x v="0"/>
    <s v="Takeaway Boxes"/>
    <s v="Large"/>
    <x v="256"/>
    <x v="0"/>
    <x v="607"/>
    <n v="5"/>
    <n v="1020"/>
    <x v="573"/>
    <x v="1"/>
    <x v="1"/>
    <x v="1"/>
    <s v="Returned"/>
    <n v="769"/>
    <n v="204"/>
    <x v="17"/>
    <x v="11"/>
    <x v="16"/>
    <x v="2"/>
    <x v="2"/>
    <m/>
  </r>
  <r>
    <d v="2024-03-02T00:00:00"/>
    <x v="2"/>
    <s v="Housekeeping Items"/>
    <s v="Standard"/>
    <x v="220"/>
    <x v="2"/>
    <x v="608"/>
    <n v="100"/>
    <n v="3100"/>
    <x v="574"/>
    <x v="1"/>
    <x v="0"/>
    <x v="0"/>
    <s v="Delivered"/>
    <n v="637"/>
    <n v="31"/>
    <x v="7"/>
    <x v="5"/>
    <x v="7"/>
    <x v="0"/>
    <x v="6"/>
    <m/>
  </r>
  <r>
    <d v="2024-03-03T00:00:00"/>
    <x v="0"/>
    <s v="Takeaway Boxes"/>
    <s v="Large"/>
    <x v="386"/>
    <x v="0"/>
    <x v="609"/>
    <n v="5"/>
    <n v="1770"/>
    <x v="575"/>
    <x v="0"/>
    <x v="3"/>
    <x v="1"/>
    <s v="Delayed"/>
    <n v="993"/>
    <n v="354"/>
    <x v="10"/>
    <x v="8"/>
    <x v="10"/>
    <x v="3"/>
    <x v="11"/>
    <m/>
  </r>
  <r>
    <d v="2024-03-04T00:00:00"/>
    <x v="2"/>
    <s v="Housekeeping Items"/>
    <s v="Standard"/>
    <x v="105"/>
    <x v="2"/>
    <x v="487"/>
    <n v="100"/>
    <n v="31700"/>
    <x v="459"/>
    <x v="0"/>
    <x v="0"/>
    <x v="1"/>
    <s v="Returned"/>
    <n v="641"/>
    <n v="317"/>
    <x v="15"/>
    <x v="10"/>
    <x v="14"/>
    <x v="3"/>
    <x v="6"/>
    <m/>
  </r>
  <r>
    <d v="2024-03-05T00:00:00"/>
    <x v="1"/>
    <s v="Glass &amp; Bottles"/>
    <s v="750ml"/>
    <x v="387"/>
    <x v="1"/>
    <x v="221"/>
    <n v="12"/>
    <n v="2040"/>
    <x v="576"/>
    <x v="0"/>
    <x v="1"/>
    <x v="2"/>
    <s v="Returned"/>
    <n v="711"/>
    <n v="170"/>
    <x v="1"/>
    <x v="1"/>
    <x v="1"/>
    <x v="2"/>
    <x v="3"/>
    <m/>
  </r>
  <r>
    <d v="2024-03-06T00:00:00"/>
    <x v="2"/>
    <s v="Housekeeping Items"/>
    <s v="Standard"/>
    <x v="388"/>
    <x v="2"/>
    <x v="610"/>
    <n v="100"/>
    <n v="42000"/>
    <x v="577"/>
    <x v="0"/>
    <x v="0"/>
    <x v="2"/>
    <s v="Returned"/>
    <n v="636"/>
    <n v="420"/>
    <x v="18"/>
    <x v="12"/>
    <x v="17"/>
    <x v="0"/>
    <x v="11"/>
    <m/>
  </r>
  <r>
    <d v="2024-03-07T00:00:00"/>
    <x v="2"/>
    <s v="Housekeeping Items"/>
    <s v="Standard"/>
    <x v="389"/>
    <x v="2"/>
    <x v="611"/>
    <n v="100"/>
    <n v="44200"/>
    <x v="578"/>
    <x v="1"/>
    <x v="1"/>
    <x v="1"/>
    <s v="Delivered"/>
    <n v="860"/>
    <n v="442"/>
    <x v="16"/>
    <x v="4"/>
    <x v="15"/>
    <x v="1"/>
    <x v="5"/>
    <m/>
  </r>
  <r>
    <d v="2024-03-08T00:00:00"/>
    <x v="0"/>
    <s v="Takeaway Boxes"/>
    <s v="Large"/>
    <x v="217"/>
    <x v="0"/>
    <x v="612"/>
    <n v="5"/>
    <n v="2205"/>
    <x v="579"/>
    <x v="0"/>
    <x v="0"/>
    <x v="1"/>
    <s v="Delayed"/>
    <n v="805"/>
    <n v="441"/>
    <x v="2"/>
    <x v="2"/>
    <x v="2"/>
    <x v="3"/>
    <x v="2"/>
    <m/>
  </r>
  <r>
    <d v="2024-03-09T00:00:00"/>
    <x v="4"/>
    <s v="Plates &amp; Bowls"/>
    <s v="500ml"/>
    <x v="376"/>
    <x v="4"/>
    <x v="613"/>
    <n v="1.5"/>
    <n v="144"/>
    <x v="580"/>
    <x v="2"/>
    <x v="2"/>
    <x v="0"/>
    <s v="Returned"/>
    <n v="787"/>
    <n v="96"/>
    <x v="9"/>
    <x v="7"/>
    <x v="9"/>
    <x v="1"/>
    <x v="5"/>
    <m/>
  </r>
  <r>
    <d v="2024-03-10T00:00:00"/>
    <x v="1"/>
    <s v="Glass &amp; Bottles"/>
    <s v="750ml"/>
    <x v="390"/>
    <x v="1"/>
    <x v="614"/>
    <n v="12"/>
    <n v="2988"/>
    <x v="581"/>
    <x v="0"/>
    <x v="2"/>
    <x v="2"/>
    <s v="Delayed"/>
    <n v="742"/>
    <n v="249"/>
    <x v="11"/>
    <x v="9"/>
    <x v="11"/>
    <x v="0"/>
    <x v="7"/>
    <m/>
  </r>
  <r>
    <d v="2024-03-11T00:00:00"/>
    <x v="1"/>
    <s v="Glass &amp; Bottles"/>
    <s v="750ml"/>
    <x v="391"/>
    <x v="1"/>
    <x v="615"/>
    <n v="12"/>
    <n v="5736"/>
    <x v="582"/>
    <x v="1"/>
    <x v="0"/>
    <x v="1"/>
    <s v="Returned"/>
    <n v="920"/>
    <n v="478"/>
    <x v="15"/>
    <x v="10"/>
    <x v="14"/>
    <x v="2"/>
    <x v="4"/>
    <m/>
  </r>
  <r>
    <d v="2024-03-12T00:00:00"/>
    <x v="1"/>
    <s v="Glass &amp; Bottles"/>
    <s v="750ml"/>
    <x v="356"/>
    <x v="1"/>
    <x v="292"/>
    <n v="12"/>
    <n v="408"/>
    <x v="283"/>
    <x v="1"/>
    <x v="1"/>
    <x v="0"/>
    <s v="Returned"/>
    <n v="814"/>
    <n v="34"/>
    <x v="13"/>
    <x v="2"/>
    <x v="12"/>
    <x v="0"/>
    <x v="7"/>
    <m/>
  </r>
  <r>
    <d v="2024-03-13T00:00:00"/>
    <x v="1"/>
    <s v="Glass &amp; Bottles"/>
    <s v="750ml"/>
    <x v="8"/>
    <x v="1"/>
    <x v="8"/>
    <n v="12"/>
    <n v="2196"/>
    <x v="8"/>
    <x v="1"/>
    <x v="2"/>
    <x v="0"/>
    <s v="Delivered"/>
    <n v="642"/>
    <n v="183"/>
    <x v="18"/>
    <x v="12"/>
    <x v="17"/>
    <x v="0"/>
    <x v="11"/>
    <m/>
  </r>
  <r>
    <d v="2024-03-14T00:00:00"/>
    <x v="1"/>
    <s v="Glass &amp; Bottles"/>
    <s v="750ml"/>
    <x v="392"/>
    <x v="1"/>
    <x v="616"/>
    <n v="12"/>
    <n v="1620"/>
    <x v="583"/>
    <x v="0"/>
    <x v="3"/>
    <x v="0"/>
    <s v="Returned"/>
    <n v="728"/>
    <n v="135"/>
    <x v="4"/>
    <x v="3"/>
    <x v="4"/>
    <x v="3"/>
    <x v="6"/>
    <m/>
  </r>
  <r>
    <d v="2024-03-15T00:00:00"/>
    <x v="2"/>
    <s v="Housekeeping Items"/>
    <s v="Standard"/>
    <x v="73"/>
    <x v="2"/>
    <x v="617"/>
    <n v="100"/>
    <n v="9000"/>
    <x v="584"/>
    <x v="2"/>
    <x v="0"/>
    <x v="1"/>
    <s v="Delivered"/>
    <n v="977"/>
    <n v="90"/>
    <x v="5"/>
    <x v="0"/>
    <x v="5"/>
    <x v="1"/>
    <x v="0"/>
    <m/>
  </r>
  <r>
    <d v="2024-03-16T00:00:00"/>
    <x v="2"/>
    <s v="Housekeeping Items"/>
    <s v="Standard"/>
    <x v="108"/>
    <x v="2"/>
    <x v="618"/>
    <n v="100"/>
    <n v="30000"/>
    <x v="585"/>
    <x v="0"/>
    <x v="1"/>
    <x v="0"/>
    <s v="Delivered"/>
    <n v="820"/>
    <n v="300"/>
    <x v="19"/>
    <x v="13"/>
    <x v="18"/>
    <x v="0"/>
    <x v="3"/>
    <m/>
  </r>
  <r>
    <d v="2024-03-17T00:00:00"/>
    <x v="4"/>
    <s v="Plates &amp; Bowls"/>
    <s v="500ml"/>
    <x v="319"/>
    <x v="4"/>
    <x v="461"/>
    <n v="1.5"/>
    <n v="394.5"/>
    <x v="436"/>
    <x v="2"/>
    <x v="3"/>
    <x v="2"/>
    <s v="Delivered"/>
    <n v="521"/>
    <n v="263"/>
    <x v="18"/>
    <x v="12"/>
    <x v="17"/>
    <x v="4"/>
    <x v="7"/>
    <m/>
  </r>
  <r>
    <d v="2024-03-18T00:00:00"/>
    <x v="4"/>
    <s v="Plates &amp; Bowls"/>
    <s v="500ml"/>
    <x v="246"/>
    <x v="4"/>
    <x v="299"/>
    <n v="1.5"/>
    <n v="688.5"/>
    <x v="63"/>
    <x v="1"/>
    <x v="2"/>
    <x v="2"/>
    <s v="Delivered"/>
    <n v="600"/>
    <n v="459"/>
    <x v="17"/>
    <x v="11"/>
    <x v="16"/>
    <x v="3"/>
    <x v="0"/>
    <m/>
  </r>
  <r>
    <d v="2024-03-19T00:00:00"/>
    <x v="3"/>
    <s v="Containers"/>
    <s v="1L"/>
    <x v="42"/>
    <x v="3"/>
    <x v="129"/>
    <n v="3"/>
    <n v="273"/>
    <x v="42"/>
    <x v="0"/>
    <x v="2"/>
    <x v="2"/>
    <s v="Delayed"/>
    <n v="594"/>
    <n v="91"/>
    <x v="13"/>
    <x v="2"/>
    <x v="12"/>
    <x v="2"/>
    <x v="3"/>
    <m/>
  </r>
  <r>
    <d v="2024-03-20T00:00:00"/>
    <x v="1"/>
    <s v="Glass &amp; Bottles"/>
    <s v="750ml"/>
    <x v="246"/>
    <x v="1"/>
    <x v="619"/>
    <n v="12"/>
    <n v="5508"/>
    <x v="586"/>
    <x v="0"/>
    <x v="3"/>
    <x v="0"/>
    <s v="Delayed"/>
    <n v="695"/>
    <n v="459"/>
    <x v="2"/>
    <x v="2"/>
    <x v="2"/>
    <x v="2"/>
    <x v="0"/>
    <m/>
  </r>
  <r>
    <d v="2024-03-21T00:00:00"/>
    <x v="0"/>
    <s v="Takeaway Boxes"/>
    <s v="Large"/>
    <x v="258"/>
    <x v="0"/>
    <x v="324"/>
    <n v="5"/>
    <n v="1440"/>
    <x v="309"/>
    <x v="2"/>
    <x v="1"/>
    <x v="1"/>
    <s v="Delayed"/>
    <n v="860"/>
    <n v="288"/>
    <x v="0"/>
    <x v="0"/>
    <x v="0"/>
    <x v="3"/>
    <x v="5"/>
    <m/>
  </r>
  <r>
    <d v="2024-03-22T00:00:00"/>
    <x v="4"/>
    <s v="Plates &amp; Bowls"/>
    <s v="500ml"/>
    <x v="151"/>
    <x v="4"/>
    <x v="620"/>
    <n v="1.5"/>
    <n v="249"/>
    <x v="326"/>
    <x v="0"/>
    <x v="1"/>
    <x v="1"/>
    <s v="Delayed"/>
    <n v="775"/>
    <n v="166"/>
    <x v="19"/>
    <x v="13"/>
    <x v="18"/>
    <x v="3"/>
    <x v="0"/>
    <m/>
  </r>
  <r>
    <d v="2024-03-23T00:00:00"/>
    <x v="1"/>
    <s v="Glass &amp; Bottles"/>
    <s v="750ml"/>
    <x v="390"/>
    <x v="1"/>
    <x v="614"/>
    <n v="12"/>
    <n v="2988"/>
    <x v="581"/>
    <x v="0"/>
    <x v="1"/>
    <x v="1"/>
    <s v="Delivered"/>
    <n v="954"/>
    <n v="249"/>
    <x v="10"/>
    <x v="8"/>
    <x v="10"/>
    <x v="1"/>
    <x v="6"/>
    <m/>
  </r>
  <r>
    <d v="2024-03-24T00:00:00"/>
    <x v="3"/>
    <s v="Containers"/>
    <s v="1L"/>
    <x v="10"/>
    <x v="3"/>
    <x v="621"/>
    <n v="3"/>
    <n v="1479"/>
    <x v="587"/>
    <x v="1"/>
    <x v="1"/>
    <x v="2"/>
    <s v="Delivered"/>
    <n v="842"/>
    <n v="493"/>
    <x v="3"/>
    <x v="2"/>
    <x v="3"/>
    <x v="4"/>
    <x v="10"/>
    <m/>
  </r>
  <r>
    <d v="2024-03-25T00:00:00"/>
    <x v="1"/>
    <s v="Glass &amp; Bottles"/>
    <s v="750ml"/>
    <x v="393"/>
    <x v="1"/>
    <x v="622"/>
    <n v="12"/>
    <n v="5472"/>
    <x v="588"/>
    <x v="2"/>
    <x v="1"/>
    <x v="1"/>
    <s v="Returned"/>
    <n v="820"/>
    <n v="456"/>
    <x v="0"/>
    <x v="0"/>
    <x v="0"/>
    <x v="3"/>
    <x v="4"/>
    <m/>
  </r>
  <r>
    <d v="2024-03-26T00:00:00"/>
    <x v="2"/>
    <s v="Housekeeping Items"/>
    <s v="Standard"/>
    <x v="394"/>
    <x v="2"/>
    <x v="623"/>
    <n v="100"/>
    <n v="9900"/>
    <x v="589"/>
    <x v="2"/>
    <x v="3"/>
    <x v="2"/>
    <s v="Returned"/>
    <n v="848"/>
    <n v="99"/>
    <x v="11"/>
    <x v="9"/>
    <x v="11"/>
    <x v="0"/>
    <x v="1"/>
    <m/>
  </r>
  <r>
    <d v="2024-03-27T00:00:00"/>
    <x v="1"/>
    <s v="Glass &amp; Bottles"/>
    <s v="750ml"/>
    <x v="46"/>
    <x v="1"/>
    <x v="298"/>
    <n v="12"/>
    <n v="5124"/>
    <x v="288"/>
    <x v="1"/>
    <x v="3"/>
    <x v="2"/>
    <s v="Delayed"/>
    <n v="767"/>
    <n v="427"/>
    <x v="2"/>
    <x v="2"/>
    <x v="2"/>
    <x v="2"/>
    <x v="1"/>
    <m/>
  </r>
  <r>
    <d v="2024-03-28T00:00:00"/>
    <x v="0"/>
    <s v="Takeaway Boxes"/>
    <s v="Large"/>
    <x v="283"/>
    <x v="0"/>
    <x v="624"/>
    <n v="5"/>
    <n v="1820"/>
    <x v="590"/>
    <x v="0"/>
    <x v="0"/>
    <x v="1"/>
    <s v="Delivered"/>
    <n v="959"/>
    <n v="364"/>
    <x v="7"/>
    <x v="5"/>
    <x v="7"/>
    <x v="0"/>
    <x v="2"/>
    <m/>
  </r>
  <r>
    <d v="2024-03-29T00:00:00"/>
    <x v="3"/>
    <s v="Containers"/>
    <s v="1L"/>
    <x v="357"/>
    <x v="3"/>
    <x v="625"/>
    <n v="3"/>
    <n v="627"/>
    <x v="591"/>
    <x v="1"/>
    <x v="1"/>
    <x v="2"/>
    <s v="Delayed"/>
    <n v="746"/>
    <n v="209"/>
    <x v="16"/>
    <x v="4"/>
    <x v="15"/>
    <x v="1"/>
    <x v="10"/>
    <m/>
  </r>
  <r>
    <d v="2024-03-30T00:00:00"/>
    <x v="3"/>
    <s v="Containers"/>
    <s v="1L"/>
    <x v="395"/>
    <x v="3"/>
    <x v="626"/>
    <n v="3"/>
    <n v="231"/>
    <x v="592"/>
    <x v="0"/>
    <x v="3"/>
    <x v="0"/>
    <s v="Delayed"/>
    <n v="611"/>
    <n v="77"/>
    <x v="1"/>
    <x v="1"/>
    <x v="1"/>
    <x v="2"/>
    <x v="10"/>
    <m/>
  </r>
  <r>
    <d v="2024-03-31T00:00:00"/>
    <x v="0"/>
    <s v="Takeaway Boxes"/>
    <s v="Large"/>
    <x v="289"/>
    <x v="0"/>
    <x v="393"/>
    <n v="5"/>
    <n v="665"/>
    <x v="372"/>
    <x v="0"/>
    <x v="1"/>
    <x v="2"/>
    <s v="Delivered"/>
    <n v="841"/>
    <n v="133"/>
    <x v="10"/>
    <x v="8"/>
    <x v="10"/>
    <x v="3"/>
    <x v="6"/>
    <m/>
  </r>
  <r>
    <d v="2024-04-01T00:00:00"/>
    <x v="1"/>
    <s v="Glass &amp; Bottles"/>
    <s v="750ml"/>
    <x v="153"/>
    <x v="1"/>
    <x v="627"/>
    <n v="12"/>
    <n v="3888"/>
    <x v="593"/>
    <x v="1"/>
    <x v="1"/>
    <x v="0"/>
    <s v="Returned"/>
    <n v="614"/>
    <n v="324"/>
    <x v="3"/>
    <x v="2"/>
    <x v="3"/>
    <x v="2"/>
    <x v="6"/>
    <m/>
  </r>
  <r>
    <d v="2024-04-02T00:00:00"/>
    <x v="4"/>
    <s v="Plates &amp; Bowls"/>
    <s v="500ml"/>
    <x v="11"/>
    <x v="4"/>
    <x v="12"/>
    <n v="1.5"/>
    <n v="583.5"/>
    <x v="12"/>
    <x v="2"/>
    <x v="3"/>
    <x v="2"/>
    <s v="Delivered"/>
    <n v="949"/>
    <n v="389"/>
    <x v="19"/>
    <x v="13"/>
    <x v="18"/>
    <x v="0"/>
    <x v="8"/>
    <m/>
  </r>
  <r>
    <d v="2024-04-03T00:00:00"/>
    <x v="4"/>
    <s v="Plates &amp; Bowls"/>
    <s v="500ml"/>
    <x v="396"/>
    <x v="4"/>
    <x v="628"/>
    <n v="1.5"/>
    <n v="523.5"/>
    <x v="594"/>
    <x v="1"/>
    <x v="1"/>
    <x v="0"/>
    <s v="Returned"/>
    <n v="531"/>
    <n v="349"/>
    <x v="0"/>
    <x v="0"/>
    <x v="0"/>
    <x v="0"/>
    <x v="11"/>
    <m/>
  </r>
  <r>
    <d v="2024-04-04T00:00:00"/>
    <x v="0"/>
    <s v="Takeaway Boxes"/>
    <s v="Large"/>
    <x v="33"/>
    <x v="0"/>
    <x v="394"/>
    <n v="5"/>
    <n v="1320"/>
    <x v="261"/>
    <x v="2"/>
    <x v="2"/>
    <x v="2"/>
    <s v="Delivered"/>
    <n v="683"/>
    <n v="264"/>
    <x v="6"/>
    <x v="4"/>
    <x v="6"/>
    <x v="2"/>
    <x v="3"/>
    <m/>
  </r>
  <r>
    <d v="2024-04-05T00:00:00"/>
    <x v="5"/>
    <s v="Cutlery"/>
    <s v="3pcs"/>
    <x v="25"/>
    <x v="5"/>
    <x v="26"/>
    <n v="4"/>
    <n v="1724"/>
    <x v="26"/>
    <x v="2"/>
    <x v="0"/>
    <x v="0"/>
    <s v="Returned"/>
    <n v="585"/>
    <n v="431"/>
    <x v="14"/>
    <x v="6"/>
    <x v="13"/>
    <x v="3"/>
    <x v="0"/>
    <m/>
  </r>
  <r>
    <d v="2024-04-06T00:00:00"/>
    <x v="0"/>
    <s v="Takeaway Boxes"/>
    <s v="Large"/>
    <x v="70"/>
    <x v="0"/>
    <x v="301"/>
    <n v="5"/>
    <n v="2435"/>
    <x v="290"/>
    <x v="0"/>
    <x v="3"/>
    <x v="0"/>
    <s v="Delivered"/>
    <n v="709"/>
    <n v="487"/>
    <x v="14"/>
    <x v="6"/>
    <x v="13"/>
    <x v="2"/>
    <x v="4"/>
    <m/>
  </r>
  <r>
    <d v="2024-04-07T00:00:00"/>
    <x v="2"/>
    <s v="Housekeeping Items"/>
    <s v="Standard"/>
    <x v="146"/>
    <x v="2"/>
    <x v="629"/>
    <n v="100"/>
    <n v="35700"/>
    <x v="595"/>
    <x v="1"/>
    <x v="2"/>
    <x v="1"/>
    <s v="Delayed"/>
    <n v="918"/>
    <n v="357"/>
    <x v="16"/>
    <x v="4"/>
    <x v="15"/>
    <x v="4"/>
    <x v="0"/>
    <m/>
  </r>
  <r>
    <d v="2024-04-08T00:00:00"/>
    <x v="1"/>
    <s v="Glass &amp; Bottles"/>
    <s v="750ml"/>
    <x v="7"/>
    <x v="1"/>
    <x v="630"/>
    <n v="12"/>
    <n v="2100"/>
    <x v="543"/>
    <x v="2"/>
    <x v="2"/>
    <x v="1"/>
    <s v="Delivered"/>
    <n v="830"/>
    <n v="175"/>
    <x v="17"/>
    <x v="11"/>
    <x v="16"/>
    <x v="0"/>
    <x v="3"/>
    <m/>
  </r>
  <r>
    <d v="2024-04-09T00:00:00"/>
    <x v="0"/>
    <s v="Takeaway Boxes"/>
    <s v="Large"/>
    <x v="109"/>
    <x v="0"/>
    <x v="631"/>
    <n v="5"/>
    <n v="1780"/>
    <x v="596"/>
    <x v="0"/>
    <x v="3"/>
    <x v="0"/>
    <s v="Delayed"/>
    <n v="837"/>
    <n v="356"/>
    <x v="0"/>
    <x v="0"/>
    <x v="0"/>
    <x v="1"/>
    <x v="6"/>
    <m/>
  </r>
  <r>
    <d v="2024-04-10T00:00:00"/>
    <x v="1"/>
    <s v="Glass &amp; Bottles"/>
    <s v="750ml"/>
    <x v="142"/>
    <x v="1"/>
    <x v="632"/>
    <n v="12"/>
    <n v="4968"/>
    <x v="597"/>
    <x v="2"/>
    <x v="1"/>
    <x v="0"/>
    <s v="Returned"/>
    <n v="822"/>
    <n v="414"/>
    <x v="2"/>
    <x v="2"/>
    <x v="2"/>
    <x v="3"/>
    <x v="1"/>
    <m/>
  </r>
  <r>
    <d v="2024-04-11T00:00:00"/>
    <x v="1"/>
    <s v="Glass &amp; Bottles"/>
    <s v="750ml"/>
    <x v="180"/>
    <x v="1"/>
    <x v="633"/>
    <n v="12"/>
    <n v="1776"/>
    <x v="598"/>
    <x v="2"/>
    <x v="2"/>
    <x v="2"/>
    <s v="Delivered"/>
    <n v="992"/>
    <n v="148"/>
    <x v="14"/>
    <x v="6"/>
    <x v="13"/>
    <x v="4"/>
    <x v="7"/>
    <m/>
  </r>
  <r>
    <d v="2024-04-12T00:00:00"/>
    <x v="4"/>
    <s v="Plates &amp; Bowls"/>
    <s v="500ml"/>
    <x v="280"/>
    <x v="4"/>
    <x v="634"/>
    <n v="1.5"/>
    <n v="270"/>
    <x v="74"/>
    <x v="2"/>
    <x v="3"/>
    <x v="1"/>
    <s v="Delivered"/>
    <n v="824"/>
    <n v="180"/>
    <x v="16"/>
    <x v="4"/>
    <x v="15"/>
    <x v="3"/>
    <x v="7"/>
    <m/>
  </r>
  <r>
    <d v="2024-04-13T00:00:00"/>
    <x v="1"/>
    <s v="Glass &amp; Bottles"/>
    <s v="750ml"/>
    <x v="116"/>
    <x v="1"/>
    <x v="635"/>
    <n v="12"/>
    <n v="1656"/>
    <x v="599"/>
    <x v="0"/>
    <x v="2"/>
    <x v="0"/>
    <s v="Delayed"/>
    <n v="969"/>
    <n v="138"/>
    <x v="11"/>
    <x v="9"/>
    <x v="11"/>
    <x v="3"/>
    <x v="10"/>
    <m/>
  </r>
  <r>
    <d v="2024-04-14T00:00:00"/>
    <x v="5"/>
    <s v="Cutlery"/>
    <s v="3pcs"/>
    <x v="397"/>
    <x v="5"/>
    <x v="636"/>
    <n v="4"/>
    <n v="1864"/>
    <x v="600"/>
    <x v="2"/>
    <x v="3"/>
    <x v="2"/>
    <s v="Returned"/>
    <n v="642"/>
    <n v="466"/>
    <x v="11"/>
    <x v="9"/>
    <x v="11"/>
    <x v="3"/>
    <x v="11"/>
    <m/>
  </r>
  <r>
    <d v="2024-04-15T00:00:00"/>
    <x v="5"/>
    <s v="Cutlery"/>
    <s v="3pcs"/>
    <x v="192"/>
    <x v="5"/>
    <x v="637"/>
    <n v="4"/>
    <n v="420"/>
    <x v="181"/>
    <x v="1"/>
    <x v="2"/>
    <x v="2"/>
    <s v="Delayed"/>
    <n v="785"/>
    <n v="105"/>
    <x v="19"/>
    <x v="13"/>
    <x v="18"/>
    <x v="1"/>
    <x v="7"/>
    <m/>
  </r>
  <r>
    <d v="2024-04-16T00:00:00"/>
    <x v="0"/>
    <s v="Takeaway Boxes"/>
    <s v="Large"/>
    <x v="15"/>
    <x v="0"/>
    <x v="638"/>
    <n v="5"/>
    <n v="1845"/>
    <x v="601"/>
    <x v="1"/>
    <x v="2"/>
    <x v="0"/>
    <s v="Delayed"/>
    <n v="576"/>
    <n v="369"/>
    <x v="0"/>
    <x v="0"/>
    <x v="0"/>
    <x v="4"/>
    <x v="4"/>
    <m/>
  </r>
  <r>
    <d v="2024-04-17T00:00:00"/>
    <x v="2"/>
    <s v="Housekeeping Items"/>
    <s v="Standard"/>
    <x v="2"/>
    <x v="2"/>
    <x v="639"/>
    <n v="100"/>
    <n v="20100"/>
    <x v="602"/>
    <x v="1"/>
    <x v="0"/>
    <x v="1"/>
    <s v="Delivered"/>
    <n v="867"/>
    <n v="201"/>
    <x v="2"/>
    <x v="2"/>
    <x v="2"/>
    <x v="2"/>
    <x v="1"/>
    <m/>
  </r>
  <r>
    <d v="2024-04-18T00:00:00"/>
    <x v="2"/>
    <s v="Housekeeping Items"/>
    <s v="Standard"/>
    <x v="312"/>
    <x v="2"/>
    <x v="640"/>
    <n v="100"/>
    <n v="21700"/>
    <x v="603"/>
    <x v="2"/>
    <x v="2"/>
    <x v="1"/>
    <s v="Returned"/>
    <n v="790"/>
    <n v="217"/>
    <x v="15"/>
    <x v="10"/>
    <x v="14"/>
    <x v="1"/>
    <x v="10"/>
    <m/>
  </r>
  <r>
    <d v="2024-04-19T00:00:00"/>
    <x v="3"/>
    <s v="Containers"/>
    <s v="1L"/>
    <x v="325"/>
    <x v="3"/>
    <x v="309"/>
    <n v="3"/>
    <n v="639"/>
    <x v="295"/>
    <x v="2"/>
    <x v="1"/>
    <x v="0"/>
    <s v="Delayed"/>
    <n v="532"/>
    <n v="213"/>
    <x v="6"/>
    <x v="4"/>
    <x v="6"/>
    <x v="2"/>
    <x v="1"/>
    <m/>
  </r>
  <r>
    <d v="2024-04-20T00:00:00"/>
    <x v="1"/>
    <s v="Glass &amp; Bottles"/>
    <s v="750ml"/>
    <x v="25"/>
    <x v="1"/>
    <x v="641"/>
    <n v="12"/>
    <n v="5172"/>
    <x v="604"/>
    <x v="0"/>
    <x v="2"/>
    <x v="0"/>
    <s v="Delivered"/>
    <n v="504"/>
    <n v="431"/>
    <x v="8"/>
    <x v="6"/>
    <x v="8"/>
    <x v="3"/>
    <x v="4"/>
    <m/>
  </r>
  <r>
    <d v="2024-04-21T00:00:00"/>
    <x v="1"/>
    <s v="Glass &amp; Bottles"/>
    <s v="750ml"/>
    <x v="221"/>
    <x v="1"/>
    <x v="216"/>
    <n v="12"/>
    <n v="960"/>
    <x v="210"/>
    <x v="1"/>
    <x v="2"/>
    <x v="1"/>
    <s v="Delivered"/>
    <n v="876"/>
    <n v="80"/>
    <x v="14"/>
    <x v="6"/>
    <x v="13"/>
    <x v="2"/>
    <x v="6"/>
    <m/>
  </r>
  <r>
    <d v="2024-04-22T00:00:00"/>
    <x v="4"/>
    <s v="Plates &amp; Bowls"/>
    <s v="500ml"/>
    <x v="58"/>
    <x v="4"/>
    <x v="642"/>
    <n v="1.5"/>
    <n v="237"/>
    <x v="605"/>
    <x v="2"/>
    <x v="2"/>
    <x v="2"/>
    <s v="Delayed"/>
    <n v="851"/>
    <n v="158"/>
    <x v="10"/>
    <x v="8"/>
    <x v="10"/>
    <x v="2"/>
    <x v="8"/>
    <m/>
  </r>
  <r>
    <d v="2024-04-23T00:00:00"/>
    <x v="5"/>
    <s v="Cutlery"/>
    <s v="3pcs"/>
    <x v="368"/>
    <x v="5"/>
    <x v="643"/>
    <n v="4"/>
    <n v="1068"/>
    <x v="606"/>
    <x v="2"/>
    <x v="2"/>
    <x v="1"/>
    <s v="Delivered"/>
    <n v="961"/>
    <n v="267"/>
    <x v="16"/>
    <x v="4"/>
    <x v="15"/>
    <x v="1"/>
    <x v="8"/>
    <m/>
  </r>
  <r>
    <d v="2024-04-24T00:00:00"/>
    <x v="5"/>
    <s v="Cutlery"/>
    <s v="3pcs"/>
    <x v="191"/>
    <x v="5"/>
    <x v="644"/>
    <n v="4"/>
    <n v="1700"/>
    <x v="607"/>
    <x v="1"/>
    <x v="1"/>
    <x v="0"/>
    <s v="Returned"/>
    <n v="963"/>
    <n v="425"/>
    <x v="2"/>
    <x v="2"/>
    <x v="2"/>
    <x v="4"/>
    <x v="4"/>
    <m/>
  </r>
  <r>
    <d v="2024-04-25T00:00:00"/>
    <x v="5"/>
    <s v="Cutlery"/>
    <s v="3pcs"/>
    <x v="313"/>
    <x v="5"/>
    <x v="645"/>
    <n v="4"/>
    <n v="452"/>
    <x v="417"/>
    <x v="0"/>
    <x v="2"/>
    <x v="0"/>
    <s v="Delayed"/>
    <n v="642"/>
    <n v="113"/>
    <x v="8"/>
    <x v="6"/>
    <x v="8"/>
    <x v="1"/>
    <x v="3"/>
    <m/>
  </r>
  <r>
    <d v="2024-04-26T00:00:00"/>
    <x v="2"/>
    <s v="Housekeeping Items"/>
    <s v="Standard"/>
    <x v="97"/>
    <x v="2"/>
    <x v="492"/>
    <n v="100"/>
    <n v="23000"/>
    <x v="465"/>
    <x v="0"/>
    <x v="0"/>
    <x v="2"/>
    <s v="Delivered"/>
    <n v="638"/>
    <n v="230"/>
    <x v="5"/>
    <x v="0"/>
    <x v="5"/>
    <x v="3"/>
    <x v="7"/>
    <m/>
  </r>
  <r>
    <d v="2024-04-27T00:00:00"/>
    <x v="0"/>
    <s v="Takeaway Boxes"/>
    <s v="Large"/>
    <x v="98"/>
    <x v="0"/>
    <x v="646"/>
    <n v="5"/>
    <n v="730"/>
    <x v="256"/>
    <x v="2"/>
    <x v="3"/>
    <x v="1"/>
    <s v="Returned"/>
    <n v="642"/>
    <n v="146"/>
    <x v="2"/>
    <x v="2"/>
    <x v="2"/>
    <x v="0"/>
    <x v="4"/>
    <m/>
  </r>
  <r>
    <d v="2024-04-28T00:00:00"/>
    <x v="4"/>
    <s v="Plates &amp; Bowls"/>
    <s v="500ml"/>
    <x v="240"/>
    <x v="4"/>
    <x v="5"/>
    <n v="1.5"/>
    <n v="606"/>
    <x v="5"/>
    <x v="2"/>
    <x v="1"/>
    <x v="2"/>
    <s v="Delayed"/>
    <n v="942"/>
    <n v="404"/>
    <x v="8"/>
    <x v="6"/>
    <x v="8"/>
    <x v="3"/>
    <x v="4"/>
    <m/>
  </r>
  <r>
    <d v="2024-04-29T00:00:00"/>
    <x v="0"/>
    <s v="Takeaway Boxes"/>
    <s v="Large"/>
    <x v="378"/>
    <x v="0"/>
    <x v="588"/>
    <n v="5"/>
    <n v="70"/>
    <x v="299"/>
    <x v="0"/>
    <x v="2"/>
    <x v="2"/>
    <s v="Delayed"/>
    <n v="992"/>
    <n v="14"/>
    <x v="12"/>
    <x v="3"/>
    <x v="10"/>
    <x v="0"/>
    <x v="7"/>
    <m/>
  </r>
  <r>
    <d v="2024-04-30T00:00:00"/>
    <x v="3"/>
    <s v="Containers"/>
    <s v="1L"/>
    <x v="106"/>
    <x v="3"/>
    <x v="647"/>
    <n v="3"/>
    <n v="99"/>
    <x v="608"/>
    <x v="1"/>
    <x v="3"/>
    <x v="1"/>
    <s v="Returned"/>
    <n v="561"/>
    <n v="33"/>
    <x v="9"/>
    <x v="7"/>
    <x v="9"/>
    <x v="2"/>
    <x v="6"/>
    <m/>
  </r>
  <r>
    <d v="2024-05-01T00:00:00"/>
    <x v="1"/>
    <s v="Glass &amp; Bottles"/>
    <s v="750ml"/>
    <x v="245"/>
    <x v="1"/>
    <x v="402"/>
    <n v="12"/>
    <n v="3072"/>
    <x v="379"/>
    <x v="2"/>
    <x v="1"/>
    <x v="2"/>
    <s v="Delayed"/>
    <n v="806"/>
    <n v="256"/>
    <x v="0"/>
    <x v="0"/>
    <x v="0"/>
    <x v="4"/>
    <x v="6"/>
    <m/>
  </r>
  <r>
    <d v="2024-05-02T00:00:00"/>
    <x v="4"/>
    <s v="Plates &amp; Bowls"/>
    <s v="500ml"/>
    <x v="60"/>
    <x v="4"/>
    <x v="648"/>
    <n v="1.5"/>
    <n v="96"/>
    <x v="609"/>
    <x v="2"/>
    <x v="2"/>
    <x v="0"/>
    <s v="Delivered"/>
    <n v="587"/>
    <n v="64"/>
    <x v="17"/>
    <x v="11"/>
    <x v="16"/>
    <x v="1"/>
    <x v="7"/>
    <m/>
  </r>
  <r>
    <d v="2024-05-03T00:00:00"/>
    <x v="0"/>
    <s v="Takeaway Boxes"/>
    <s v="Large"/>
    <x v="10"/>
    <x v="0"/>
    <x v="649"/>
    <n v="5"/>
    <n v="2465"/>
    <x v="610"/>
    <x v="1"/>
    <x v="3"/>
    <x v="0"/>
    <s v="Delivered"/>
    <n v="549"/>
    <n v="493"/>
    <x v="18"/>
    <x v="12"/>
    <x v="17"/>
    <x v="2"/>
    <x v="3"/>
    <m/>
  </r>
  <r>
    <d v="2024-05-04T00:00:00"/>
    <x v="1"/>
    <s v="Glass &amp; Bottles"/>
    <s v="750ml"/>
    <x v="44"/>
    <x v="1"/>
    <x v="650"/>
    <n v="12"/>
    <n v="5988"/>
    <x v="611"/>
    <x v="0"/>
    <x v="0"/>
    <x v="1"/>
    <s v="Returned"/>
    <n v="554"/>
    <n v="499"/>
    <x v="11"/>
    <x v="9"/>
    <x v="11"/>
    <x v="1"/>
    <x v="2"/>
    <m/>
  </r>
  <r>
    <d v="2024-05-05T00:00:00"/>
    <x v="0"/>
    <s v="Takeaway Boxes"/>
    <s v="Large"/>
    <x v="377"/>
    <x v="0"/>
    <x v="651"/>
    <n v="5"/>
    <n v="720"/>
    <x v="435"/>
    <x v="0"/>
    <x v="2"/>
    <x v="1"/>
    <s v="Returned"/>
    <n v="895"/>
    <n v="144"/>
    <x v="15"/>
    <x v="10"/>
    <x v="14"/>
    <x v="3"/>
    <x v="6"/>
    <m/>
  </r>
  <r>
    <d v="2024-05-06T00:00:00"/>
    <x v="1"/>
    <s v="Glass &amp; Bottles"/>
    <s v="750ml"/>
    <x v="398"/>
    <x v="1"/>
    <x v="652"/>
    <n v="12"/>
    <n v="2004"/>
    <x v="612"/>
    <x v="0"/>
    <x v="3"/>
    <x v="1"/>
    <s v="Delivered"/>
    <n v="720"/>
    <n v="167"/>
    <x v="17"/>
    <x v="11"/>
    <x v="16"/>
    <x v="4"/>
    <x v="0"/>
    <m/>
  </r>
  <r>
    <d v="2024-05-07T00:00:00"/>
    <x v="3"/>
    <s v="Containers"/>
    <s v="1L"/>
    <x v="301"/>
    <x v="3"/>
    <x v="637"/>
    <n v="3"/>
    <n v="378"/>
    <x v="613"/>
    <x v="1"/>
    <x v="3"/>
    <x v="0"/>
    <s v="Delivered"/>
    <n v="859"/>
    <n v="126"/>
    <x v="7"/>
    <x v="5"/>
    <x v="7"/>
    <x v="0"/>
    <x v="1"/>
    <m/>
  </r>
  <r>
    <d v="2024-05-08T00:00:00"/>
    <x v="0"/>
    <s v="Takeaway Boxes"/>
    <s v="Large"/>
    <x v="399"/>
    <x v="0"/>
    <x v="653"/>
    <n v="5"/>
    <n v="460"/>
    <x v="614"/>
    <x v="0"/>
    <x v="3"/>
    <x v="0"/>
    <s v="Delivered"/>
    <n v="661"/>
    <n v="92"/>
    <x v="18"/>
    <x v="12"/>
    <x v="17"/>
    <x v="3"/>
    <x v="8"/>
    <m/>
  </r>
  <r>
    <d v="2024-05-09T00:00:00"/>
    <x v="0"/>
    <s v="Takeaway Boxes"/>
    <s v="Large"/>
    <x v="138"/>
    <x v="0"/>
    <x v="654"/>
    <n v="5"/>
    <n v="2455"/>
    <x v="615"/>
    <x v="2"/>
    <x v="0"/>
    <x v="0"/>
    <s v="Delayed"/>
    <n v="818"/>
    <n v="491"/>
    <x v="15"/>
    <x v="10"/>
    <x v="14"/>
    <x v="0"/>
    <x v="3"/>
    <m/>
  </r>
  <r>
    <d v="2024-05-10T00:00:00"/>
    <x v="4"/>
    <s v="Plates &amp; Bowls"/>
    <s v="500ml"/>
    <x v="311"/>
    <x v="4"/>
    <x v="439"/>
    <n v="1.5"/>
    <n v="481.5"/>
    <x v="414"/>
    <x v="0"/>
    <x v="2"/>
    <x v="1"/>
    <s v="Delivered"/>
    <n v="656"/>
    <n v="321"/>
    <x v="19"/>
    <x v="13"/>
    <x v="18"/>
    <x v="1"/>
    <x v="2"/>
    <m/>
  </r>
  <r>
    <d v="2024-05-11T00:00:00"/>
    <x v="2"/>
    <s v="Housekeeping Items"/>
    <s v="Standard"/>
    <x v="249"/>
    <x v="2"/>
    <x v="655"/>
    <n v="100"/>
    <n v="16900"/>
    <x v="616"/>
    <x v="1"/>
    <x v="1"/>
    <x v="1"/>
    <s v="Delivered"/>
    <n v="504"/>
    <n v="169"/>
    <x v="18"/>
    <x v="12"/>
    <x v="17"/>
    <x v="2"/>
    <x v="7"/>
    <m/>
  </r>
  <r>
    <d v="2024-05-12T00:00:00"/>
    <x v="1"/>
    <s v="Glass &amp; Bottles"/>
    <s v="750ml"/>
    <x v="42"/>
    <x v="1"/>
    <x v="656"/>
    <n v="12"/>
    <n v="1092"/>
    <x v="617"/>
    <x v="1"/>
    <x v="0"/>
    <x v="2"/>
    <s v="Returned"/>
    <n v="958"/>
    <n v="91"/>
    <x v="5"/>
    <x v="0"/>
    <x v="5"/>
    <x v="3"/>
    <x v="4"/>
    <m/>
  </r>
  <r>
    <d v="2024-05-13T00:00:00"/>
    <x v="1"/>
    <s v="Glass &amp; Bottles"/>
    <s v="750ml"/>
    <x v="324"/>
    <x v="1"/>
    <x v="476"/>
    <n v="12"/>
    <n v="4020"/>
    <x v="449"/>
    <x v="0"/>
    <x v="3"/>
    <x v="1"/>
    <s v="Delivered"/>
    <n v="639"/>
    <n v="335"/>
    <x v="6"/>
    <x v="4"/>
    <x v="6"/>
    <x v="1"/>
    <x v="1"/>
    <m/>
  </r>
  <r>
    <d v="2024-05-14T00:00:00"/>
    <x v="2"/>
    <s v="Housekeeping Items"/>
    <s v="Standard"/>
    <x v="400"/>
    <x v="2"/>
    <x v="657"/>
    <n v="100"/>
    <n v="32700"/>
    <x v="618"/>
    <x v="2"/>
    <x v="1"/>
    <x v="2"/>
    <s v="Delayed"/>
    <n v="556"/>
    <n v="327"/>
    <x v="11"/>
    <x v="9"/>
    <x v="11"/>
    <x v="1"/>
    <x v="1"/>
    <m/>
  </r>
  <r>
    <d v="2024-05-15T00:00:00"/>
    <x v="5"/>
    <s v="Cutlery"/>
    <s v="3pcs"/>
    <x v="401"/>
    <x v="5"/>
    <x v="658"/>
    <n v="4"/>
    <n v="1144"/>
    <x v="619"/>
    <x v="2"/>
    <x v="0"/>
    <x v="0"/>
    <s v="Returned"/>
    <n v="587"/>
    <n v="286"/>
    <x v="3"/>
    <x v="2"/>
    <x v="3"/>
    <x v="3"/>
    <x v="10"/>
    <m/>
  </r>
  <r>
    <d v="2024-05-16T00:00:00"/>
    <x v="2"/>
    <s v="Housekeeping Items"/>
    <s v="Standard"/>
    <x v="197"/>
    <x v="2"/>
    <x v="659"/>
    <n v="100"/>
    <n v="16200"/>
    <x v="620"/>
    <x v="1"/>
    <x v="1"/>
    <x v="2"/>
    <s v="Returned"/>
    <n v="723"/>
    <n v="162"/>
    <x v="3"/>
    <x v="2"/>
    <x v="3"/>
    <x v="3"/>
    <x v="5"/>
    <m/>
  </r>
  <r>
    <d v="2024-05-17T00:00:00"/>
    <x v="2"/>
    <s v="Housekeeping Items"/>
    <s v="Standard"/>
    <x v="64"/>
    <x v="2"/>
    <x v="660"/>
    <n v="100"/>
    <n v="14100"/>
    <x v="621"/>
    <x v="2"/>
    <x v="2"/>
    <x v="0"/>
    <s v="Returned"/>
    <n v="688"/>
    <n v="141"/>
    <x v="5"/>
    <x v="0"/>
    <x v="5"/>
    <x v="0"/>
    <x v="10"/>
    <m/>
  </r>
  <r>
    <d v="2024-05-18T00:00:00"/>
    <x v="5"/>
    <s v="Cutlery"/>
    <s v="3pcs"/>
    <x v="183"/>
    <x v="5"/>
    <x v="583"/>
    <n v="4"/>
    <n v="788"/>
    <x v="552"/>
    <x v="1"/>
    <x v="3"/>
    <x v="2"/>
    <s v="Delivered"/>
    <n v="899"/>
    <n v="197"/>
    <x v="12"/>
    <x v="3"/>
    <x v="10"/>
    <x v="2"/>
    <x v="0"/>
    <m/>
  </r>
  <r>
    <d v="2024-05-19T00:00:00"/>
    <x v="2"/>
    <s v="Housekeeping Items"/>
    <s v="Standard"/>
    <x v="251"/>
    <x v="2"/>
    <x v="661"/>
    <n v="100"/>
    <n v="42600"/>
    <x v="622"/>
    <x v="2"/>
    <x v="2"/>
    <x v="0"/>
    <s v="Delivered"/>
    <n v="726"/>
    <n v="426"/>
    <x v="14"/>
    <x v="6"/>
    <x v="13"/>
    <x v="1"/>
    <x v="11"/>
    <m/>
  </r>
  <r>
    <d v="2024-05-20T00:00:00"/>
    <x v="1"/>
    <s v="Glass &amp; Bottles"/>
    <s v="750ml"/>
    <x v="402"/>
    <x v="1"/>
    <x v="662"/>
    <n v="12"/>
    <n v="5928"/>
    <x v="623"/>
    <x v="2"/>
    <x v="0"/>
    <x v="2"/>
    <s v="Returned"/>
    <n v="740"/>
    <n v="494"/>
    <x v="5"/>
    <x v="0"/>
    <x v="5"/>
    <x v="3"/>
    <x v="5"/>
    <m/>
  </r>
  <r>
    <d v="2024-05-21T00:00:00"/>
    <x v="1"/>
    <s v="Glass &amp; Bottles"/>
    <s v="750ml"/>
    <x v="352"/>
    <x v="1"/>
    <x v="663"/>
    <n v="12"/>
    <n v="3516"/>
    <x v="624"/>
    <x v="2"/>
    <x v="2"/>
    <x v="2"/>
    <s v="Delivered"/>
    <n v="671"/>
    <n v="293"/>
    <x v="5"/>
    <x v="0"/>
    <x v="5"/>
    <x v="0"/>
    <x v="6"/>
    <m/>
  </r>
  <r>
    <d v="2024-05-22T00:00:00"/>
    <x v="3"/>
    <s v="Containers"/>
    <s v="1L"/>
    <x v="177"/>
    <x v="3"/>
    <x v="368"/>
    <n v="3"/>
    <n v="1017"/>
    <x v="350"/>
    <x v="2"/>
    <x v="3"/>
    <x v="0"/>
    <s v="Delivered"/>
    <n v="591"/>
    <n v="339"/>
    <x v="8"/>
    <x v="6"/>
    <x v="8"/>
    <x v="2"/>
    <x v="11"/>
    <m/>
  </r>
  <r>
    <d v="2024-05-23T00:00:00"/>
    <x v="1"/>
    <s v="Glass &amp; Bottles"/>
    <s v="750ml"/>
    <x v="46"/>
    <x v="1"/>
    <x v="298"/>
    <n v="12"/>
    <n v="5124"/>
    <x v="288"/>
    <x v="0"/>
    <x v="0"/>
    <x v="2"/>
    <s v="Returned"/>
    <n v="738"/>
    <n v="427"/>
    <x v="9"/>
    <x v="7"/>
    <x v="9"/>
    <x v="0"/>
    <x v="7"/>
    <m/>
  </r>
  <r>
    <d v="2024-05-24T00:00:00"/>
    <x v="1"/>
    <s v="Glass &amp; Bottles"/>
    <s v="750ml"/>
    <x v="121"/>
    <x v="1"/>
    <x v="664"/>
    <n v="12"/>
    <n v="264"/>
    <x v="625"/>
    <x v="1"/>
    <x v="0"/>
    <x v="2"/>
    <s v="Delayed"/>
    <n v="828"/>
    <n v="22"/>
    <x v="0"/>
    <x v="0"/>
    <x v="0"/>
    <x v="3"/>
    <x v="2"/>
    <m/>
  </r>
  <r>
    <d v="2024-05-25T00:00:00"/>
    <x v="0"/>
    <s v="Takeaway Boxes"/>
    <s v="Large"/>
    <x v="111"/>
    <x v="0"/>
    <x v="116"/>
    <n v="5"/>
    <n v="1255"/>
    <x v="113"/>
    <x v="0"/>
    <x v="2"/>
    <x v="0"/>
    <s v="Delivered"/>
    <n v="610"/>
    <n v="251"/>
    <x v="0"/>
    <x v="0"/>
    <x v="0"/>
    <x v="3"/>
    <x v="8"/>
    <m/>
  </r>
  <r>
    <d v="2024-05-26T00:00:00"/>
    <x v="5"/>
    <s v="Cutlery"/>
    <s v="3pcs"/>
    <x v="245"/>
    <x v="5"/>
    <x v="665"/>
    <n v="4"/>
    <n v="1024"/>
    <x v="60"/>
    <x v="1"/>
    <x v="2"/>
    <x v="0"/>
    <s v="Returned"/>
    <n v="969"/>
    <n v="256"/>
    <x v="16"/>
    <x v="4"/>
    <x v="15"/>
    <x v="4"/>
    <x v="2"/>
    <m/>
  </r>
  <r>
    <d v="2024-05-27T00:00:00"/>
    <x v="2"/>
    <s v="Housekeeping Items"/>
    <s v="Standard"/>
    <x v="337"/>
    <x v="2"/>
    <x v="666"/>
    <n v="100"/>
    <n v="6100"/>
    <x v="626"/>
    <x v="1"/>
    <x v="3"/>
    <x v="2"/>
    <s v="Delivered"/>
    <n v="948"/>
    <n v="61"/>
    <x v="17"/>
    <x v="11"/>
    <x v="16"/>
    <x v="2"/>
    <x v="2"/>
    <m/>
  </r>
  <r>
    <d v="2024-05-28T00:00:00"/>
    <x v="3"/>
    <s v="Containers"/>
    <s v="1L"/>
    <x v="7"/>
    <x v="3"/>
    <x v="465"/>
    <n v="3"/>
    <n v="525"/>
    <x v="439"/>
    <x v="0"/>
    <x v="1"/>
    <x v="2"/>
    <s v="Delivered"/>
    <n v="597"/>
    <n v="175"/>
    <x v="8"/>
    <x v="6"/>
    <x v="8"/>
    <x v="0"/>
    <x v="2"/>
    <m/>
  </r>
  <r>
    <d v="2024-05-29T00:00:00"/>
    <x v="5"/>
    <s v="Cutlery"/>
    <s v="3pcs"/>
    <x v="366"/>
    <x v="5"/>
    <x v="667"/>
    <n v="4"/>
    <n v="1884"/>
    <x v="531"/>
    <x v="0"/>
    <x v="2"/>
    <x v="1"/>
    <s v="Returned"/>
    <n v="516"/>
    <n v="471"/>
    <x v="13"/>
    <x v="2"/>
    <x v="12"/>
    <x v="2"/>
    <x v="4"/>
    <m/>
  </r>
  <r>
    <d v="2024-05-30T00:00:00"/>
    <x v="5"/>
    <s v="Cutlery"/>
    <s v="3pcs"/>
    <x v="258"/>
    <x v="5"/>
    <x v="593"/>
    <n v="4"/>
    <n v="1152"/>
    <x v="627"/>
    <x v="0"/>
    <x v="3"/>
    <x v="1"/>
    <s v="Delivered"/>
    <n v="772"/>
    <n v="288"/>
    <x v="12"/>
    <x v="3"/>
    <x v="10"/>
    <x v="0"/>
    <x v="9"/>
    <m/>
  </r>
  <r>
    <d v="2024-05-31T00:00:00"/>
    <x v="2"/>
    <s v="Housekeeping Items"/>
    <s v="Standard"/>
    <x v="403"/>
    <x v="2"/>
    <x v="668"/>
    <n v="100"/>
    <n v="35000"/>
    <x v="628"/>
    <x v="2"/>
    <x v="1"/>
    <x v="1"/>
    <s v="Delayed"/>
    <n v="697"/>
    <n v="350"/>
    <x v="1"/>
    <x v="1"/>
    <x v="1"/>
    <x v="1"/>
    <x v="1"/>
    <m/>
  </r>
  <r>
    <d v="2024-06-01T00:00:00"/>
    <x v="2"/>
    <s v="Housekeeping Items"/>
    <s v="Standard"/>
    <x v="39"/>
    <x v="2"/>
    <x v="669"/>
    <n v="100"/>
    <n v="44300"/>
    <x v="629"/>
    <x v="0"/>
    <x v="1"/>
    <x v="1"/>
    <s v="Returned"/>
    <n v="525"/>
    <n v="443"/>
    <x v="7"/>
    <x v="5"/>
    <x v="7"/>
    <x v="0"/>
    <x v="5"/>
    <m/>
  </r>
  <r>
    <d v="2024-06-02T00:00:00"/>
    <x v="2"/>
    <s v="Housekeeping Items"/>
    <s v="Standard"/>
    <x v="360"/>
    <x v="2"/>
    <x v="670"/>
    <n v="100"/>
    <n v="44700"/>
    <x v="630"/>
    <x v="1"/>
    <x v="2"/>
    <x v="1"/>
    <s v="Delayed"/>
    <n v="968"/>
    <n v="447"/>
    <x v="3"/>
    <x v="2"/>
    <x v="3"/>
    <x v="1"/>
    <x v="4"/>
    <m/>
  </r>
  <r>
    <d v="2024-06-03T00:00:00"/>
    <x v="1"/>
    <s v="Glass &amp; Bottles"/>
    <s v="750ml"/>
    <x v="404"/>
    <x v="1"/>
    <x v="671"/>
    <n v="12"/>
    <n v="4104"/>
    <x v="631"/>
    <x v="0"/>
    <x v="2"/>
    <x v="0"/>
    <s v="Delivered"/>
    <n v="580"/>
    <n v="342"/>
    <x v="7"/>
    <x v="5"/>
    <x v="7"/>
    <x v="3"/>
    <x v="4"/>
    <m/>
  </r>
  <r>
    <d v="2024-06-04T00:00:00"/>
    <x v="5"/>
    <s v="Cutlery"/>
    <s v="3pcs"/>
    <x v="164"/>
    <x v="5"/>
    <x v="672"/>
    <n v="4"/>
    <n v="1504"/>
    <x v="348"/>
    <x v="0"/>
    <x v="1"/>
    <x v="1"/>
    <s v="Delivered"/>
    <n v="701"/>
    <n v="376"/>
    <x v="8"/>
    <x v="6"/>
    <x v="8"/>
    <x v="2"/>
    <x v="6"/>
    <m/>
  </r>
  <r>
    <d v="2024-06-05T00:00:00"/>
    <x v="1"/>
    <s v="Glass &amp; Bottles"/>
    <s v="750ml"/>
    <x v="7"/>
    <x v="1"/>
    <x v="630"/>
    <n v="12"/>
    <n v="2100"/>
    <x v="543"/>
    <x v="2"/>
    <x v="3"/>
    <x v="1"/>
    <s v="Delivered"/>
    <n v="863"/>
    <n v="175"/>
    <x v="4"/>
    <x v="3"/>
    <x v="4"/>
    <x v="1"/>
    <x v="5"/>
    <m/>
  </r>
  <r>
    <d v="2024-06-06T00:00:00"/>
    <x v="4"/>
    <s v="Plates &amp; Bowls"/>
    <s v="500ml"/>
    <x v="405"/>
    <x v="4"/>
    <x v="673"/>
    <n v="1.5"/>
    <n v="720"/>
    <x v="138"/>
    <x v="1"/>
    <x v="2"/>
    <x v="1"/>
    <s v="Returned"/>
    <n v="867"/>
    <n v="480"/>
    <x v="10"/>
    <x v="8"/>
    <x v="10"/>
    <x v="2"/>
    <x v="2"/>
    <m/>
  </r>
  <r>
    <d v="2024-06-07T00:00:00"/>
    <x v="3"/>
    <s v="Containers"/>
    <s v="1L"/>
    <x v="402"/>
    <x v="3"/>
    <x v="674"/>
    <n v="3"/>
    <n v="1482"/>
    <x v="632"/>
    <x v="0"/>
    <x v="1"/>
    <x v="2"/>
    <s v="Delivered"/>
    <n v="624"/>
    <n v="494"/>
    <x v="1"/>
    <x v="1"/>
    <x v="1"/>
    <x v="4"/>
    <x v="8"/>
    <m/>
  </r>
  <r>
    <d v="2024-06-08T00:00:00"/>
    <x v="1"/>
    <s v="Glass &amp; Bottles"/>
    <s v="750ml"/>
    <x v="114"/>
    <x v="1"/>
    <x v="675"/>
    <n v="12"/>
    <n v="3372"/>
    <x v="633"/>
    <x v="1"/>
    <x v="1"/>
    <x v="1"/>
    <s v="Returned"/>
    <n v="750"/>
    <n v="281"/>
    <x v="3"/>
    <x v="2"/>
    <x v="3"/>
    <x v="4"/>
    <x v="8"/>
    <m/>
  </r>
  <r>
    <d v="2024-06-09T00:00:00"/>
    <x v="4"/>
    <s v="Plates &amp; Bowls"/>
    <s v="500ml"/>
    <x v="310"/>
    <x v="4"/>
    <x v="676"/>
    <n v="1.5"/>
    <n v="241.5"/>
    <x v="634"/>
    <x v="1"/>
    <x v="1"/>
    <x v="1"/>
    <s v="Delivered"/>
    <n v="665"/>
    <n v="161"/>
    <x v="15"/>
    <x v="10"/>
    <x v="14"/>
    <x v="3"/>
    <x v="0"/>
    <m/>
  </r>
  <r>
    <d v="2024-06-10T00:00:00"/>
    <x v="1"/>
    <s v="Glass &amp; Bottles"/>
    <s v="750ml"/>
    <x v="354"/>
    <x v="1"/>
    <x v="677"/>
    <n v="12"/>
    <n v="3384"/>
    <x v="635"/>
    <x v="1"/>
    <x v="1"/>
    <x v="2"/>
    <s v="Delivered"/>
    <n v="618"/>
    <n v="282"/>
    <x v="1"/>
    <x v="1"/>
    <x v="1"/>
    <x v="2"/>
    <x v="8"/>
    <m/>
  </r>
  <r>
    <d v="2024-06-11T00:00:00"/>
    <x v="1"/>
    <s v="Glass &amp; Bottles"/>
    <s v="750ml"/>
    <x v="9"/>
    <x v="1"/>
    <x v="10"/>
    <n v="12"/>
    <n v="4500"/>
    <x v="10"/>
    <x v="0"/>
    <x v="1"/>
    <x v="1"/>
    <s v="Delivered"/>
    <n v="817"/>
    <n v="375"/>
    <x v="15"/>
    <x v="10"/>
    <x v="14"/>
    <x v="3"/>
    <x v="2"/>
    <m/>
  </r>
  <r>
    <d v="2024-06-12T00:00:00"/>
    <x v="0"/>
    <s v="Takeaway Boxes"/>
    <s v="Large"/>
    <x v="117"/>
    <x v="0"/>
    <x v="426"/>
    <n v="5"/>
    <n v="2200"/>
    <x v="401"/>
    <x v="2"/>
    <x v="0"/>
    <x v="1"/>
    <s v="Delayed"/>
    <n v="589"/>
    <n v="440"/>
    <x v="11"/>
    <x v="9"/>
    <x v="11"/>
    <x v="1"/>
    <x v="0"/>
    <m/>
  </r>
  <r>
    <d v="2024-06-13T00:00:00"/>
    <x v="4"/>
    <s v="Plates &amp; Bowls"/>
    <s v="500ml"/>
    <x v="101"/>
    <x v="4"/>
    <x v="150"/>
    <n v="1.5"/>
    <n v="228"/>
    <x v="146"/>
    <x v="2"/>
    <x v="3"/>
    <x v="0"/>
    <s v="Delivered"/>
    <n v="605"/>
    <n v="152"/>
    <x v="1"/>
    <x v="1"/>
    <x v="1"/>
    <x v="0"/>
    <x v="6"/>
    <m/>
  </r>
  <r>
    <d v="2024-06-14T00:00:00"/>
    <x v="2"/>
    <s v="Housekeeping Items"/>
    <s v="Standard"/>
    <x v="169"/>
    <x v="2"/>
    <x v="192"/>
    <n v="100"/>
    <n v="12700"/>
    <x v="188"/>
    <x v="1"/>
    <x v="2"/>
    <x v="2"/>
    <s v="Delivered"/>
    <n v="764"/>
    <n v="127"/>
    <x v="10"/>
    <x v="8"/>
    <x v="10"/>
    <x v="4"/>
    <x v="10"/>
    <m/>
  </r>
  <r>
    <d v="2024-06-15T00:00:00"/>
    <x v="3"/>
    <s v="Containers"/>
    <s v="1L"/>
    <x v="57"/>
    <x v="3"/>
    <x v="678"/>
    <n v="3"/>
    <n v="1302"/>
    <x v="636"/>
    <x v="1"/>
    <x v="3"/>
    <x v="2"/>
    <s v="Delivered"/>
    <n v="519"/>
    <n v="434"/>
    <x v="14"/>
    <x v="6"/>
    <x v="13"/>
    <x v="3"/>
    <x v="0"/>
    <m/>
  </r>
  <r>
    <d v="2024-06-16T00:00:00"/>
    <x v="4"/>
    <s v="Plates &amp; Bowls"/>
    <s v="500ml"/>
    <x v="402"/>
    <x v="4"/>
    <x v="679"/>
    <n v="1.5"/>
    <n v="741"/>
    <x v="637"/>
    <x v="0"/>
    <x v="1"/>
    <x v="0"/>
    <s v="Delivered"/>
    <n v="957"/>
    <n v="494"/>
    <x v="0"/>
    <x v="0"/>
    <x v="0"/>
    <x v="4"/>
    <x v="6"/>
    <m/>
  </r>
  <r>
    <d v="2024-06-17T00:00:00"/>
    <x v="0"/>
    <s v="Takeaway Boxes"/>
    <s v="Large"/>
    <x v="406"/>
    <x v="0"/>
    <x v="680"/>
    <n v="5"/>
    <n v="325"/>
    <x v="638"/>
    <x v="2"/>
    <x v="3"/>
    <x v="0"/>
    <s v="Delayed"/>
    <n v="687"/>
    <n v="65"/>
    <x v="2"/>
    <x v="2"/>
    <x v="2"/>
    <x v="3"/>
    <x v="0"/>
    <m/>
  </r>
  <r>
    <d v="2024-06-18T00:00:00"/>
    <x v="2"/>
    <s v="Housekeeping Items"/>
    <s v="Standard"/>
    <x v="175"/>
    <x v="2"/>
    <x v="681"/>
    <n v="100"/>
    <n v="46200"/>
    <x v="639"/>
    <x v="0"/>
    <x v="0"/>
    <x v="2"/>
    <s v="Delayed"/>
    <n v="771"/>
    <n v="462"/>
    <x v="0"/>
    <x v="0"/>
    <x v="0"/>
    <x v="2"/>
    <x v="9"/>
    <m/>
  </r>
  <r>
    <d v="2024-06-19T00:00:00"/>
    <x v="5"/>
    <s v="Cutlery"/>
    <s v="3pcs"/>
    <x v="407"/>
    <x v="5"/>
    <x v="682"/>
    <n v="4"/>
    <n v="236"/>
    <x v="572"/>
    <x v="0"/>
    <x v="3"/>
    <x v="0"/>
    <s v="Delivered"/>
    <n v="782"/>
    <n v="59"/>
    <x v="7"/>
    <x v="5"/>
    <x v="7"/>
    <x v="1"/>
    <x v="2"/>
    <m/>
  </r>
  <r>
    <d v="2024-06-20T00:00:00"/>
    <x v="4"/>
    <s v="Plates &amp; Bowls"/>
    <s v="500ml"/>
    <x v="344"/>
    <x v="4"/>
    <x v="683"/>
    <n v="1.5"/>
    <n v="184.5"/>
    <x v="640"/>
    <x v="0"/>
    <x v="3"/>
    <x v="2"/>
    <s v="Delayed"/>
    <n v="641"/>
    <n v="123"/>
    <x v="3"/>
    <x v="2"/>
    <x v="3"/>
    <x v="4"/>
    <x v="6"/>
    <m/>
  </r>
  <r>
    <d v="2024-06-21T00:00:00"/>
    <x v="4"/>
    <s v="Plates &amp; Bowls"/>
    <s v="500ml"/>
    <x v="245"/>
    <x v="4"/>
    <x v="684"/>
    <n v="1.5"/>
    <n v="384"/>
    <x v="641"/>
    <x v="0"/>
    <x v="0"/>
    <x v="1"/>
    <s v="Returned"/>
    <n v="609"/>
    <n v="256"/>
    <x v="2"/>
    <x v="2"/>
    <x v="2"/>
    <x v="4"/>
    <x v="0"/>
    <m/>
  </r>
  <r>
    <d v="2024-06-22T00:00:00"/>
    <x v="1"/>
    <s v="Glass &amp; Bottles"/>
    <s v="750ml"/>
    <x v="11"/>
    <x v="1"/>
    <x v="685"/>
    <n v="12"/>
    <n v="4668"/>
    <x v="642"/>
    <x v="0"/>
    <x v="0"/>
    <x v="2"/>
    <s v="Delivered"/>
    <n v="503"/>
    <n v="389"/>
    <x v="11"/>
    <x v="9"/>
    <x v="11"/>
    <x v="2"/>
    <x v="3"/>
    <m/>
  </r>
  <r>
    <d v="2024-06-23T00:00:00"/>
    <x v="0"/>
    <s v="Takeaway Boxes"/>
    <s v="Large"/>
    <x v="290"/>
    <x v="0"/>
    <x v="396"/>
    <n v="5"/>
    <n v="1940"/>
    <x v="374"/>
    <x v="1"/>
    <x v="0"/>
    <x v="2"/>
    <s v="Delivered"/>
    <n v="643"/>
    <n v="388"/>
    <x v="5"/>
    <x v="0"/>
    <x v="5"/>
    <x v="2"/>
    <x v="4"/>
    <m/>
  </r>
  <r>
    <d v="2024-06-24T00:00:00"/>
    <x v="4"/>
    <s v="Plates &amp; Bowls"/>
    <s v="500ml"/>
    <x v="368"/>
    <x v="4"/>
    <x v="686"/>
    <n v="1.5"/>
    <n v="400.5"/>
    <x v="643"/>
    <x v="2"/>
    <x v="2"/>
    <x v="0"/>
    <s v="Returned"/>
    <n v="544"/>
    <n v="267"/>
    <x v="9"/>
    <x v="7"/>
    <x v="9"/>
    <x v="1"/>
    <x v="5"/>
    <m/>
  </r>
  <r>
    <d v="2024-06-25T00:00:00"/>
    <x v="2"/>
    <s v="Housekeeping Items"/>
    <s v="Standard"/>
    <x v="164"/>
    <x v="2"/>
    <x v="687"/>
    <n v="100"/>
    <n v="37600"/>
    <x v="644"/>
    <x v="0"/>
    <x v="2"/>
    <x v="1"/>
    <s v="Delivered"/>
    <n v="606"/>
    <n v="376"/>
    <x v="3"/>
    <x v="2"/>
    <x v="3"/>
    <x v="3"/>
    <x v="6"/>
    <m/>
  </r>
  <r>
    <d v="2024-06-26T00:00:00"/>
    <x v="1"/>
    <s v="Glass &amp; Bottles"/>
    <s v="750ml"/>
    <x v="369"/>
    <x v="1"/>
    <x v="688"/>
    <n v="12"/>
    <n v="6000"/>
    <x v="254"/>
    <x v="1"/>
    <x v="0"/>
    <x v="1"/>
    <s v="Delayed"/>
    <n v="540"/>
    <n v="500"/>
    <x v="4"/>
    <x v="3"/>
    <x v="4"/>
    <x v="2"/>
    <x v="9"/>
    <m/>
  </r>
  <r>
    <d v="2024-06-27T00:00:00"/>
    <x v="4"/>
    <s v="Plates &amp; Bowls"/>
    <s v="500ml"/>
    <x v="408"/>
    <x v="4"/>
    <x v="689"/>
    <n v="1.5"/>
    <n v="460.5"/>
    <x v="645"/>
    <x v="1"/>
    <x v="2"/>
    <x v="0"/>
    <s v="Delivered"/>
    <n v="838"/>
    <n v="307"/>
    <x v="1"/>
    <x v="1"/>
    <x v="1"/>
    <x v="3"/>
    <x v="6"/>
    <m/>
  </r>
  <r>
    <d v="2024-06-28T00:00:00"/>
    <x v="1"/>
    <s v="Glass &amp; Bottles"/>
    <s v="750ml"/>
    <x v="192"/>
    <x v="1"/>
    <x v="690"/>
    <n v="12"/>
    <n v="1260"/>
    <x v="646"/>
    <x v="1"/>
    <x v="0"/>
    <x v="0"/>
    <s v="Delivered"/>
    <n v="648"/>
    <n v="105"/>
    <x v="18"/>
    <x v="12"/>
    <x v="17"/>
    <x v="0"/>
    <x v="11"/>
    <m/>
  </r>
  <r>
    <d v="2024-06-29T00:00:00"/>
    <x v="1"/>
    <s v="Glass &amp; Bottles"/>
    <s v="750ml"/>
    <x v="303"/>
    <x v="1"/>
    <x v="691"/>
    <n v="12"/>
    <n v="1176"/>
    <x v="502"/>
    <x v="1"/>
    <x v="0"/>
    <x v="0"/>
    <s v="Delivered"/>
    <n v="893"/>
    <n v="98"/>
    <x v="9"/>
    <x v="7"/>
    <x v="9"/>
    <x v="1"/>
    <x v="1"/>
    <m/>
  </r>
  <r>
    <d v="2024-06-30T00:00:00"/>
    <x v="0"/>
    <s v="Takeaway Boxes"/>
    <s v="Large"/>
    <x v="244"/>
    <x v="0"/>
    <x v="399"/>
    <n v="5"/>
    <n v="485"/>
    <x v="376"/>
    <x v="2"/>
    <x v="1"/>
    <x v="0"/>
    <s v="Delayed"/>
    <n v="937"/>
    <n v="97"/>
    <x v="9"/>
    <x v="7"/>
    <x v="9"/>
    <x v="2"/>
    <x v="9"/>
    <m/>
  </r>
  <r>
    <d v="2024-07-01T00:00:00"/>
    <x v="2"/>
    <s v="Housekeeping Items"/>
    <s v="Standard"/>
    <x v="63"/>
    <x v="2"/>
    <x v="579"/>
    <n v="100"/>
    <n v="42800"/>
    <x v="548"/>
    <x v="2"/>
    <x v="3"/>
    <x v="0"/>
    <s v="Delayed"/>
    <n v="930"/>
    <n v="428"/>
    <x v="17"/>
    <x v="11"/>
    <x v="16"/>
    <x v="3"/>
    <x v="4"/>
    <m/>
  </r>
  <r>
    <d v="2024-07-02T00:00:00"/>
    <x v="0"/>
    <s v="Takeaway Boxes"/>
    <s v="Large"/>
    <x v="356"/>
    <x v="0"/>
    <x v="692"/>
    <n v="5"/>
    <n v="170"/>
    <x v="647"/>
    <x v="1"/>
    <x v="3"/>
    <x v="2"/>
    <s v="Delivered"/>
    <n v="631"/>
    <n v="34"/>
    <x v="1"/>
    <x v="1"/>
    <x v="1"/>
    <x v="4"/>
    <x v="1"/>
    <m/>
  </r>
  <r>
    <d v="2024-07-03T00:00:00"/>
    <x v="2"/>
    <s v="Housekeeping Items"/>
    <s v="Standard"/>
    <x v="380"/>
    <x v="2"/>
    <x v="693"/>
    <n v="100"/>
    <n v="41600"/>
    <x v="648"/>
    <x v="0"/>
    <x v="3"/>
    <x v="0"/>
    <s v="Delivered"/>
    <n v="787"/>
    <n v="416"/>
    <x v="0"/>
    <x v="0"/>
    <x v="0"/>
    <x v="4"/>
    <x v="5"/>
    <m/>
  </r>
  <r>
    <d v="2024-07-04T00:00:00"/>
    <x v="2"/>
    <s v="Housekeeping Items"/>
    <s v="Standard"/>
    <x v="294"/>
    <x v="2"/>
    <x v="694"/>
    <n v="100"/>
    <n v="17200"/>
    <x v="649"/>
    <x v="0"/>
    <x v="2"/>
    <x v="0"/>
    <s v="Delivered"/>
    <n v="698"/>
    <n v="172"/>
    <x v="2"/>
    <x v="2"/>
    <x v="2"/>
    <x v="2"/>
    <x v="3"/>
    <m/>
  </r>
  <r>
    <d v="2024-07-05T00:00:00"/>
    <x v="3"/>
    <s v="Containers"/>
    <s v="1L"/>
    <x v="386"/>
    <x v="3"/>
    <x v="695"/>
    <n v="3"/>
    <n v="1062"/>
    <x v="650"/>
    <x v="1"/>
    <x v="0"/>
    <x v="1"/>
    <s v="Returned"/>
    <n v="936"/>
    <n v="354"/>
    <x v="19"/>
    <x v="13"/>
    <x v="18"/>
    <x v="2"/>
    <x v="0"/>
    <m/>
  </r>
  <r>
    <d v="2024-07-06T00:00:00"/>
    <x v="4"/>
    <s v="Plates &amp; Bowls"/>
    <s v="500ml"/>
    <x v="223"/>
    <x v="4"/>
    <x v="552"/>
    <n v="1.5"/>
    <n v="604.5"/>
    <x v="524"/>
    <x v="0"/>
    <x v="0"/>
    <x v="1"/>
    <s v="Returned"/>
    <n v="594"/>
    <n v="403"/>
    <x v="6"/>
    <x v="4"/>
    <x v="6"/>
    <x v="3"/>
    <x v="7"/>
    <m/>
  </r>
  <r>
    <d v="2024-07-07T00:00:00"/>
    <x v="1"/>
    <s v="Glass &amp; Bottles"/>
    <s v="750ml"/>
    <x v="251"/>
    <x v="1"/>
    <x v="696"/>
    <n v="12"/>
    <n v="5112"/>
    <x v="651"/>
    <x v="1"/>
    <x v="3"/>
    <x v="2"/>
    <s v="Delayed"/>
    <n v="625"/>
    <n v="426"/>
    <x v="16"/>
    <x v="4"/>
    <x v="15"/>
    <x v="0"/>
    <x v="9"/>
    <m/>
  </r>
  <r>
    <d v="2024-07-08T00:00:00"/>
    <x v="3"/>
    <s v="Containers"/>
    <s v="1L"/>
    <x v="5"/>
    <x v="3"/>
    <x v="5"/>
    <n v="3"/>
    <n v="606"/>
    <x v="5"/>
    <x v="0"/>
    <x v="1"/>
    <x v="1"/>
    <s v="Delayed"/>
    <n v="571"/>
    <n v="202"/>
    <x v="19"/>
    <x v="13"/>
    <x v="18"/>
    <x v="2"/>
    <x v="10"/>
    <m/>
  </r>
  <r>
    <d v="2024-07-09T00:00:00"/>
    <x v="0"/>
    <s v="Takeaway Boxes"/>
    <s v="Large"/>
    <x v="27"/>
    <x v="0"/>
    <x v="697"/>
    <n v="5"/>
    <n v="2040"/>
    <x v="53"/>
    <x v="1"/>
    <x v="0"/>
    <x v="2"/>
    <s v="Delivered"/>
    <n v="828"/>
    <n v="408"/>
    <x v="4"/>
    <x v="3"/>
    <x v="4"/>
    <x v="4"/>
    <x v="3"/>
    <m/>
  </r>
  <r>
    <d v="2024-07-10T00:00:00"/>
    <x v="4"/>
    <s v="Plates &amp; Bowls"/>
    <s v="500ml"/>
    <x v="209"/>
    <x v="4"/>
    <x v="244"/>
    <n v="1.5"/>
    <n v="610.5"/>
    <x v="237"/>
    <x v="1"/>
    <x v="3"/>
    <x v="2"/>
    <s v="Returned"/>
    <n v="944"/>
    <n v="407"/>
    <x v="6"/>
    <x v="4"/>
    <x v="6"/>
    <x v="0"/>
    <x v="6"/>
    <m/>
  </r>
  <r>
    <d v="2024-07-11T00:00:00"/>
    <x v="2"/>
    <s v="Housekeeping Items"/>
    <s v="Standard"/>
    <x v="205"/>
    <x v="2"/>
    <x v="698"/>
    <n v="100"/>
    <n v="25400"/>
    <x v="652"/>
    <x v="1"/>
    <x v="0"/>
    <x v="2"/>
    <s v="Returned"/>
    <n v="670"/>
    <n v="254"/>
    <x v="15"/>
    <x v="10"/>
    <x v="14"/>
    <x v="2"/>
    <x v="0"/>
    <m/>
  </r>
  <r>
    <d v="2024-07-12T00:00:00"/>
    <x v="0"/>
    <s v="Takeaway Boxes"/>
    <s v="Large"/>
    <x v="17"/>
    <x v="0"/>
    <x v="699"/>
    <n v="5"/>
    <n v="1995"/>
    <x v="653"/>
    <x v="1"/>
    <x v="2"/>
    <x v="0"/>
    <s v="Returned"/>
    <n v="707"/>
    <n v="399"/>
    <x v="10"/>
    <x v="8"/>
    <x v="10"/>
    <x v="0"/>
    <x v="0"/>
    <m/>
  </r>
  <r>
    <d v="2024-07-13T00:00:00"/>
    <x v="2"/>
    <s v="Housekeeping Items"/>
    <s v="Standard"/>
    <x v="232"/>
    <x v="2"/>
    <x v="700"/>
    <n v="100"/>
    <n v="43900"/>
    <x v="654"/>
    <x v="1"/>
    <x v="1"/>
    <x v="2"/>
    <s v="Returned"/>
    <n v="726"/>
    <n v="439"/>
    <x v="12"/>
    <x v="3"/>
    <x v="10"/>
    <x v="1"/>
    <x v="4"/>
    <m/>
  </r>
  <r>
    <d v="2024-07-14T00:00:00"/>
    <x v="0"/>
    <s v="Takeaway Boxes"/>
    <s v="Large"/>
    <x v="102"/>
    <x v="0"/>
    <x v="701"/>
    <n v="5"/>
    <n v="1885"/>
    <x v="655"/>
    <x v="2"/>
    <x v="0"/>
    <x v="2"/>
    <s v="Delivered"/>
    <n v="958"/>
    <n v="377"/>
    <x v="16"/>
    <x v="4"/>
    <x v="15"/>
    <x v="0"/>
    <x v="0"/>
    <m/>
  </r>
  <r>
    <d v="2024-07-15T00:00:00"/>
    <x v="5"/>
    <s v="Cutlery"/>
    <s v="3pcs"/>
    <x v="308"/>
    <x v="5"/>
    <x v="702"/>
    <n v="4"/>
    <n v="1256"/>
    <x v="408"/>
    <x v="1"/>
    <x v="1"/>
    <x v="1"/>
    <s v="Returned"/>
    <n v="765"/>
    <n v="314"/>
    <x v="2"/>
    <x v="2"/>
    <x v="2"/>
    <x v="1"/>
    <x v="1"/>
    <m/>
  </r>
  <r>
    <d v="2024-07-16T00:00:00"/>
    <x v="3"/>
    <s v="Containers"/>
    <s v="1L"/>
    <x v="289"/>
    <x v="3"/>
    <x v="703"/>
    <n v="3"/>
    <n v="399"/>
    <x v="656"/>
    <x v="2"/>
    <x v="0"/>
    <x v="1"/>
    <s v="Delivered"/>
    <n v="843"/>
    <n v="133"/>
    <x v="4"/>
    <x v="3"/>
    <x v="4"/>
    <x v="2"/>
    <x v="2"/>
    <m/>
  </r>
  <r>
    <d v="2024-07-17T00:00:00"/>
    <x v="5"/>
    <s v="Cutlery"/>
    <s v="3pcs"/>
    <x v="41"/>
    <x v="5"/>
    <x v="42"/>
    <n v="4"/>
    <n v="284"/>
    <x v="41"/>
    <x v="1"/>
    <x v="1"/>
    <x v="1"/>
    <s v="Delivered"/>
    <n v="608"/>
    <n v="71"/>
    <x v="0"/>
    <x v="0"/>
    <x v="0"/>
    <x v="2"/>
    <x v="7"/>
    <m/>
  </r>
  <r>
    <d v="2024-07-18T00:00:00"/>
    <x v="1"/>
    <s v="Glass &amp; Bottles"/>
    <s v="750ml"/>
    <x v="388"/>
    <x v="1"/>
    <x v="704"/>
    <n v="12"/>
    <n v="5040"/>
    <x v="657"/>
    <x v="2"/>
    <x v="3"/>
    <x v="1"/>
    <s v="Returned"/>
    <n v="683"/>
    <n v="420"/>
    <x v="19"/>
    <x v="13"/>
    <x v="18"/>
    <x v="0"/>
    <x v="11"/>
    <m/>
  </r>
  <r>
    <d v="2024-07-19T00:00:00"/>
    <x v="1"/>
    <s v="Glass &amp; Bottles"/>
    <s v="750ml"/>
    <x v="333"/>
    <x v="1"/>
    <x v="705"/>
    <n v="12"/>
    <n v="2712"/>
    <x v="658"/>
    <x v="2"/>
    <x v="3"/>
    <x v="0"/>
    <s v="Delivered"/>
    <n v="500"/>
    <n v="226"/>
    <x v="3"/>
    <x v="2"/>
    <x v="3"/>
    <x v="4"/>
    <x v="11"/>
    <m/>
  </r>
  <r>
    <d v="2024-07-20T00:00:00"/>
    <x v="5"/>
    <s v="Cutlery"/>
    <s v="3pcs"/>
    <x v="44"/>
    <x v="5"/>
    <x v="706"/>
    <n v="4"/>
    <n v="1996"/>
    <x v="429"/>
    <x v="1"/>
    <x v="3"/>
    <x v="1"/>
    <s v="Returned"/>
    <n v="920"/>
    <n v="499"/>
    <x v="11"/>
    <x v="9"/>
    <x v="11"/>
    <x v="2"/>
    <x v="4"/>
    <m/>
  </r>
  <r>
    <d v="2024-07-21T00:00:00"/>
    <x v="0"/>
    <s v="Takeaway Boxes"/>
    <s v="Large"/>
    <x v="15"/>
    <x v="0"/>
    <x v="638"/>
    <n v="5"/>
    <n v="1845"/>
    <x v="601"/>
    <x v="1"/>
    <x v="2"/>
    <x v="0"/>
    <s v="Delivered"/>
    <n v="654"/>
    <n v="369"/>
    <x v="9"/>
    <x v="7"/>
    <x v="9"/>
    <x v="1"/>
    <x v="4"/>
    <m/>
  </r>
  <r>
    <d v="2024-07-22T00:00:00"/>
    <x v="3"/>
    <s v="Containers"/>
    <s v="1L"/>
    <x v="116"/>
    <x v="3"/>
    <x v="707"/>
    <n v="3"/>
    <n v="414"/>
    <x v="614"/>
    <x v="0"/>
    <x v="1"/>
    <x v="1"/>
    <s v="Returned"/>
    <n v="844"/>
    <n v="138"/>
    <x v="12"/>
    <x v="3"/>
    <x v="10"/>
    <x v="2"/>
    <x v="4"/>
    <m/>
  </r>
  <r>
    <d v="2024-07-23T00:00:00"/>
    <x v="2"/>
    <s v="Housekeeping Items"/>
    <s v="Standard"/>
    <x v="309"/>
    <x v="2"/>
    <x v="708"/>
    <n v="100"/>
    <n v="33000"/>
    <x v="659"/>
    <x v="0"/>
    <x v="1"/>
    <x v="1"/>
    <s v="Delayed"/>
    <n v="915"/>
    <n v="330"/>
    <x v="12"/>
    <x v="3"/>
    <x v="10"/>
    <x v="0"/>
    <x v="3"/>
    <m/>
  </r>
  <r>
    <d v="2024-07-24T00:00:00"/>
    <x v="1"/>
    <s v="Glass &amp; Bottles"/>
    <s v="750ml"/>
    <x v="409"/>
    <x v="1"/>
    <x v="709"/>
    <n v="12"/>
    <n v="4824"/>
    <x v="660"/>
    <x v="1"/>
    <x v="1"/>
    <x v="2"/>
    <s v="Delayed"/>
    <n v="960"/>
    <n v="402"/>
    <x v="3"/>
    <x v="2"/>
    <x v="3"/>
    <x v="0"/>
    <x v="1"/>
    <m/>
  </r>
  <r>
    <d v="2024-07-25T00:00:00"/>
    <x v="4"/>
    <s v="Plates &amp; Bowls"/>
    <s v="500ml"/>
    <x v="279"/>
    <x v="4"/>
    <x v="710"/>
    <n v="1.5"/>
    <n v="316.5"/>
    <x v="661"/>
    <x v="1"/>
    <x v="2"/>
    <x v="0"/>
    <s v="Delivered"/>
    <n v="756"/>
    <n v="211"/>
    <x v="14"/>
    <x v="6"/>
    <x v="13"/>
    <x v="1"/>
    <x v="0"/>
    <m/>
  </r>
  <r>
    <d v="2024-07-26T00:00:00"/>
    <x v="4"/>
    <s v="Plates &amp; Bowls"/>
    <s v="500ml"/>
    <x v="382"/>
    <x v="4"/>
    <x v="711"/>
    <n v="1.5"/>
    <n v="235.5"/>
    <x v="662"/>
    <x v="0"/>
    <x v="1"/>
    <x v="2"/>
    <s v="Delayed"/>
    <n v="630"/>
    <n v="157"/>
    <x v="9"/>
    <x v="7"/>
    <x v="9"/>
    <x v="3"/>
    <x v="2"/>
    <m/>
  </r>
  <r>
    <d v="2024-07-27T00:00:00"/>
    <x v="3"/>
    <s v="Containers"/>
    <s v="1L"/>
    <x v="334"/>
    <x v="3"/>
    <x v="576"/>
    <n v="3"/>
    <n v="198"/>
    <x v="470"/>
    <x v="1"/>
    <x v="1"/>
    <x v="2"/>
    <s v="Delivered"/>
    <n v="976"/>
    <n v="66"/>
    <x v="8"/>
    <x v="6"/>
    <x v="8"/>
    <x v="3"/>
    <x v="0"/>
    <m/>
  </r>
  <r>
    <d v="2024-07-28T00:00:00"/>
    <x v="0"/>
    <s v="Takeaway Boxes"/>
    <s v="Large"/>
    <x v="10"/>
    <x v="0"/>
    <x v="649"/>
    <n v="5"/>
    <n v="2465"/>
    <x v="610"/>
    <x v="1"/>
    <x v="3"/>
    <x v="0"/>
    <s v="Delayed"/>
    <n v="978"/>
    <n v="493"/>
    <x v="1"/>
    <x v="1"/>
    <x v="1"/>
    <x v="4"/>
    <x v="2"/>
    <m/>
  </r>
  <r>
    <d v="2024-07-29T00:00:00"/>
    <x v="1"/>
    <s v="Glass &amp; Bottles"/>
    <s v="750ml"/>
    <x v="360"/>
    <x v="1"/>
    <x v="712"/>
    <n v="12"/>
    <n v="5364"/>
    <x v="663"/>
    <x v="2"/>
    <x v="3"/>
    <x v="1"/>
    <s v="Returned"/>
    <n v="551"/>
    <n v="447"/>
    <x v="7"/>
    <x v="5"/>
    <x v="7"/>
    <x v="3"/>
    <x v="8"/>
    <m/>
  </r>
  <r>
    <d v="2024-07-30T00:00:00"/>
    <x v="4"/>
    <s v="Plates &amp; Bowls"/>
    <s v="500ml"/>
    <x v="178"/>
    <x v="4"/>
    <x v="255"/>
    <n v="1.5"/>
    <n v="519"/>
    <x v="248"/>
    <x v="2"/>
    <x v="0"/>
    <x v="1"/>
    <s v="Delivered"/>
    <n v="622"/>
    <n v="346"/>
    <x v="18"/>
    <x v="12"/>
    <x v="17"/>
    <x v="2"/>
    <x v="1"/>
    <m/>
  </r>
  <r>
    <d v="2024-07-31T00:00:00"/>
    <x v="3"/>
    <s v="Containers"/>
    <s v="1L"/>
    <x v="363"/>
    <x v="3"/>
    <x v="713"/>
    <n v="3"/>
    <n v="597"/>
    <x v="664"/>
    <x v="1"/>
    <x v="2"/>
    <x v="2"/>
    <s v="Returned"/>
    <n v="806"/>
    <n v="199"/>
    <x v="16"/>
    <x v="4"/>
    <x v="15"/>
    <x v="2"/>
    <x v="7"/>
    <m/>
  </r>
  <r>
    <d v="2024-08-01T00:00:00"/>
    <x v="5"/>
    <s v="Cutlery"/>
    <s v="3pcs"/>
    <x v="226"/>
    <x v="5"/>
    <x v="714"/>
    <n v="4"/>
    <n v="444"/>
    <x v="234"/>
    <x v="2"/>
    <x v="3"/>
    <x v="2"/>
    <s v="Delivered"/>
    <n v="928"/>
    <n v="111"/>
    <x v="7"/>
    <x v="5"/>
    <x v="7"/>
    <x v="4"/>
    <x v="8"/>
    <m/>
  </r>
  <r>
    <d v="2024-08-02T00:00:00"/>
    <x v="5"/>
    <s v="Cutlery"/>
    <s v="3pcs"/>
    <x v="410"/>
    <x v="5"/>
    <x v="715"/>
    <n v="4"/>
    <n v="716"/>
    <x v="665"/>
    <x v="2"/>
    <x v="3"/>
    <x v="1"/>
    <s v="Delivered"/>
    <n v="872"/>
    <n v="179"/>
    <x v="6"/>
    <x v="4"/>
    <x v="6"/>
    <x v="3"/>
    <x v="7"/>
    <m/>
  </r>
  <r>
    <d v="2024-08-03T00:00:00"/>
    <x v="1"/>
    <s v="Glass &amp; Bottles"/>
    <s v="750ml"/>
    <x v="135"/>
    <x v="1"/>
    <x v="143"/>
    <n v="12"/>
    <n v="1764"/>
    <x v="139"/>
    <x v="2"/>
    <x v="3"/>
    <x v="0"/>
    <s v="Returned"/>
    <n v="864"/>
    <n v="147"/>
    <x v="15"/>
    <x v="10"/>
    <x v="14"/>
    <x v="2"/>
    <x v="1"/>
    <m/>
  </r>
  <r>
    <d v="2024-08-04T00:00:00"/>
    <x v="5"/>
    <s v="Cutlery"/>
    <s v="3pcs"/>
    <x v="253"/>
    <x v="5"/>
    <x v="716"/>
    <n v="4"/>
    <n v="84"/>
    <x v="299"/>
    <x v="2"/>
    <x v="0"/>
    <x v="2"/>
    <s v="Delivered"/>
    <n v="985"/>
    <n v="21"/>
    <x v="4"/>
    <x v="3"/>
    <x v="4"/>
    <x v="0"/>
    <x v="8"/>
    <m/>
  </r>
  <r>
    <d v="2024-08-05T00:00:00"/>
    <x v="0"/>
    <s v="Takeaway Boxes"/>
    <s v="Large"/>
    <x v="167"/>
    <x v="0"/>
    <x v="717"/>
    <n v="5"/>
    <n v="1265"/>
    <x v="666"/>
    <x v="2"/>
    <x v="3"/>
    <x v="0"/>
    <s v="Delivered"/>
    <n v="803"/>
    <n v="253"/>
    <x v="10"/>
    <x v="8"/>
    <x v="10"/>
    <x v="4"/>
    <x v="1"/>
    <m/>
  </r>
  <r>
    <d v="2024-08-06T00:00:00"/>
    <x v="0"/>
    <s v="Takeaway Boxes"/>
    <s v="Large"/>
    <x v="395"/>
    <x v="0"/>
    <x v="718"/>
    <n v="5"/>
    <n v="385"/>
    <x v="667"/>
    <x v="2"/>
    <x v="0"/>
    <x v="1"/>
    <s v="Delayed"/>
    <n v="636"/>
    <n v="77"/>
    <x v="18"/>
    <x v="12"/>
    <x v="17"/>
    <x v="3"/>
    <x v="9"/>
    <m/>
  </r>
  <r>
    <d v="2024-08-07T00:00:00"/>
    <x v="3"/>
    <s v="Containers"/>
    <s v="1L"/>
    <x v="179"/>
    <x v="3"/>
    <x v="719"/>
    <n v="3"/>
    <n v="117"/>
    <x v="668"/>
    <x v="2"/>
    <x v="3"/>
    <x v="0"/>
    <s v="Returned"/>
    <n v="703"/>
    <n v="39"/>
    <x v="16"/>
    <x v="4"/>
    <x v="15"/>
    <x v="0"/>
    <x v="10"/>
    <m/>
  </r>
  <r>
    <d v="2024-08-08T00:00:00"/>
    <x v="4"/>
    <s v="Plates &amp; Bowls"/>
    <s v="500ml"/>
    <x v="411"/>
    <x v="4"/>
    <x v="720"/>
    <n v="1.5"/>
    <n v="364.5"/>
    <x v="669"/>
    <x v="2"/>
    <x v="1"/>
    <x v="0"/>
    <s v="Delayed"/>
    <n v="886"/>
    <n v="243"/>
    <x v="14"/>
    <x v="6"/>
    <x v="13"/>
    <x v="1"/>
    <x v="3"/>
    <m/>
  </r>
  <r>
    <d v="2024-08-09T00:00:00"/>
    <x v="0"/>
    <s v="Takeaway Boxes"/>
    <s v="Large"/>
    <x v="162"/>
    <x v="0"/>
    <x v="183"/>
    <n v="5"/>
    <n v="1805"/>
    <x v="178"/>
    <x v="0"/>
    <x v="0"/>
    <x v="0"/>
    <s v="Delivered"/>
    <n v="834"/>
    <n v="361"/>
    <x v="18"/>
    <x v="12"/>
    <x v="17"/>
    <x v="3"/>
    <x v="8"/>
    <m/>
  </r>
  <r>
    <d v="2024-08-10T00:00:00"/>
    <x v="2"/>
    <s v="Housekeeping Items"/>
    <s v="Standard"/>
    <x v="412"/>
    <x v="2"/>
    <x v="721"/>
    <n v="100"/>
    <n v="11600"/>
    <x v="670"/>
    <x v="0"/>
    <x v="3"/>
    <x v="2"/>
    <s v="Delayed"/>
    <n v="843"/>
    <n v="116"/>
    <x v="16"/>
    <x v="4"/>
    <x v="15"/>
    <x v="0"/>
    <x v="6"/>
    <m/>
  </r>
  <r>
    <d v="2024-08-11T00:00:00"/>
    <x v="2"/>
    <s v="Housekeeping Items"/>
    <s v="Standard"/>
    <x v="413"/>
    <x v="2"/>
    <x v="722"/>
    <n v="100"/>
    <n v="7000"/>
    <x v="671"/>
    <x v="1"/>
    <x v="0"/>
    <x v="1"/>
    <s v="Delivered"/>
    <n v="897"/>
    <n v="70"/>
    <x v="19"/>
    <x v="13"/>
    <x v="18"/>
    <x v="1"/>
    <x v="2"/>
    <m/>
  </r>
  <r>
    <d v="2024-08-12T00:00:00"/>
    <x v="4"/>
    <s v="Plates &amp; Bowls"/>
    <s v="500ml"/>
    <x v="190"/>
    <x v="4"/>
    <x v="194"/>
    <n v="1.5"/>
    <n v="180"/>
    <x v="190"/>
    <x v="2"/>
    <x v="3"/>
    <x v="0"/>
    <s v="Returned"/>
    <n v="945"/>
    <n v="120"/>
    <x v="19"/>
    <x v="13"/>
    <x v="18"/>
    <x v="1"/>
    <x v="8"/>
    <m/>
  </r>
  <r>
    <d v="2024-08-13T00:00:00"/>
    <x v="5"/>
    <s v="Cutlery"/>
    <s v="3pcs"/>
    <x v="213"/>
    <x v="5"/>
    <x v="251"/>
    <n v="4"/>
    <n v="572"/>
    <x v="244"/>
    <x v="1"/>
    <x v="0"/>
    <x v="2"/>
    <s v="Returned"/>
    <n v="587"/>
    <n v="143"/>
    <x v="13"/>
    <x v="2"/>
    <x v="12"/>
    <x v="4"/>
    <x v="1"/>
    <m/>
  </r>
  <r>
    <d v="2024-08-14T00:00:00"/>
    <x v="0"/>
    <s v="Takeaway Boxes"/>
    <s v="Large"/>
    <x v="414"/>
    <x v="0"/>
    <x v="723"/>
    <n v="5"/>
    <n v="190"/>
    <x v="306"/>
    <x v="2"/>
    <x v="3"/>
    <x v="2"/>
    <s v="Delivered"/>
    <n v="537"/>
    <n v="38"/>
    <x v="2"/>
    <x v="2"/>
    <x v="2"/>
    <x v="3"/>
    <x v="5"/>
    <m/>
  </r>
  <r>
    <d v="2024-08-15T00:00:00"/>
    <x v="3"/>
    <s v="Containers"/>
    <s v="1L"/>
    <x v="31"/>
    <x v="3"/>
    <x v="724"/>
    <n v="3"/>
    <n v="1020"/>
    <x v="169"/>
    <x v="2"/>
    <x v="1"/>
    <x v="2"/>
    <s v="Returned"/>
    <n v="632"/>
    <n v="340"/>
    <x v="0"/>
    <x v="0"/>
    <x v="0"/>
    <x v="1"/>
    <x v="3"/>
    <m/>
  </r>
  <r>
    <d v="2024-08-16T00:00:00"/>
    <x v="0"/>
    <s v="Takeaway Boxes"/>
    <s v="Large"/>
    <x v="381"/>
    <x v="0"/>
    <x v="725"/>
    <n v="5"/>
    <n v="1030"/>
    <x v="672"/>
    <x v="2"/>
    <x v="0"/>
    <x v="0"/>
    <s v="Delayed"/>
    <n v="516"/>
    <n v="206"/>
    <x v="2"/>
    <x v="2"/>
    <x v="2"/>
    <x v="4"/>
    <x v="5"/>
    <m/>
  </r>
  <r>
    <d v="2024-08-17T00:00:00"/>
    <x v="0"/>
    <s v="Takeaway Boxes"/>
    <s v="Large"/>
    <x v="284"/>
    <x v="0"/>
    <x v="376"/>
    <n v="5"/>
    <n v="695"/>
    <x v="358"/>
    <x v="0"/>
    <x v="2"/>
    <x v="2"/>
    <s v="Delivered"/>
    <n v="966"/>
    <n v="139"/>
    <x v="16"/>
    <x v="4"/>
    <x v="15"/>
    <x v="0"/>
    <x v="8"/>
    <m/>
  </r>
  <r>
    <d v="2024-08-18T00:00:00"/>
    <x v="3"/>
    <s v="Containers"/>
    <s v="1L"/>
    <x v="236"/>
    <x v="3"/>
    <x v="150"/>
    <n v="3"/>
    <n v="228"/>
    <x v="146"/>
    <x v="2"/>
    <x v="3"/>
    <x v="0"/>
    <s v="Delivered"/>
    <n v="955"/>
    <n v="76"/>
    <x v="0"/>
    <x v="0"/>
    <x v="0"/>
    <x v="0"/>
    <x v="5"/>
    <m/>
  </r>
  <r>
    <d v="2024-08-19T00:00:00"/>
    <x v="0"/>
    <s v="Takeaway Boxes"/>
    <s v="Large"/>
    <x v="101"/>
    <x v="0"/>
    <x v="726"/>
    <n v="5"/>
    <n v="760"/>
    <x v="673"/>
    <x v="2"/>
    <x v="2"/>
    <x v="0"/>
    <s v="Delivered"/>
    <n v="722"/>
    <n v="152"/>
    <x v="12"/>
    <x v="3"/>
    <x v="10"/>
    <x v="0"/>
    <x v="2"/>
    <m/>
  </r>
  <r>
    <d v="2024-08-20T00:00:00"/>
    <x v="2"/>
    <s v="Housekeeping Items"/>
    <s v="Standard"/>
    <x v="4"/>
    <x v="2"/>
    <x v="4"/>
    <n v="100"/>
    <n v="35800"/>
    <x v="4"/>
    <x v="2"/>
    <x v="1"/>
    <x v="0"/>
    <s v="Returned"/>
    <n v="772"/>
    <n v="358"/>
    <x v="4"/>
    <x v="3"/>
    <x v="4"/>
    <x v="0"/>
    <x v="2"/>
    <m/>
  </r>
  <r>
    <d v="2024-08-21T00:00:00"/>
    <x v="1"/>
    <s v="Glass &amp; Bottles"/>
    <s v="750ml"/>
    <x v="4"/>
    <x v="1"/>
    <x v="536"/>
    <n v="12"/>
    <n v="4296"/>
    <x v="508"/>
    <x v="0"/>
    <x v="3"/>
    <x v="0"/>
    <s v="Returned"/>
    <n v="793"/>
    <n v="358"/>
    <x v="14"/>
    <x v="6"/>
    <x v="13"/>
    <x v="1"/>
    <x v="2"/>
    <m/>
  </r>
  <r>
    <d v="2024-08-22T00:00:00"/>
    <x v="1"/>
    <s v="Glass &amp; Bottles"/>
    <s v="750ml"/>
    <x v="355"/>
    <x v="1"/>
    <x v="470"/>
    <n v="12"/>
    <n v="504"/>
    <x v="287"/>
    <x v="0"/>
    <x v="3"/>
    <x v="2"/>
    <s v="Returned"/>
    <n v="977"/>
    <n v="42"/>
    <x v="5"/>
    <x v="0"/>
    <x v="5"/>
    <x v="1"/>
    <x v="5"/>
    <m/>
  </r>
  <r>
    <d v="2024-08-23T00:00:00"/>
    <x v="4"/>
    <s v="Plates &amp; Bowls"/>
    <s v="500ml"/>
    <x v="330"/>
    <x v="4"/>
    <x v="727"/>
    <n v="1.5"/>
    <n v="487.5"/>
    <x v="674"/>
    <x v="0"/>
    <x v="1"/>
    <x v="0"/>
    <s v="Returned"/>
    <n v="842"/>
    <n v="325"/>
    <x v="19"/>
    <x v="13"/>
    <x v="18"/>
    <x v="2"/>
    <x v="9"/>
    <m/>
  </r>
  <r>
    <d v="2024-08-24T00:00:00"/>
    <x v="5"/>
    <s v="Cutlery"/>
    <s v="3pcs"/>
    <x v="56"/>
    <x v="5"/>
    <x v="728"/>
    <n v="4"/>
    <n v="1748"/>
    <x v="56"/>
    <x v="2"/>
    <x v="2"/>
    <x v="2"/>
    <s v="Returned"/>
    <n v="611"/>
    <n v="437"/>
    <x v="5"/>
    <x v="0"/>
    <x v="5"/>
    <x v="3"/>
    <x v="4"/>
    <m/>
  </r>
  <r>
    <d v="2024-08-25T00:00:00"/>
    <x v="2"/>
    <s v="Housekeeping Items"/>
    <s v="Standard"/>
    <x v="326"/>
    <x v="2"/>
    <x v="729"/>
    <n v="100"/>
    <n v="20300"/>
    <x v="675"/>
    <x v="2"/>
    <x v="1"/>
    <x v="2"/>
    <s v="Returned"/>
    <n v="540"/>
    <n v="203"/>
    <x v="16"/>
    <x v="4"/>
    <x v="15"/>
    <x v="0"/>
    <x v="1"/>
    <m/>
  </r>
  <r>
    <d v="2024-08-26T00:00:00"/>
    <x v="5"/>
    <s v="Cutlery"/>
    <s v="3pcs"/>
    <x v="340"/>
    <x v="5"/>
    <x v="730"/>
    <n v="4"/>
    <n v="1856"/>
    <x v="676"/>
    <x v="1"/>
    <x v="2"/>
    <x v="0"/>
    <s v="Returned"/>
    <n v="893"/>
    <n v="464"/>
    <x v="7"/>
    <x v="5"/>
    <x v="7"/>
    <x v="3"/>
    <x v="8"/>
    <m/>
  </r>
  <r>
    <d v="2024-08-27T00:00:00"/>
    <x v="5"/>
    <s v="Cutlery"/>
    <s v="3pcs"/>
    <x v="324"/>
    <x v="5"/>
    <x v="542"/>
    <n v="4"/>
    <n v="1340"/>
    <x v="514"/>
    <x v="1"/>
    <x v="2"/>
    <x v="0"/>
    <s v="Returned"/>
    <n v="998"/>
    <n v="335"/>
    <x v="11"/>
    <x v="9"/>
    <x v="11"/>
    <x v="0"/>
    <x v="8"/>
    <m/>
  </r>
  <r>
    <d v="2024-08-28T00:00:00"/>
    <x v="2"/>
    <s v="Housekeeping Items"/>
    <s v="Standard"/>
    <x v="17"/>
    <x v="2"/>
    <x v="18"/>
    <n v="100"/>
    <n v="39900"/>
    <x v="18"/>
    <x v="0"/>
    <x v="0"/>
    <x v="0"/>
    <s v="Delivered"/>
    <n v="896"/>
    <n v="399"/>
    <x v="9"/>
    <x v="7"/>
    <x v="9"/>
    <x v="1"/>
    <x v="1"/>
    <m/>
  </r>
  <r>
    <d v="2024-08-29T00:00:00"/>
    <x v="4"/>
    <s v="Plates &amp; Bowls"/>
    <s v="500ml"/>
    <x v="399"/>
    <x v="4"/>
    <x v="731"/>
    <n v="1.5"/>
    <n v="138"/>
    <x v="677"/>
    <x v="2"/>
    <x v="2"/>
    <x v="0"/>
    <s v="Delivered"/>
    <n v="671"/>
    <n v="92"/>
    <x v="2"/>
    <x v="2"/>
    <x v="2"/>
    <x v="0"/>
    <x v="3"/>
    <m/>
  </r>
  <r>
    <d v="2024-08-30T00:00:00"/>
    <x v="1"/>
    <s v="Glass &amp; Bottles"/>
    <s v="750ml"/>
    <x v="10"/>
    <x v="1"/>
    <x v="732"/>
    <n v="12"/>
    <n v="5916"/>
    <x v="678"/>
    <x v="0"/>
    <x v="3"/>
    <x v="2"/>
    <s v="Delayed"/>
    <n v="710"/>
    <n v="493"/>
    <x v="3"/>
    <x v="2"/>
    <x v="3"/>
    <x v="4"/>
    <x v="9"/>
    <m/>
  </r>
  <r>
    <d v="2024-08-31T00:00:00"/>
    <x v="4"/>
    <s v="Plates &amp; Bowls"/>
    <s v="500ml"/>
    <x v="18"/>
    <x v="4"/>
    <x v="733"/>
    <n v="1.5"/>
    <n v="540"/>
    <x v="679"/>
    <x v="0"/>
    <x v="2"/>
    <x v="1"/>
    <s v="Delayed"/>
    <n v="659"/>
    <n v="360"/>
    <x v="12"/>
    <x v="3"/>
    <x v="10"/>
    <x v="0"/>
    <x v="7"/>
    <m/>
  </r>
  <r>
    <d v="2024-09-01T00:00:00"/>
    <x v="1"/>
    <s v="Glass &amp; Bottles"/>
    <s v="750ml"/>
    <x v="399"/>
    <x v="1"/>
    <x v="734"/>
    <n v="12"/>
    <n v="1104"/>
    <x v="680"/>
    <x v="2"/>
    <x v="2"/>
    <x v="2"/>
    <s v="Returned"/>
    <n v="742"/>
    <n v="92"/>
    <x v="3"/>
    <x v="2"/>
    <x v="3"/>
    <x v="2"/>
    <x v="5"/>
    <m/>
  </r>
  <r>
    <d v="2024-09-02T00:00:00"/>
    <x v="1"/>
    <s v="Glass &amp; Bottles"/>
    <s v="750ml"/>
    <x v="318"/>
    <x v="1"/>
    <x v="735"/>
    <n v="12"/>
    <n v="2928"/>
    <x v="681"/>
    <x v="0"/>
    <x v="0"/>
    <x v="0"/>
    <s v="Delivered"/>
    <n v="878"/>
    <n v="244"/>
    <x v="8"/>
    <x v="6"/>
    <x v="8"/>
    <x v="4"/>
    <x v="7"/>
    <m/>
  </r>
  <r>
    <d v="2024-09-03T00:00:00"/>
    <x v="3"/>
    <s v="Containers"/>
    <s v="1L"/>
    <x v="91"/>
    <x v="3"/>
    <x v="330"/>
    <n v="3"/>
    <n v="666"/>
    <x v="202"/>
    <x v="0"/>
    <x v="1"/>
    <x v="0"/>
    <s v="Delivered"/>
    <n v="953"/>
    <n v="222"/>
    <x v="1"/>
    <x v="1"/>
    <x v="1"/>
    <x v="2"/>
    <x v="2"/>
    <m/>
  </r>
  <r>
    <d v="2024-09-04T00:00:00"/>
    <x v="4"/>
    <s v="Plates &amp; Bowls"/>
    <s v="500ml"/>
    <x v="147"/>
    <x v="4"/>
    <x v="736"/>
    <n v="1.5"/>
    <n v="733.5"/>
    <x v="682"/>
    <x v="0"/>
    <x v="2"/>
    <x v="0"/>
    <s v="Returned"/>
    <n v="736"/>
    <n v="489"/>
    <x v="3"/>
    <x v="2"/>
    <x v="3"/>
    <x v="4"/>
    <x v="6"/>
    <m/>
  </r>
  <r>
    <d v="2024-09-05T00:00:00"/>
    <x v="4"/>
    <s v="Plates &amp; Bowls"/>
    <s v="500ml"/>
    <x v="183"/>
    <x v="4"/>
    <x v="737"/>
    <n v="1.5"/>
    <n v="295.5"/>
    <x v="683"/>
    <x v="1"/>
    <x v="1"/>
    <x v="2"/>
    <s v="Returned"/>
    <n v="770"/>
    <n v="197"/>
    <x v="12"/>
    <x v="3"/>
    <x v="10"/>
    <x v="2"/>
    <x v="9"/>
    <m/>
  </r>
  <r>
    <d v="2024-09-06T00:00:00"/>
    <x v="4"/>
    <s v="Plates &amp; Bowls"/>
    <s v="500ml"/>
    <x v="415"/>
    <x v="4"/>
    <x v="738"/>
    <n v="1.5"/>
    <n v="469.5"/>
    <x v="684"/>
    <x v="0"/>
    <x v="1"/>
    <x v="0"/>
    <s v="Delayed"/>
    <n v="569"/>
    <n v="313"/>
    <x v="5"/>
    <x v="0"/>
    <x v="5"/>
    <x v="3"/>
    <x v="7"/>
    <m/>
  </r>
  <r>
    <d v="2024-09-07T00:00:00"/>
    <x v="5"/>
    <s v="Cutlery"/>
    <s v="3pcs"/>
    <x v="416"/>
    <x v="5"/>
    <x v="739"/>
    <n v="4"/>
    <n v="1808"/>
    <x v="685"/>
    <x v="2"/>
    <x v="3"/>
    <x v="0"/>
    <s v="Returned"/>
    <n v="916"/>
    <n v="452"/>
    <x v="11"/>
    <x v="9"/>
    <x v="11"/>
    <x v="2"/>
    <x v="1"/>
    <m/>
  </r>
  <r>
    <d v="2024-09-08T00:00:00"/>
    <x v="0"/>
    <s v="Takeaway Boxes"/>
    <s v="Large"/>
    <x v="32"/>
    <x v="0"/>
    <x v="740"/>
    <n v="5"/>
    <n v="1660"/>
    <x v="686"/>
    <x v="1"/>
    <x v="0"/>
    <x v="2"/>
    <s v="Delivered"/>
    <n v="527"/>
    <n v="332"/>
    <x v="6"/>
    <x v="4"/>
    <x v="6"/>
    <x v="4"/>
    <x v="10"/>
    <m/>
  </r>
  <r>
    <d v="2024-09-09T00:00:00"/>
    <x v="5"/>
    <s v="Cutlery"/>
    <s v="3pcs"/>
    <x v="225"/>
    <x v="5"/>
    <x v="290"/>
    <n v="4"/>
    <n v="1832"/>
    <x v="281"/>
    <x v="2"/>
    <x v="1"/>
    <x v="1"/>
    <s v="Delayed"/>
    <n v="675"/>
    <n v="458"/>
    <x v="8"/>
    <x v="6"/>
    <x v="8"/>
    <x v="4"/>
    <x v="0"/>
    <m/>
  </r>
  <r>
    <d v="2024-09-10T00:00:00"/>
    <x v="5"/>
    <s v="Cutlery"/>
    <s v="3pcs"/>
    <x v="84"/>
    <x v="5"/>
    <x v="271"/>
    <n v="4"/>
    <n v="240"/>
    <x v="190"/>
    <x v="1"/>
    <x v="2"/>
    <x v="2"/>
    <s v="Delivered"/>
    <n v="671"/>
    <n v="60"/>
    <x v="8"/>
    <x v="6"/>
    <x v="8"/>
    <x v="1"/>
    <x v="4"/>
    <m/>
  </r>
  <r>
    <d v="2024-09-11T00:00:00"/>
    <x v="5"/>
    <s v="Cutlery"/>
    <s v="3pcs"/>
    <x v="210"/>
    <x v="5"/>
    <x v="741"/>
    <n v="4"/>
    <n v="1480"/>
    <x v="388"/>
    <x v="2"/>
    <x v="2"/>
    <x v="1"/>
    <s v="Delivered"/>
    <n v="869"/>
    <n v="370"/>
    <x v="0"/>
    <x v="0"/>
    <x v="0"/>
    <x v="4"/>
    <x v="11"/>
    <m/>
  </r>
  <r>
    <d v="2024-09-12T00:00:00"/>
    <x v="3"/>
    <s v="Containers"/>
    <s v="1L"/>
    <x v="111"/>
    <x v="3"/>
    <x v="742"/>
    <n v="3"/>
    <n v="753"/>
    <x v="687"/>
    <x v="2"/>
    <x v="2"/>
    <x v="2"/>
    <s v="Delayed"/>
    <n v="747"/>
    <n v="251"/>
    <x v="7"/>
    <x v="5"/>
    <x v="7"/>
    <x v="3"/>
    <x v="8"/>
    <m/>
  </r>
  <r>
    <d v="2024-09-13T00:00:00"/>
    <x v="5"/>
    <s v="Cutlery"/>
    <s v="3pcs"/>
    <x v="417"/>
    <x v="5"/>
    <x v="743"/>
    <n v="4"/>
    <n v="1060"/>
    <x v="688"/>
    <x v="2"/>
    <x v="2"/>
    <x v="1"/>
    <s v="Returned"/>
    <n v="592"/>
    <n v="265"/>
    <x v="9"/>
    <x v="7"/>
    <x v="9"/>
    <x v="1"/>
    <x v="4"/>
    <m/>
  </r>
  <r>
    <d v="2024-09-14T00:00:00"/>
    <x v="5"/>
    <s v="Cutlery"/>
    <s v="3pcs"/>
    <x v="418"/>
    <x v="5"/>
    <x v="744"/>
    <n v="4"/>
    <n v="356"/>
    <x v="689"/>
    <x v="0"/>
    <x v="2"/>
    <x v="0"/>
    <s v="Returned"/>
    <n v="813"/>
    <n v="89"/>
    <x v="8"/>
    <x v="6"/>
    <x v="8"/>
    <x v="4"/>
    <x v="3"/>
    <m/>
  </r>
  <r>
    <d v="2024-09-15T00:00:00"/>
    <x v="5"/>
    <s v="Cutlery"/>
    <s v="3pcs"/>
    <x v="419"/>
    <x v="5"/>
    <x v="745"/>
    <n v="4"/>
    <n v="404"/>
    <x v="690"/>
    <x v="2"/>
    <x v="3"/>
    <x v="2"/>
    <s v="Returned"/>
    <n v="975"/>
    <n v="101"/>
    <x v="1"/>
    <x v="1"/>
    <x v="1"/>
    <x v="4"/>
    <x v="8"/>
    <m/>
  </r>
  <r>
    <d v="2024-09-16T00:00:00"/>
    <x v="2"/>
    <s v="Housekeeping Items"/>
    <s v="Standard"/>
    <x v="91"/>
    <x v="2"/>
    <x v="746"/>
    <n v="100"/>
    <n v="22200"/>
    <x v="691"/>
    <x v="2"/>
    <x v="1"/>
    <x v="2"/>
    <s v="Delivered"/>
    <n v="616"/>
    <n v="222"/>
    <x v="13"/>
    <x v="2"/>
    <x v="12"/>
    <x v="4"/>
    <x v="1"/>
    <m/>
  </r>
  <r>
    <d v="2024-09-17T00:00:00"/>
    <x v="1"/>
    <s v="Glass &amp; Bottles"/>
    <s v="750ml"/>
    <x v="389"/>
    <x v="1"/>
    <x v="747"/>
    <n v="12"/>
    <n v="5304"/>
    <x v="692"/>
    <x v="2"/>
    <x v="2"/>
    <x v="1"/>
    <s v="Delayed"/>
    <n v="761"/>
    <n v="442"/>
    <x v="9"/>
    <x v="7"/>
    <x v="9"/>
    <x v="1"/>
    <x v="10"/>
    <m/>
  </r>
  <r>
    <d v="2024-09-18T00:00:00"/>
    <x v="5"/>
    <s v="Cutlery"/>
    <s v="3pcs"/>
    <x v="420"/>
    <x v="5"/>
    <x v="748"/>
    <n v="4"/>
    <n v="1852"/>
    <x v="693"/>
    <x v="1"/>
    <x v="0"/>
    <x v="1"/>
    <s v="Delivered"/>
    <n v="802"/>
    <n v="463"/>
    <x v="11"/>
    <x v="9"/>
    <x v="11"/>
    <x v="4"/>
    <x v="10"/>
    <m/>
  </r>
  <r>
    <d v="2024-09-19T00:00:00"/>
    <x v="3"/>
    <s v="Containers"/>
    <s v="1L"/>
    <x v="212"/>
    <x v="3"/>
    <x v="749"/>
    <n v="3"/>
    <n v="1143"/>
    <x v="694"/>
    <x v="1"/>
    <x v="1"/>
    <x v="1"/>
    <s v="Delayed"/>
    <n v="549"/>
    <n v="381"/>
    <x v="2"/>
    <x v="2"/>
    <x v="2"/>
    <x v="4"/>
    <x v="2"/>
    <m/>
  </r>
  <r>
    <d v="2024-09-20T00:00:00"/>
    <x v="0"/>
    <s v="Takeaway Boxes"/>
    <s v="Large"/>
    <x v="7"/>
    <x v="0"/>
    <x v="7"/>
    <n v="5"/>
    <n v="875"/>
    <x v="7"/>
    <x v="0"/>
    <x v="2"/>
    <x v="1"/>
    <s v="Delayed"/>
    <n v="744"/>
    <n v="175"/>
    <x v="10"/>
    <x v="8"/>
    <x v="10"/>
    <x v="3"/>
    <x v="0"/>
    <m/>
  </r>
  <r>
    <d v="2024-09-21T00:00:00"/>
    <x v="2"/>
    <s v="Housekeeping Items"/>
    <s v="Standard"/>
    <x v="147"/>
    <x v="2"/>
    <x v="750"/>
    <n v="100"/>
    <n v="48900"/>
    <x v="695"/>
    <x v="1"/>
    <x v="2"/>
    <x v="1"/>
    <s v="Returned"/>
    <n v="869"/>
    <n v="489"/>
    <x v="3"/>
    <x v="2"/>
    <x v="3"/>
    <x v="0"/>
    <x v="8"/>
    <m/>
  </r>
  <r>
    <d v="2024-09-22T00:00:00"/>
    <x v="5"/>
    <s v="Cutlery"/>
    <s v="3pcs"/>
    <x v="9"/>
    <x v="5"/>
    <x v="400"/>
    <n v="4"/>
    <n v="1500"/>
    <x v="377"/>
    <x v="0"/>
    <x v="1"/>
    <x v="1"/>
    <s v="Returned"/>
    <n v="760"/>
    <n v="375"/>
    <x v="19"/>
    <x v="13"/>
    <x v="18"/>
    <x v="0"/>
    <x v="7"/>
    <m/>
  </r>
  <r>
    <d v="2024-09-23T00:00:00"/>
    <x v="0"/>
    <s v="Takeaway Boxes"/>
    <s v="Large"/>
    <x v="309"/>
    <x v="0"/>
    <x v="122"/>
    <n v="5"/>
    <n v="1650"/>
    <x v="696"/>
    <x v="1"/>
    <x v="1"/>
    <x v="0"/>
    <s v="Delayed"/>
    <n v="876"/>
    <n v="330"/>
    <x v="15"/>
    <x v="10"/>
    <x v="14"/>
    <x v="0"/>
    <x v="4"/>
    <m/>
  </r>
  <r>
    <d v="2024-09-24T00:00:00"/>
    <x v="0"/>
    <s v="Takeaway Boxes"/>
    <s v="Large"/>
    <x v="262"/>
    <x v="0"/>
    <x v="379"/>
    <n v="5"/>
    <n v="2425"/>
    <x v="697"/>
    <x v="2"/>
    <x v="3"/>
    <x v="0"/>
    <s v="Delayed"/>
    <n v="846"/>
    <n v="485"/>
    <x v="1"/>
    <x v="1"/>
    <x v="1"/>
    <x v="4"/>
    <x v="11"/>
    <m/>
  </r>
  <r>
    <d v="2024-09-25T00:00:00"/>
    <x v="3"/>
    <s v="Containers"/>
    <s v="1L"/>
    <x v="421"/>
    <x v="3"/>
    <x v="751"/>
    <n v="3"/>
    <n v="1443"/>
    <x v="698"/>
    <x v="0"/>
    <x v="0"/>
    <x v="0"/>
    <s v="Delayed"/>
    <n v="902"/>
    <n v="481"/>
    <x v="5"/>
    <x v="0"/>
    <x v="5"/>
    <x v="2"/>
    <x v="5"/>
    <m/>
  </r>
  <r>
    <d v="2024-09-26T00:00:00"/>
    <x v="0"/>
    <s v="Takeaway Boxes"/>
    <s v="Large"/>
    <x v="113"/>
    <x v="0"/>
    <x v="752"/>
    <n v="5"/>
    <n v="1645"/>
    <x v="699"/>
    <x v="1"/>
    <x v="3"/>
    <x v="2"/>
    <s v="Delayed"/>
    <n v="929"/>
    <n v="329"/>
    <x v="2"/>
    <x v="2"/>
    <x v="2"/>
    <x v="2"/>
    <x v="3"/>
    <m/>
  </r>
  <r>
    <d v="2024-09-27T00:00:00"/>
    <x v="4"/>
    <s v="Plates &amp; Bowls"/>
    <s v="500ml"/>
    <x v="422"/>
    <x v="4"/>
    <x v="753"/>
    <n v="1.5"/>
    <n v="39"/>
    <x v="700"/>
    <x v="1"/>
    <x v="1"/>
    <x v="2"/>
    <s v="Returned"/>
    <n v="753"/>
    <n v="26"/>
    <x v="6"/>
    <x v="4"/>
    <x v="6"/>
    <x v="0"/>
    <x v="7"/>
    <m/>
  </r>
  <r>
    <d v="2024-09-28T00:00:00"/>
    <x v="0"/>
    <s v="Takeaway Boxes"/>
    <s v="Large"/>
    <x v="363"/>
    <x v="0"/>
    <x v="553"/>
    <n v="5"/>
    <n v="995"/>
    <x v="525"/>
    <x v="0"/>
    <x v="1"/>
    <x v="2"/>
    <s v="Returned"/>
    <n v="905"/>
    <n v="199"/>
    <x v="8"/>
    <x v="6"/>
    <x v="8"/>
    <x v="0"/>
    <x v="3"/>
    <m/>
  </r>
  <r>
    <d v="2024-09-29T00:00:00"/>
    <x v="1"/>
    <s v="Glass &amp; Bottles"/>
    <s v="750ml"/>
    <x v="290"/>
    <x v="1"/>
    <x v="754"/>
    <n v="12"/>
    <n v="4656"/>
    <x v="701"/>
    <x v="0"/>
    <x v="1"/>
    <x v="1"/>
    <s v="Delayed"/>
    <n v="862"/>
    <n v="388"/>
    <x v="18"/>
    <x v="12"/>
    <x v="17"/>
    <x v="1"/>
    <x v="10"/>
    <m/>
  </r>
  <r>
    <d v="2024-09-30T00:00:00"/>
    <x v="2"/>
    <s v="Housekeeping Items"/>
    <s v="Standard"/>
    <x v="258"/>
    <x v="2"/>
    <x v="755"/>
    <n v="100"/>
    <n v="28800"/>
    <x v="702"/>
    <x v="1"/>
    <x v="0"/>
    <x v="0"/>
    <s v="Delivered"/>
    <n v="720"/>
    <n v="288"/>
    <x v="11"/>
    <x v="9"/>
    <x v="11"/>
    <x v="1"/>
    <x v="5"/>
    <m/>
  </r>
  <r>
    <d v="2024-10-01T00:00:00"/>
    <x v="3"/>
    <s v="Containers"/>
    <s v="1L"/>
    <x v="250"/>
    <x v="3"/>
    <x v="756"/>
    <n v="3"/>
    <n v="1149"/>
    <x v="703"/>
    <x v="2"/>
    <x v="3"/>
    <x v="0"/>
    <s v="Delayed"/>
    <n v="993"/>
    <n v="383"/>
    <x v="18"/>
    <x v="12"/>
    <x v="17"/>
    <x v="2"/>
    <x v="0"/>
    <m/>
  </r>
  <r>
    <d v="2024-10-02T00:00:00"/>
    <x v="2"/>
    <s v="Housekeeping Items"/>
    <s v="Standard"/>
    <x v="205"/>
    <x v="2"/>
    <x v="698"/>
    <n v="100"/>
    <n v="25400"/>
    <x v="652"/>
    <x v="0"/>
    <x v="2"/>
    <x v="0"/>
    <s v="Delivered"/>
    <n v="685"/>
    <n v="254"/>
    <x v="5"/>
    <x v="0"/>
    <x v="5"/>
    <x v="2"/>
    <x v="4"/>
    <m/>
  </r>
  <r>
    <d v="2024-10-03T00:00:00"/>
    <x v="4"/>
    <s v="Plates &amp; Bowls"/>
    <s v="500ml"/>
    <x v="135"/>
    <x v="4"/>
    <x v="757"/>
    <n v="1.5"/>
    <n v="220.5"/>
    <x v="442"/>
    <x v="0"/>
    <x v="1"/>
    <x v="0"/>
    <s v="Delivered"/>
    <n v="527"/>
    <n v="147"/>
    <x v="16"/>
    <x v="4"/>
    <x v="15"/>
    <x v="3"/>
    <x v="0"/>
    <m/>
  </r>
  <r>
    <d v="2024-10-04T00:00:00"/>
    <x v="3"/>
    <s v="Containers"/>
    <s v="1L"/>
    <x v="228"/>
    <x v="3"/>
    <x v="287"/>
    <n v="3"/>
    <n v="1488"/>
    <x v="278"/>
    <x v="2"/>
    <x v="0"/>
    <x v="0"/>
    <s v="Delayed"/>
    <n v="578"/>
    <n v="496"/>
    <x v="16"/>
    <x v="4"/>
    <x v="15"/>
    <x v="0"/>
    <x v="8"/>
    <m/>
  </r>
  <r>
    <d v="2024-10-05T00:00:00"/>
    <x v="0"/>
    <s v="Takeaway Boxes"/>
    <s v="Large"/>
    <x v="423"/>
    <x v="0"/>
    <x v="758"/>
    <n v="5"/>
    <n v="1835"/>
    <x v="704"/>
    <x v="0"/>
    <x v="2"/>
    <x v="2"/>
    <s v="Delivered"/>
    <n v="826"/>
    <n v="367"/>
    <x v="11"/>
    <x v="9"/>
    <x v="11"/>
    <x v="0"/>
    <x v="8"/>
    <m/>
  </r>
  <r>
    <d v="2024-10-06T00:00:00"/>
    <x v="1"/>
    <s v="Glass &amp; Bottles"/>
    <s v="750ml"/>
    <x v="293"/>
    <x v="1"/>
    <x v="194"/>
    <n v="12"/>
    <n v="180"/>
    <x v="190"/>
    <x v="1"/>
    <x v="3"/>
    <x v="2"/>
    <s v="Delivered"/>
    <n v="615"/>
    <n v="15"/>
    <x v="13"/>
    <x v="2"/>
    <x v="12"/>
    <x v="1"/>
    <x v="10"/>
    <m/>
  </r>
  <r>
    <d v="2024-10-07T00:00:00"/>
    <x v="2"/>
    <s v="Housekeeping Items"/>
    <s v="Standard"/>
    <x v="243"/>
    <x v="2"/>
    <x v="759"/>
    <n v="100"/>
    <n v="26200"/>
    <x v="705"/>
    <x v="0"/>
    <x v="2"/>
    <x v="2"/>
    <s v="Returned"/>
    <n v="912"/>
    <n v="262"/>
    <x v="15"/>
    <x v="10"/>
    <x v="14"/>
    <x v="1"/>
    <x v="6"/>
    <m/>
  </r>
  <r>
    <d v="2024-10-08T00:00:00"/>
    <x v="2"/>
    <s v="Housekeeping Items"/>
    <s v="Standard"/>
    <x v="20"/>
    <x v="2"/>
    <x v="760"/>
    <n v="100"/>
    <n v="10200"/>
    <x v="706"/>
    <x v="1"/>
    <x v="3"/>
    <x v="2"/>
    <s v="Returned"/>
    <n v="851"/>
    <n v="102"/>
    <x v="9"/>
    <x v="7"/>
    <x v="9"/>
    <x v="4"/>
    <x v="6"/>
    <m/>
  </r>
  <r>
    <d v="2024-10-09T00:00:00"/>
    <x v="3"/>
    <s v="Containers"/>
    <s v="1L"/>
    <x v="182"/>
    <x v="3"/>
    <x v="761"/>
    <n v="3"/>
    <n v="756"/>
    <x v="204"/>
    <x v="0"/>
    <x v="3"/>
    <x v="1"/>
    <s v="Returned"/>
    <n v="544"/>
    <n v="252"/>
    <x v="16"/>
    <x v="4"/>
    <x v="15"/>
    <x v="0"/>
    <x v="3"/>
    <m/>
  </r>
  <r>
    <d v="2024-10-10T00:00:00"/>
    <x v="2"/>
    <s v="Housekeeping Items"/>
    <s v="Standard"/>
    <x v="424"/>
    <x v="2"/>
    <x v="762"/>
    <n v="100"/>
    <n v="2700"/>
    <x v="707"/>
    <x v="2"/>
    <x v="0"/>
    <x v="0"/>
    <s v="Delayed"/>
    <n v="845"/>
    <n v="27"/>
    <x v="18"/>
    <x v="12"/>
    <x v="17"/>
    <x v="4"/>
    <x v="8"/>
    <m/>
  </r>
  <r>
    <d v="2024-10-11T00:00:00"/>
    <x v="5"/>
    <s v="Cutlery"/>
    <s v="3pcs"/>
    <x v="269"/>
    <x v="5"/>
    <x v="763"/>
    <n v="4"/>
    <n v="1932"/>
    <x v="708"/>
    <x v="1"/>
    <x v="1"/>
    <x v="2"/>
    <s v="Delivered"/>
    <n v="644"/>
    <n v="483"/>
    <x v="7"/>
    <x v="5"/>
    <x v="7"/>
    <x v="4"/>
    <x v="2"/>
    <m/>
  </r>
  <r>
    <d v="2024-10-12T00:00:00"/>
    <x v="2"/>
    <s v="Housekeeping Items"/>
    <s v="Standard"/>
    <x v="214"/>
    <x v="2"/>
    <x v="764"/>
    <n v="100"/>
    <n v="4100"/>
    <x v="709"/>
    <x v="2"/>
    <x v="1"/>
    <x v="2"/>
    <s v="Delivered"/>
    <n v="820"/>
    <n v="41"/>
    <x v="18"/>
    <x v="12"/>
    <x v="17"/>
    <x v="3"/>
    <x v="2"/>
    <m/>
  </r>
  <r>
    <d v="2024-10-13T00:00:00"/>
    <x v="0"/>
    <s v="Takeaway Boxes"/>
    <s v="Large"/>
    <x v="339"/>
    <x v="0"/>
    <x v="765"/>
    <n v="5"/>
    <n v="1295"/>
    <x v="710"/>
    <x v="2"/>
    <x v="3"/>
    <x v="2"/>
    <s v="Delayed"/>
    <n v="762"/>
    <n v="259"/>
    <x v="17"/>
    <x v="11"/>
    <x v="16"/>
    <x v="3"/>
    <x v="10"/>
    <m/>
  </r>
  <r>
    <d v="2024-10-14T00:00:00"/>
    <x v="1"/>
    <s v="Glass &amp; Bottles"/>
    <s v="750ml"/>
    <x v="268"/>
    <x v="1"/>
    <x v="766"/>
    <n v="12"/>
    <n v="948"/>
    <x v="711"/>
    <x v="2"/>
    <x v="3"/>
    <x v="1"/>
    <s v="Delivered"/>
    <n v="590"/>
    <n v="79"/>
    <x v="15"/>
    <x v="10"/>
    <x v="14"/>
    <x v="2"/>
    <x v="1"/>
    <m/>
  </r>
  <r>
    <d v="2024-10-15T00:00:00"/>
    <x v="3"/>
    <s v="Containers"/>
    <s v="1L"/>
    <x v="115"/>
    <x v="3"/>
    <x v="352"/>
    <n v="3"/>
    <n v="420"/>
    <x v="333"/>
    <x v="0"/>
    <x v="1"/>
    <x v="0"/>
    <s v="Returned"/>
    <n v="837"/>
    <n v="140"/>
    <x v="17"/>
    <x v="11"/>
    <x v="16"/>
    <x v="3"/>
    <x v="4"/>
    <m/>
  </r>
  <r>
    <d v="2024-10-16T00:00:00"/>
    <x v="4"/>
    <s v="Plates &amp; Bowls"/>
    <s v="500ml"/>
    <x v="421"/>
    <x v="4"/>
    <x v="767"/>
    <n v="1.5"/>
    <n v="721.5"/>
    <x v="712"/>
    <x v="2"/>
    <x v="2"/>
    <x v="0"/>
    <s v="Returned"/>
    <n v="935"/>
    <n v="481"/>
    <x v="16"/>
    <x v="4"/>
    <x v="15"/>
    <x v="3"/>
    <x v="5"/>
    <m/>
  </r>
  <r>
    <d v="2024-10-17T00:00:00"/>
    <x v="4"/>
    <s v="Plates &amp; Bowls"/>
    <s v="500ml"/>
    <x v="301"/>
    <x v="4"/>
    <x v="416"/>
    <n v="1.5"/>
    <n v="189"/>
    <x v="268"/>
    <x v="0"/>
    <x v="3"/>
    <x v="0"/>
    <s v="Returned"/>
    <n v="981"/>
    <n v="126"/>
    <x v="18"/>
    <x v="12"/>
    <x v="17"/>
    <x v="0"/>
    <x v="10"/>
    <m/>
  </r>
  <r>
    <d v="2024-10-18T00:00:00"/>
    <x v="0"/>
    <s v="Takeaway Boxes"/>
    <s v="Large"/>
    <x v="85"/>
    <x v="0"/>
    <x v="768"/>
    <n v="5"/>
    <n v="970"/>
    <x v="713"/>
    <x v="0"/>
    <x v="1"/>
    <x v="0"/>
    <s v="Delayed"/>
    <n v="690"/>
    <n v="194"/>
    <x v="0"/>
    <x v="0"/>
    <x v="0"/>
    <x v="2"/>
    <x v="3"/>
    <m/>
  </r>
  <r>
    <d v="2024-10-19T00:00:00"/>
    <x v="1"/>
    <s v="Glass &amp; Bottles"/>
    <s v="750ml"/>
    <x v="147"/>
    <x v="1"/>
    <x v="452"/>
    <n v="12"/>
    <n v="5868"/>
    <x v="427"/>
    <x v="0"/>
    <x v="3"/>
    <x v="0"/>
    <s v="Delayed"/>
    <n v="873"/>
    <n v="489"/>
    <x v="11"/>
    <x v="9"/>
    <x v="11"/>
    <x v="1"/>
    <x v="11"/>
    <m/>
  </r>
  <r>
    <d v="2024-10-20T00:00:00"/>
    <x v="1"/>
    <s v="Glass &amp; Bottles"/>
    <s v="750ml"/>
    <x v="293"/>
    <x v="1"/>
    <x v="194"/>
    <n v="12"/>
    <n v="180"/>
    <x v="190"/>
    <x v="0"/>
    <x v="1"/>
    <x v="1"/>
    <s v="Delayed"/>
    <n v="749"/>
    <n v="15"/>
    <x v="13"/>
    <x v="2"/>
    <x v="12"/>
    <x v="2"/>
    <x v="1"/>
    <m/>
  </r>
  <r>
    <d v="2024-10-21T00:00:00"/>
    <x v="2"/>
    <s v="Housekeeping Items"/>
    <s v="Standard"/>
    <x v="44"/>
    <x v="2"/>
    <x v="769"/>
    <n v="100"/>
    <n v="49900"/>
    <x v="714"/>
    <x v="2"/>
    <x v="1"/>
    <x v="1"/>
    <s v="Delayed"/>
    <n v="952"/>
    <n v="499"/>
    <x v="7"/>
    <x v="5"/>
    <x v="7"/>
    <x v="0"/>
    <x v="6"/>
    <m/>
  </r>
  <r>
    <d v="2024-10-22T00:00:00"/>
    <x v="0"/>
    <s v="Takeaway Boxes"/>
    <s v="Large"/>
    <x v="262"/>
    <x v="0"/>
    <x v="379"/>
    <n v="5"/>
    <n v="2425"/>
    <x v="697"/>
    <x v="1"/>
    <x v="1"/>
    <x v="0"/>
    <s v="Returned"/>
    <n v="830"/>
    <n v="485"/>
    <x v="10"/>
    <x v="8"/>
    <x v="10"/>
    <x v="3"/>
    <x v="4"/>
    <m/>
  </r>
  <r>
    <d v="2024-10-23T00:00:00"/>
    <x v="0"/>
    <s v="Takeaway Boxes"/>
    <s v="Large"/>
    <x v="1"/>
    <x v="0"/>
    <x v="153"/>
    <n v="5"/>
    <n v="980"/>
    <x v="148"/>
    <x v="0"/>
    <x v="0"/>
    <x v="2"/>
    <s v="Returned"/>
    <n v="775"/>
    <n v="196"/>
    <x v="10"/>
    <x v="8"/>
    <x v="10"/>
    <x v="1"/>
    <x v="9"/>
    <m/>
  </r>
  <r>
    <d v="2024-10-24T00:00:00"/>
    <x v="2"/>
    <s v="Housekeeping Items"/>
    <s v="Standard"/>
    <x v="156"/>
    <x v="2"/>
    <x v="446"/>
    <n v="100"/>
    <n v="22400"/>
    <x v="420"/>
    <x v="1"/>
    <x v="3"/>
    <x v="1"/>
    <s v="Returned"/>
    <n v="841"/>
    <n v="224"/>
    <x v="3"/>
    <x v="2"/>
    <x v="3"/>
    <x v="0"/>
    <x v="0"/>
    <m/>
  </r>
  <r>
    <d v="2024-10-25T00:00:00"/>
    <x v="5"/>
    <s v="Cutlery"/>
    <s v="3pcs"/>
    <x v="20"/>
    <x v="5"/>
    <x v="47"/>
    <n v="4"/>
    <n v="408"/>
    <x v="46"/>
    <x v="0"/>
    <x v="3"/>
    <x v="0"/>
    <s v="Delayed"/>
    <n v="673"/>
    <n v="102"/>
    <x v="12"/>
    <x v="3"/>
    <x v="10"/>
    <x v="4"/>
    <x v="8"/>
    <m/>
  </r>
  <r>
    <d v="2024-10-26T00:00:00"/>
    <x v="2"/>
    <s v="Housekeeping Items"/>
    <s v="Standard"/>
    <x v="8"/>
    <x v="2"/>
    <x v="770"/>
    <n v="100"/>
    <n v="18300"/>
    <x v="715"/>
    <x v="2"/>
    <x v="0"/>
    <x v="2"/>
    <s v="Delayed"/>
    <n v="655"/>
    <n v="183"/>
    <x v="19"/>
    <x v="13"/>
    <x v="18"/>
    <x v="0"/>
    <x v="10"/>
    <m/>
  </r>
  <r>
    <d v="2024-10-27T00:00:00"/>
    <x v="3"/>
    <s v="Containers"/>
    <s v="1L"/>
    <x v="284"/>
    <x v="3"/>
    <x v="443"/>
    <n v="3"/>
    <n v="417"/>
    <x v="418"/>
    <x v="2"/>
    <x v="2"/>
    <x v="0"/>
    <s v="Returned"/>
    <n v="893"/>
    <n v="139"/>
    <x v="18"/>
    <x v="12"/>
    <x v="17"/>
    <x v="3"/>
    <x v="11"/>
    <m/>
  </r>
  <r>
    <d v="2024-10-28T00:00:00"/>
    <x v="4"/>
    <s v="Plates &amp; Bowls"/>
    <s v="500ml"/>
    <x v="35"/>
    <x v="4"/>
    <x v="36"/>
    <n v="1.5"/>
    <n v="201"/>
    <x v="35"/>
    <x v="0"/>
    <x v="0"/>
    <x v="2"/>
    <s v="Returned"/>
    <n v="523"/>
    <n v="134"/>
    <x v="13"/>
    <x v="2"/>
    <x v="12"/>
    <x v="2"/>
    <x v="0"/>
    <m/>
  </r>
  <r>
    <d v="2024-10-29T00:00:00"/>
    <x v="5"/>
    <s v="Cutlery"/>
    <s v="3pcs"/>
    <x v="195"/>
    <x v="5"/>
    <x v="225"/>
    <n v="4"/>
    <n v="1644"/>
    <x v="219"/>
    <x v="2"/>
    <x v="0"/>
    <x v="0"/>
    <s v="Returned"/>
    <n v="960"/>
    <n v="411"/>
    <x v="14"/>
    <x v="6"/>
    <x v="13"/>
    <x v="2"/>
    <x v="11"/>
    <m/>
  </r>
  <r>
    <d v="2024-10-30T00:00:00"/>
    <x v="0"/>
    <s v="Takeaway Boxes"/>
    <s v="Large"/>
    <x v="180"/>
    <x v="0"/>
    <x v="207"/>
    <n v="5"/>
    <n v="740"/>
    <x v="202"/>
    <x v="0"/>
    <x v="3"/>
    <x v="0"/>
    <s v="Delayed"/>
    <n v="534"/>
    <n v="148"/>
    <x v="8"/>
    <x v="6"/>
    <x v="8"/>
    <x v="4"/>
    <x v="6"/>
    <m/>
  </r>
  <r>
    <d v="2024-10-31T00:00:00"/>
    <x v="2"/>
    <s v="Housekeeping Items"/>
    <s v="Standard"/>
    <x v="70"/>
    <x v="2"/>
    <x v="771"/>
    <n v="100"/>
    <n v="48700"/>
    <x v="716"/>
    <x v="0"/>
    <x v="1"/>
    <x v="2"/>
    <s v="Delivered"/>
    <n v="644"/>
    <n v="487"/>
    <x v="18"/>
    <x v="12"/>
    <x v="17"/>
    <x v="2"/>
    <x v="3"/>
    <m/>
  </r>
  <r>
    <d v="2024-11-01T00:00:00"/>
    <x v="0"/>
    <s v="Takeaway Boxes"/>
    <s v="Large"/>
    <x v="336"/>
    <x v="0"/>
    <x v="772"/>
    <n v="5"/>
    <n v="2385"/>
    <x v="717"/>
    <x v="1"/>
    <x v="0"/>
    <x v="1"/>
    <s v="Delayed"/>
    <n v="522"/>
    <n v="477"/>
    <x v="2"/>
    <x v="2"/>
    <x v="2"/>
    <x v="2"/>
    <x v="10"/>
    <m/>
  </r>
  <r>
    <d v="2024-11-02T00:00:00"/>
    <x v="0"/>
    <s v="Takeaway Boxes"/>
    <s v="Large"/>
    <x v="425"/>
    <x v="0"/>
    <x v="773"/>
    <n v="5"/>
    <n v="685"/>
    <x v="416"/>
    <x v="0"/>
    <x v="1"/>
    <x v="2"/>
    <s v="Returned"/>
    <n v="592"/>
    <n v="137"/>
    <x v="12"/>
    <x v="3"/>
    <x v="10"/>
    <x v="3"/>
    <x v="5"/>
    <m/>
  </r>
  <r>
    <d v="2024-11-03T00:00:00"/>
    <x v="5"/>
    <s v="Cutlery"/>
    <s v="3pcs"/>
    <x v="406"/>
    <x v="5"/>
    <x v="537"/>
    <n v="4"/>
    <n v="260"/>
    <x v="207"/>
    <x v="1"/>
    <x v="3"/>
    <x v="0"/>
    <s v="Delivered"/>
    <n v="749"/>
    <n v="65"/>
    <x v="2"/>
    <x v="2"/>
    <x v="2"/>
    <x v="3"/>
    <x v="4"/>
    <m/>
  </r>
  <r>
    <d v="2024-11-04T00:00:00"/>
    <x v="4"/>
    <s v="Plates &amp; Bowls"/>
    <s v="500ml"/>
    <x v="284"/>
    <x v="4"/>
    <x v="774"/>
    <n v="1.5"/>
    <n v="208.5"/>
    <x v="718"/>
    <x v="2"/>
    <x v="1"/>
    <x v="0"/>
    <s v="Delayed"/>
    <n v="982"/>
    <n v="139"/>
    <x v="14"/>
    <x v="6"/>
    <x v="13"/>
    <x v="0"/>
    <x v="4"/>
    <m/>
  </r>
  <r>
    <d v="2024-11-05T00:00:00"/>
    <x v="1"/>
    <s v="Glass &amp; Bottles"/>
    <s v="750ml"/>
    <x v="72"/>
    <x v="1"/>
    <x v="75"/>
    <n v="12"/>
    <n v="2208"/>
    <x v="73"/>
    <x v="0"/>
    <x v="3"/>
    <x v="1"/>
    <s v="Delayed"/>
    <n v="807"/>
    <n v="184"/>
    <x v="19"/>
    <x v="13"/>
    <x v="18"/>
    <x v="1"/>
    <x v="4"/>
    <m/>
  </r>
  <r>
    <d v="2024-11-06T00:00:00"/>
    <x v="3"/>
    <s v="Containers"/>
    <s v="1L"/>
    <x v="426"/>
    <x v="3"/>
    <x v="775"/>
    <n v="3"/>
    <n v="780"/>
    <x v="719"/>
    <x v="1"/>
    <x v="0"/>
    <x v="0"/>
    <s v="Returned"/>
    <n v="775"/>
    <n v="260"/>
    <x v="8"/>
    <x v="6"/>
    <x v="8"/>
    <x v="2"/>
    <x v="6"/>
    <m/>
  </r>
  <r>
    <d v="2024-11-07T00:00:00"/>
    <x v="0"/>
    <s v="Takeaway Boxes"/>
    <s v="Large"/>
    <x v="117"/>
    <x v="0"/>
    <x v="426"/>
    <n v="5"/>
    <n v="2200"/>
    <x v="401"/>
    <x v="0"/>
    <x v="3"/>
    <x v="1"/>
    <s v="Returned"/>
    <n v="744"/>
    <n v="440"/>
    <x v="18"/>
    <x v="12"/>
    <x v="17"/>
    <x v="4"/>
    <x v="4"/>
    <m/>
  </r>
  <r>
    <d v="2024-11-08T00:00:00"/>
    <x v="3"/>
    <s v="Containers"/>
    <s v="1L"/>
    <x v="340"/>
    <x v="3"/>
    <x v="776"/>
    <n v="3"/>
    <n v="1392"/>
    <x v="676"/>
    <x v="0"/>
    <x v="2"/>
    <x v="2"/>
    <s v="Delayed"/>
    <n v="825"/>
    <n v="464"/>
    <x v="6"/>
    <x v="4"/>
    <x v="6"/>
    <x v="1"/>
    <x v="0"/>
    <m/>
  </r>
  <r>
    <d v="2024-11-09T00:00:00"/>
    <x v="1"/>
    <s v="Glass &amp; Bottles"/>
    <s v="750ml"/>
    <x v="66"/>
    <x v="1"/>
    <x v="777"/>
    <n v="12"/>
    <n v="4608"/>
    <x v="720"/>
    <x v="0"/>
    <x v="0"/>
    <x v="2"/>
    <s v="Returned"/>
    <n v="570"/>
    <n v="384"/>
    <x v="10"/>
    <x v="8"/>
    <x v="10"/>
    <x v="2"/>
    <x v="8"/>
    <m/>
  </r>
  <r>
    <d v="2024-11-10T00:00:00"/>
    <x v="4"/>
    <s v="Plates &amp; Bowls"/>
    <s v="500ml"/>
    <x v="293"/>
    <x v="4"/>
    <x v="778"/>
    <n v="1.5"/>
    <n v="22.5"/>
    <x v="721"/>
    <x v="2"/>
    <x v="3"/>
    <x v="1"/>
    <s v="Returned"/>
    <n v="765"/>
    <n v="15"/>
    <x v="12"/>
    <x v="3"/>
    <x v="10"/>
    <x v="1"/>
    <x v="8"/>
    <m/>
  </r>
  <r>
    <d v="2024-11-11T00:00:00"/>
    <x v="3"/>
    <s v="Containers"/>
    <s v="1L"/>
    <x v="383"/>
    <x v="3"/>
    <x v="508"/>
    <n v="3"/>
    <n v="744"/>
    <x v="481"/>
    <x v="1"/>
    <x v="1"/>
    <x v="1"/>
    <s v="Delivered"/>
    <n v="704"/>
    <n v="248"/>
    <x v="5"/>
    <x v="0"/>
    <x v="5"/>
    <x v="3"/>
    <x v="0"/>
    <m/>
  </r>
  <r>
    <d v="2024-11-12T00:00:00"/>
    <x v="1"/>
    <s v="Glass &amp; Bottles"/>
    <s v="750ml"/>
    <x v="71"/>
    <x v="1"/>
    <x v="761"/>
    <n v="12"/>
    <n v="756"/>
    <x v="204"/>
    <x v="2"/>
    <x v="1"/>
    <x v="1"/>
    <s v="Delayed"/>
    <n v="920"/>
    <n v="63"/>
    <x v="14"/>
    <x v="6"/>
    <x v="13"/>
    <x v="4"/>
    <x v="7"/>
    <m/>
  </r>
  <r>
    <d v="2024-11-13T00:00:00"/>
    <x v="1"/>
    <s v="Glass &amp; Bottles"/>
    <s v="750ml"/>
    <x v="204"/>
    <x v="1"/>
    <x v="234"/>
    <n v="12"/>
    <n v="3276"/>
    <x v="228"/>
    <x v="1"/>
    <x v="3"/>
    <x v="0"/>
    <s v="Delayed"/>
    <n v="897"/>
    <n v="273"/>
    <x v="12"/>
    <x v="3"/>
    <x v="10"/>
    <x v="4"/>
    <x v="5"/>
    <m/>
  </r>
  <r>
    <d v="2024-11-14T00:00:00"/>
    <x v="0"/>
    <s v="Takeaway Boxes"/>
    <s v="Large"/>
    <x v="310"/>
    <x v="0"/>
    <x v="779"/>
    <n v="5"/>
    <n v="805"/>
    <x v="722"/>
    <x v="2"/>
    <x v="3"/>
    <x v="0"/>
    <s v="Delivered"/>
    <n v="953"/>
    <n v="161"/>
    <x v="3"/>
    <x v="2"/>
    <x v="3"/>
    <x v="1"/>
    <x v="5"/>
    <m/>
  </r>
  <r>
    <d v="2024-11-15T00:00:00"/>
    <x v="4"/>
    <s v="Plates &amp; Bowls"/>
    <s v="500ml"/>
    <x v="317"/>
    <x v="4"/>
    <x v="780"/>
    <n v="1.5"/>
    <n v="126"/>
    <x v="723"/>
    <x v="1"/>
    <x v="1"/>
    <x v="1"/>
    <s v="Delivered"/>
    <n v="862"/>
    <n v="84"/>
    <x v="13"/>
    <x v="2"/>
    <x v="12"/>
    <x v="0"/>
    <x v="3"/>
    <m/>
  </r>
  <r>
    <d v="2024-11-16T00:00:00"/>
    <x v="5"/>
    <s v="Cutlery"/>
    <s v="3pcs"/>
    <x v="108"/>
    <x v="5"/>
    <x v="19"/>
    <n v="4"/>
    <n v="1200"/>
    <x v="530"/>
    <x v="1"/>
    <x v="0"/>
    <x v="2"/>
    <s v="Delayed"/>
    <n v="686"/>
    <n v="300"/>
    <x v="18"/>
    <x v="12"/>
    <x v="17"/>
    <x v="2"/>
    <x v="0"/>
    <m/>
  </r>
  <r>
    <d v="2024-11-17T00:00:00"/>
    <x v="3"/>
    <s v="Containers"/>
    <s v="1L"/>
    <x v="265"/>
    <x v="3"/>
    <x v="781"/>
    <n v="3"/>
    <n v="1338"/>
    <x v="724"/>
    <x v="0"/>
    <x v="0"/>
    <x v="0"/>
    <s v="Delivered"/>
    <n v="828"/>
    <n v="446"/>
    <x v="8"/>
    <x v="6"/>
    <x v="8"/>
    <x v="1"/>
    <x v="6"/>
    <m/>
  </r>
  <r>
    <d v="2024-11-18T00:00:00"/>
    <x v="2"/>
    <s v="Housekeeping Items"/>
    <s v="Standard"/>
    <x v="91"/>
    <x v="2"/>
    <x v="746"/>
    <n v="100"/>
    <n v="22200"/>
    <x v="691"/>
    <x v="2"/>
    <x v="3"/>
    <x v="0"/>
    <s v="Returned"/>
    <n v="752"/>
    <n v="222"/>
    <x v="3"/>
    <x v="2"/>
    <x v="3"/>
    <x v="1"/>
    <x v="2"/>
    <m/>
  </r>
  <r>
    <d v="2024-11-19T00:00:00"/>
    <x v="1"/>
    <s v="Glass &amp; Bottles"/>
    <s v="750ml"/>
    <x v="346"/>
    <x v="1"/>
    <x v="782"/>
    <n v="12"/>
    <n v="3816"/>
    <x v="725"/>
    <x v="2"/>
    <x v="3"/>
    <x v="1"/>
    <s v="Delivered"/>
    <n v="829"/>
    <n v="318"/>
    <x v="14"/>
    <x v="6"/>
    <x v="13"/>
    <x v="1"/>
    <x v="3"/>
    <m/>
  </r>
  <r>
    <d v="2024-11-20T00:00:00"/>
    <x v="3"/>
    <s v="Containers"/>
    <s v="1L"/>
    <x v="337"/>
    <x v="3"/>
    <x v="783"/>
    <n v="3"/>
    <n v="183"/>
    <x v="726"/>
    <x v="2"/>
    <x v="2"/>
    <x v="2"/>
    <s v="Delivered"/>
    <n v="574"/>
    <n v="61"/>
    <x v="7"/>
    <x v="5"/>
    <x v="7"/>
    <x v="2"/>
    <x v="8"/>
    <m/>
  </r>
  <r>
    <d v="2024-11-21T00:00:00"/>
    <x v="2"/>
    <s v="Housekeeping Items"/>
    <s v="Standard"/>
    <x v="331"/>
    <x v="2"/>
    <x v="489"/>
    <n v="100"/>
    <n v="7300"/>
    <x v="462"/>
    <x v="2"/>
    <x v="3"/>
    <x v="2"/>
    <s v="Delayed"/>
    <n v="825"/>
    <n v="73"/>
    <x v="19"/>
    <x v="13"/>
    <x v="18"/>
    <x v="4"/>
    <x v="3"/>
    <m/>
  </r>
  <r>
    <d v="2024-11-22T00:00:00"/>
    <x v="2"/>
    <s v="Housekeeping Items"/>
    <s v="Standard"/>
    <x v="317"/>
    <x v="2"/>
    <x v="457"/>
    <n v="100"/>
    <n v="8400"/>
    <x v="432"/>
    <x v="2"/>
    <x v="2"/>
    <x v="1"/>
    <s v="Delivered"/>
    <n v="602"/>
    <n v="84"/>
    <x v="10"/>
    <x v="8"/>
    <x v="10"/>
    <x v="1"/>
    <x v="1"/>
    <m/>
  </r>
  <r>
    <d v="2024-11-23T00:00:00"/>
    <x v="1"/>
    <s v="Glass &amp; Bottles"/>
    <s v="750ml"/>
    <x v="128"/>
    <x v="1"/>
    <x v="784"/>
    <n v="12"/>
    <n v="4176"/>
    <x v="727"/>
    <x v="2"/>
    <x v="0"/>
    <x v="0"/>
    <s v="Delayed"/>
    <n v="818"/>
    <n v="348"/>
    <x v="14"/>
    <x v="6"/>
    <x v="13"/>
    <x v="2"/>
    <x v="10"/>
    <m/>
  </r>
  <r>
    <d v="2024-11-24T00:00:00"/>
    <x v="5"/>
    <s v="Cutlery"/>
    <s v="3pcs"/>
    <x v="108"/>
    <x v="5"/>
    <x v="19"/>
    <n v="4"/>
    <n v="1200"/>
    <x v="530"/>
    <x v="1"/>
    <x v="3"/>
    <x v="1"/>
    <s v="Delayed"/>
    <n v="788"/>
    <n v="300"/>
    <x v="10"/>
    <x v="8"/>
    <x v="10"/>
    <x v="4"/>
    <x v="11"/>
    <m/>
  </r>
  <r>
    <d v="2024-11-25T00:00:00"/>
    <x v="0"/>
    <s v="Takeaway Boxes"/>
    <s v="Large"/>
    <x v="427"/>
    <x v="0"/>
    <x v="785"/>
    <n v="5"/>
    <n v="1965"/>
    <x v="728"/>
    <x v="1"/>
    <x v="0"/>
    <x v="1"/>
    <s v="Delivered"/>
    <n v="689"/>
    <n v="393"/>
    <x v="7"/>
    <x v="5"/>
    <x v="7"/>
    <x v="0"/>
    <x v="5"/>
    <m/>
  </r>
  <r>
    <d v="2024-11-26T00:00:00"/>
    <x v="1"/>
    <s v="Glass &amp; Bottles"/>
    <s v="750ml"/>
    <x v="233"/>
    <x v="1"/>
    <x v="786"/>
    <n v="12"/>
    <n v="5004"/>
    <x v="729"/>
    <x v="2"/>
    <x v="1"/>
    <x v="2"/>
    <s v="Delivered"/>
    <n v="995"/>
    <n v="417"/>
    <x v="10"/>
    <x v="8"/>
    <x v="10"/>
    <x v="1"/>
    <x v="6"/>
    <m/>
  </r>
  <r>
    <d v="2024-11-27T00:00:00"/>
    <x v="0"/>
    <s v="Takeaway Boxes"/>
    <s v="Large"/>
    <x v="25"/>
    <x v="0"/>
    <x v="787"/>
    <n v="5"/>
    <n v="2155"/>
    <x v="730"/>
    <x v="0"/>
    <x v="3"/>
    <x v="1"/>
    <s v="Returned"/>
    <n v="778"/>
    <n v="431"/>
    <x v="2"/>
    <x v="2"/>
    <x v="2"/>
    <x v="2"/>
    <x v="9"/>
    <m/>
  </r>
  <r>
    <d v="2024-11-28T00:00:00"/>
    <x v="0"/>
    <s v="Takeaway Boxes"/>
    <s v="Large"/>
    <x v="428"/>
    <x v="0"/>
    <x v="788"/>
    <n v="5"/>
    <n v="2350"/>
    <x v="731"/>
    <x v="1"/>
    <x v="0"/>
    <x v="2"/>
    <s v="Delivered"/>
    <n v="606"/>
    <n v="470"/>
    <x v="11"/>
    <x v="9"/>
    <x v="11"/>
    <x v="3"/>
    <x v="9"/>
    <m/>
  </r>
  <r>
    <d v="2024-11-29T00:00:00"/>
    <x v="1"/>
    <s v="Glass &amp; Bottles"/>
    <s v="750ml"/>
    <x v="18"/>
    <x v="1"/>
    <x v="237"/>
    <n v="12"/>
    <n v="4320"/>
    <x v="231"/>
    <x v="2"/>
    <x v="0"/>
    <x v="1"/>
    <s v="Returned"/>
    <n v="917"/>
    <n v="360"/>
    <x v="1"/>
    <x v="1"/>
    <x v="1"/>
    <x v="0"/>
    <x v="2"/>
    <m/>
  </r>
  <r>
    <d v="2024-11-30T00:00:00"/>
    <x v="5"/>
    <s v="Cutlery"/>
    <s v="3pcs"/>
    <x v="429"/>
    <x v="5"/>
    <x v="789"/>
    <n v="4"/>
    <n v="1208"/>
    <x v="732"/>
    <x v="2"/>
    <x v="2"/>
    <x v="2"/>
    <s v="Delivered"/>
    <n v="823"/>
    <n v="302"/>
    <x v="6"/>
    <x v="4"/>
    <x v="6"/>
    <x v="1"/>
    <x v="1"/>
    <m/>
  </r>
  <r>
    <d v="2024-12-01T00:00:00"/>
    <x v="1"/>
    <s v="Glass &amp; Bottles"/>
    <s v="750ml"/>
    <x v="346"/>
    <x v="1"/>
    <x v="782"/>
    <n v="12"/>
    <n v="3816"/>
    <x v="725"/>
    <x v="2"/>
    <x v="0"/>
    <x v="0"/>
    <s v="Delivered"/>
    <n v="975"/>
    <n v="318"/>
    <x v="16"/>
    <x v="4"/>
    <x v="15"/>
    <x v="0"/>
    <x v="9"/>
    <m/>
  </r>
  <r>
    <d v="2024-12-02T00:00:00"/>
    <x v="3"/>
    <s v="Containers"/>
    <s v="1L"/>
    <x v="25"/>
    <x v="3"/>
    <x v="790"/>
    <n v="3"/>
    <n v="1293"/>
    <x v="26"/>
    <x v="0"/>
    <x v="1"/>
    <x v="1"/>
    <s v="Returned"/>
    <n v="611"/>
    <n v="431"/>
    <x v="3"/>
    <x v="2"/>
    <x v="3"/>
    <x v="0"/>
    <x v="5"/>
    <m/>
  </r>
  <r>
    <d v="2024-12-03T00:00:00"/>
    <x v="4"/>
    <s v="Plates &amp; Bowls"/>
    <s v="500ml"/>
    <x v="94"/>
    <x v="4"/>
    <x v="791"/>
    <n v="1.5"/>
    <n v="382.5"/>
    <x v="733"/>
    <x v="0"/>
    <x v="2"/>
    <x v="0"/>
    <s v="Returned"/>
    <n v="691"/>
    <n v="255"/>
    <x v="6"/>
    <x v="4"/>
    <x v="6"/>
    <x v="1"/>
    <x v="1"/>
    <m/>
  </r>
  <r>
    <d v="2024-12-04T00:00:00"/>
    <x v="2"/>
    <s v="Housekeeping Items"/>
    <s v="Standard"/>
    <x v="354"/>
    <x v="2"/>
    <x v="792"/>
    <n v="100"/>
    <n v="28200"/>
    <x v="734"/>
    <x v="0"/>
    <x v="1"/>
    <x v="0"/>
    <s v="Returned"/>
    <n v="533"/>
    <n v="282"/>
    <x v="5"/>
    <x v="0"/>
    <x v="5"/>
    <x v="4"/>
    <x v="8"/>
    <m/>
  </r>
  <r>
    <d v="2024-12-05T00:00:00"/>
    <x v="5"/>
    <s v="Cutlery"/>
    <s v="3pcs"/>
    <x v="367"/>
    <x v="5"/>
    <x v="793"/>
    <n v="4"/>
    <n v="424"/>
    <x v="735"/>
    <x v="0"/>
    <x v="2"/>
    <x v="1"/>
    <s v="Returned"/>
    <n v="807"/>
    <n v="106"/>
    <x v="7"/>
    <x v="5"/>
    <x v="7"/>
    <x v="4"/>
    <x v="11"/>
    <m/>
  </r>
  <r>
    <d v="2024-12-06T00:00:00"/>
    <x v="3"/>
    <s v="Containers"/>
    <s v="1L"/>
    <x v="300"/>
    <x v="3"/>
    <x v="794"/>
    <n v="3"/>
    <n v="1380"/>
    <x v="736"/>
    <x v="2"/>
    <x v="1"/>
    <x v="1"/>
    <s v="Delivered"/>
    <n v="569"/>
    <n v="460"/>
    <x v="7"/>
    <x v="5"/>
    <x v="7"/>
    <x v="1"/>
    <x v="3"/>
    <m/>
  </r>
  <r>
    <d v="2024-12-07T00:00:00"/>
    <x v="5"/>
    <s v="Cutlery"/>
    <s v="3pcs"/>
    <x v="261"/>
    <x v="5"/>
    <x v="795"/>
    <n v="4"/>
    <n v="748"/>
    <x v="386"/>
    <x v="0"/>
    <x v="0"/>
    <x v="0"/>
    <s v="Returned"/>
    <n v="627"/>
    <n v="187"/>
    <x v="9"/>
    <x v="7"/>
    <x v="9"/>
    <x v="0"/>
    <x v="6"/>
    <m/>
  </r>
  <r>
    <d v="2024-12-08T00:00:00"/>
    <x v="3"/>
    <s v="Containers"/>
    <s v="1L"/>
    <x v="290"/>
    <x v="3"/>
    <x v="796"/>
    <n v="3"/>
    <n v="1164"/>
    <x v="737"/>
    <x v="2"/>
    <x v="0"/>
    <x v="2"/>
    <s v="Delayed"/>
    <n v="586"/>
    <n v="388"/>
    <x v="10"/>
    <x v="8"/>
    <x v="10"/>
    <x v="4"/>
    <x v="5"/>
    <m/>
  </r>
  <r>
    <d v="2024-12-09T00:00:00"/>
    <x v="2"/>
    <s v="Housekeeping Items"/>
    <s v="Standard"/>
    <x v="430"/>
    <x v="2"/>
    <x v="797"/>
    <n v="100"/>
    <n v="45000"/>
    <x v="738"/>
    <x v="1"/>
    <x v="3"/>
    <x v="2"/>
    <s v="Returned"/>
    <n v="586"/>
    <n v="450"/>
    <x v="14"/>
    <x v="6"/>
    <x v="13"/>
    <x v="4"/>
    <x v="10"/>
    <m/>
  </r>
  <r>
    <d v="2024-12-10T00:00:00"/>
    <x v="3"/>
    <s v="Containers"/>
    <s v="1L"/>
    <x v="3"/>
    <x v="3"/>
    <x v="548"/>
    <n v="3"/>
    <n v="165"/>
    <x v="521"/>
    <x v="2"/>
    <x v="2"/>
    <x v="2"/>
    <s v="Returned"/>
    <n v="546"/>
    <n v="55"/>
    <x v="5"/>
    <x v="0"/>
    <x v="5"/>
    <x v="2"/>
    <x v="9"/>
    <m/>
  </r>
  <r>
    <d v="2024-12-11T00:00:00"/>
    <x v="2"/>
    <s v="Housekeeping Items"/>
    <s v="Standard"/>
    <x v="103"/>
    <x v="2"/>
    <x v="107"/>
    <n v="100"/>
    <n v="5700"/>
    <x v="104"/>
    <x v="0"/>
    <x v="2"/>
    <x v="1"/>
    <s v="Delivered"/>
    <n v="602"/>
    <n v="57"/>
    <x v="4"/>
    <x v="3"/>
    <x v="4"/>
    <x v="3"/>
    <x v="9"/>
    <m/>
  </r>
  <r>
    <d v="2024-12-12T00:00:00"/>
    <x v="2"/>
    <s v="Housekeeping Items"/>
    <s v="Standard"/>
    <x v="266"/>
    <x v="2"/>
    <x v="798"/>
    <n v="100"/>
    <n v="19300"/>
    <x v="739"/>
    <x v="1"/>
    <x v="3"/>
    <x v="0"/>
    <s v="Delivered"/>
    <n v="984"/>
    <n v="193"/>
    <x v="8"/>
    <x v="6"/>
    <x v="8"/>
    <x v="2"/>
    <x v="3"/>
    <m/>
  </r>
  <r>
    <d v="2024-12-13T00:00:00"/>
    <x v="2"/>
    <s v="Housekeeping Items"/>
    <s v="Standard"/>
    <x v="229"/>
    <x v="2"/>
    <x v="272"/>
    <n v="100"/>
    <n v="13600"/>
    <x v="263"/>
    <x v="1"/>
    <x v="3"/>
    <x v="2"/>
    <s v="Delayed"/>
    <n v="810"/>
    <n v="136"/>
    <x v="13"/>
    <x v="2"/>
    <x v="12"/>
    <x v="0"/>
    <x v="8"/>
    <m/>
  </r>
  <r>
    <d v="2024-12-14T00:00:00"/>
    <x v="3"/>
    <s v="Containers"/>
    <s v="1L"/>
    <x v="348"/>
    <x v="3"/>
    <x v="691"/>
    <n v="3"/>
    <n v="1176"/>
    <x v="502"/>
    <x v="1"/>
    <x v="2"/>
    <x v="0"/>
    <s v="Delivered"/>
    <n v="721"/>
    <n v="392"/>
    <x v="18"/>
    <x v="12"/>
    <x v="17"/>
    <x v="0"/>
    <x v="10"/>
    <m/>
  </r>
  <r>
    <d v="2024-12-15T00:00:00"/>
    <x v="2"/>
    <s v="Housekeeping Items"/>
    <s v="Standard"/>
    <x v="20"/>
    <x v="2"/>
    <x v="760"/>
    <n v="100"/>
    <n v="10200"/>
    <x v="706"/>
    <x v="2"/>
    <x v="0"/>
    <x v="2"/>
    <s v="Delayed"/>
    <n v="748"/>
    <n v="102"/>
    <x v="15"/>
    <x v="10"/>
    <x v="14"/>
    <x v="4"/>
    <x v="10"/>
    <m/>
  </r>
  <r>
    <d v="2024-12-16T00:00:00"/>
    <x v="0"/>
    <s v="Takeaway Boxes"/>
    <s v="Large"/>
    <x v="407"/>
    <x v="0"/>
    <x v="799"/>
    <n v="5"/>
    <n v="295"/>
    <x v="517"/>
    <x v="0"/>
    <x v="2"/>
    <x v="0"/>
    <s v="Returned"/>
    <n v="727"/>
    <n v="59"/>
    <x v="7"/>
    <x v="5"/>
    <x v="7"/>
    <x v="4"/>
    <x v="8"/>
    <m/>
  </r>
  <r>
    <d v="2024-12-17T00:00:00"/>
    <x v="4"/>
    <s v="Plates &amp; Bowls"/>
    <s v="500ml"/>
    <x v="431"/>
    <x v="4"/>
    <x v="800"/>
    <n v="1.5"/>
    <n v="570"/>
    <x v="172"/>
    <x v="1"/>
    <x v="2"/>
    <x v="2"/>
    <s v="Returned"/>
    <n v="722"/>
    <n v="380"/>
    <x v="1"/>
    <x v="1"/>
    <x v="1"/>
    <x v="1"/>
    <x v="9"/>
    <m/>
  </r>
  <r>
    <d v="2024-12-18T00:00:00"/>
    <x v="4"/>
    <s v="Plates &amp; Bowls"/>
    <s v="500ml"/>
    <x v="376"/>
    <x v="4"/>
    <x v="613"/>
    <n v="1.5"/>
    <n v="144"/>
    <x v="580"/>
    <x v="2"/>
    <x v="2"/>
    <x v="1"/>
    <s v="Delayed"/>
    <n v="626"/>
    <n v="96"/>
    <x v="0"/>
    <x v="0"/>
    <x v="0"/>
    <x v="2"/>
    <x v="5"/>
    <m/>
  </r>
  <r>
    <d v="2024-12-19T00:00:00"/>
    <x v="1"/>
    <s v="Glass &amp; Bottles"/>
    <s v="750ml"/>
    <x v="282"/>
    <x v="1"/>
    <x v="372"/>
    <n v="12"/>
    <n v="612"/>
    <x v="354"/>
    <x v="1"/>
    <x v="0"/>
    <x v="0"/>
    <s v="Returned"/>
    <n v="995"/>
    <n v="51"/>
    <x v="10"/>
    <x v="8"/>
    <x v="10"/>
    <x v="0"/>
    <x v="5"/>
    <m/>
  </r>
  <r>
    <d v="2024-12-20T00:00:00"/>
    <x v="3"/>
    <s v="Containers"/>
    <s v="1L"/>
    <x v="360"/>
    <x v="3"/>
    <x v="801"/>
    <n v="3"/>
    <n v="1341"/>
    <x v="520"/>
    <x v="2"/>
    <x v="2"/>
    <x v="2"/>
    <s v="Returned"/>
    <n v="500"/>
    <n v="447"/>
    <x v="10"/>
    <x v="8"/>
    <x v="10"/>
    <x v="3"/>
    <x v="6"/>
    <m/>
  </r>
  <r>
    <d v="2024-12-21T00:00:00"/>
    <x v="2"/>
    <s v="Housekeeping Items"/>
    <s v="Standard"/>
    <x v="432"/>
    <x v="2"/>
    <x v="802"/>
    <n v="100"/>
    <n v="32200"/>
    <x v="740"/>
    <x v="1"/>
    <x v="0"/>
    <x v="0"/>
    <s v="Delivered"/>
    <n v="711"/>
    <n v="322"/>
    <x v="2"/>
    <x v="2"/>
    <x v="2"/>
    <x v="4"/>
    <x v="10"/>
    <m/>
  </r>
  <r>
    <d v="2024-12-22T00:00:00"/>
    <x v="2"/>
    <s v="Housekeeping Items"/>
    <s v="Standard"/>
    <x v="430"/>
    <x v="2"/>
    <x v="797"/>
    <n v="100"/>
    <n v="45000"/>
    <x v="738"/>
    <x v="2"/>
    <x v="1"/>
    <x v="1"/>
    <s v="Returned"/>
    <n v="997"/>
    <n v="450"/>
    <x v="14"/>
    <x v="6"/>
    <x v="13"/>
    <x v="3"/>
    <x v="4"/>
    <m/>
  </r>
  <r>
    <d v="2024-12-23T00:00:00"/>
    <x v="4"/>
    <s v="Plates &amp; Bowls"/>
    <s v="500ml"/>
    <x v="139"/>
    <x v="4"/>
    <x v="803"/>
    <n v="1.5"/>
    <n v="292.5"/>
    <x v="638"/>
    <x v="1"/>
    <x v="0"/>
    <x v="2"/>
    <s v="Returned"/>
    <n v="959"/>
    <n v="195"/>
    <x v="13"/>
    <x v="2"/>
    <x v="12"/>
    <x v="4"/>
    <x v="11"/>
    <m/>
  </r>
  <r>
    <d v="2024-12-24T00:00:00"/>
    <x v="1"/>
    <s v="Glass &amp; Bottles"/>
    <s v="750ml"/>
    <x v="433"/>
    <x v="1"/>
    <x v="804"/>
    <n v="12"/>
    <n v="348"/>
    <x v="741"/>
    <x v="1"/>
    <x v="2"/>
    <x v="1"/>
    <s v="Returned"/>
    <n v="857"/>
    <n v="29"/>
    <x v="14"/>
    <x v="6"/>
    <x v="13"/>
    <x v="1"/>
    <x v="9"/>
    <m/>
  </r>
  <r>
    <d v="2024-12-25T00:00:00"/>
    <x v="4"/>
    <s v="Plates &amp; Bowls"/>
    <s v="500ml"/>
    <x v="112"/>
    <x v="4"/>
    <x v="805"/>
    <n v="1.5"/>
    <n v="54"/>
    <x v="742"/>
    <x v="2"/>
    <x v="1"/>
    <x v="0"/>
    <s v="Returned"/>
    <n v="694"/>
    <n v="36"/>
    <x v="0"/>
    <x v="0"/>
    <x v="0"/>
    <x v="4"/>
    <x v="2"/>
    <m/>
  </r>
  <r>
    <d v="2024-12-26T00:00:00"/>
    <x v="5"/>
    <s v="Cutlery"/>
    <s v="3pcs"/>
    <x v="128"/>
    <x v="5"/>
    <x v="806"/>
    <n v="4"/>
    <n v="1392"/>
    <x v="105"/>
    <x v="1"/>
    <x v="2"/>
    <x v="2"/>
    <s v="Returned"/>
    <n v="933"/>
    <n v="348"/>
    <x v="4"/>
    <x v="3"/>
    <x v="4"/>
    <x v="0"/>
    <x v="6"/>
    <m/>
  </r>
  <r>
    <d v="2024-12-27T00:00:00"/>
    <x v="5"/>
    <s v="Cutlery"/>
    <s v="3pcs"/>
    <x v="37"/>
    <x v="5"/>
    <x v="807"/>
    <n v="4"/>
    <n v="988"/>
    <x v="637"/>
    <x v="2"/>
    <x v="2"/>
    <x v="2"/>
    <s v="Delayed"/>
    <n v="916"/>
    <n v="247"/>
    <x v="5"/>
    <x v="0"/>
    <x v="5"/>
    <x v="0"/>
    <x v="8"/>
    <m/>
  </r>
  <r>
    <d v="2024-12-28T00:00:00"/>
    <x v="2"/>
    <s v="Housekeeping Items"/>
    <s v="Standard"/>
    <x v="121"/>
    <x v="2"/>
    <x v="808"/>
    <n v="100"/>
    <n v="2200"/>
    <x v="743"/>
    <x v="1"/>
    <x v="1"/>
    <x v="2"/>
    <s v="Returned"/>
    <n v="840"/>
    <n v="22"/>
    <x v="8"/>
    <x v="6"/>
    <x v="8"/>
    <x v="0"/>
    <x v="10"/>
    <m/>
  </r>
  <r>
    <d v="2024-12-29T00:00:00"/>
    <x v="2"/>
    <s v="Housekeeping Items"/>
    <s v="Standard"/>
    <x v="68"/>
    <x v="2"/>
    <x v="809"/>
    <n v="100"/>
    <n v="27000"/>
    <x v="744"/>
    <x v="1"/>
    <x v="3"/>
    <x v="1"/>
    <s v="Returned"/>
    <n v="611"/>
    <n v="270"/>
    <x v="16"/>
    <x v="4"/>
    <x v="15"/>
    <x v="0"/>
    <x v="2"/>
    <m/>
  </r>
  <r>
    <d v="2024-12-30T00:00:00"/>
    <x v="1"/>
    <s v="Glass &amp; Bottles"/>
    <s v="750ml"/>
    <x v="193"/>
    <x v="1"/>
    <x v="135"/>
    <n v="12"/>
    <n v="1116"/>
    <x v="568"/>
    <x v="0"/>
    <x v="1"/>
    <x v="1"/>
    <s v="Delayed"/>
    <n v="821"/>
    <n v="93"/>
    <x v="3"/>
    <x v="2"/>
    <x v="3"/>
    <x v="2"/>
    <x v="7"/>
    <m/>
  </r>
  <r>
    <d v="2024-12-31T00:00:00"/>
    <x v="1"/>
    <s v="Glass &amp; Bottles"/>
    <s v="750ml"/>
    <x v="230"/>
    <x v="1"/>
    <x v="460"/>
    <n v="12"/>
    <n v="648"/>
    <x v="435"/>
    <x v="2"/>
    <x v="2"/>
    <x v="1"/>
    <s v="Delivered"/>
    <n v="653"/>
    <n v="54"/>
    <x v="5"/>
    <x v="0"/>
    <x v="5"/>
    <x v="1"/>
    <x v="5"/>
    <m/>
  </r>
  <r>
    <d v="2025-01-01T00:00:00"/>
    <x v="5"/>
    <s v="Cutlery"/>
    <s v="3pcs"/>
    <x v="99"/>
    <x v="5"/>
    <x v="810"/>
    <n v="4"/>
    <n v="1496"/>
    <x v="100"/>
    <x v="0"/>
    <x v="2"/>
    <x v="1"/>
    <s v="Delivered"/>
    <n v="861"/>
    <n v="374"/>
    <x v="6"/>
    <x v="4"/>
    <x v="6"/>
    <x v="0"/>
    <x v="5"/>
    <m/>
  </r>
  <r>
    <d v="2025-01-02T00:00:00"/>
    <x v="5"/>
    <s v="Cutlery"/>
    <s v="3pcs"/>
    <x v="429"/>
    <x v="5"/>
    <x v="789"/>
    <n v="4"/>
    <n v="1208"/>
    <x v="732"/>
    <x v="0"/>
    <x v="3"/>
    <x v="0"/>
    <s v="Returned"/>
    <n v="783"/>
    <n v="302"/>
    <x v="15"/>
    <x v="10"/>
    <x v="14"/>
    <x v="3"/>
    <x v="4"/>
    <m/>
  </r>
  <r>
    <d v="2025-01-03T00:00:00"/>
    <x v="4"/>
    <s v="Plates &amp; Bowls"/>
    <s v="500ml"/>
    <x v="246"/>
    <x v="4"/>
    <x v="299"/>
    <n v="1.5"/>
    <n v="688.5"/>
    <x v="63"/>
    <x v="2"/>
    <x v="2"/>
    <x v="2"/>
    <s v="Delayed"/>
    <n v="987"/>
    <n v="459"/>
    <x v="4"/>
    <x v="3"/>
    <x v="4"/>
    <x v="0"/>
    <x v="5"/>
    <m/>
  </r>
  <r>
    <d v="2025-01-04T00:00:00"/>
    <x v="5"/>
    <s v="Cutlery"/>
    <s v="3pcs"/>
    <x v="427"/>
    <x v="5"/>
    <x v="811"/>
    <n v="4"/>
    <n v="1572"/>
    <x v="745"/>
    <x v="1"/>
    <x v="3"/>
    <x v="2"/>
    <s v="Delivered"/>
    <n v="847"/>
    <n v="393"/>
    <x v="13"/>
    <x v="2"/>
    <x v="12"/>
    <x v="2"/>
    <x v="3"/>
    <m/>
  </r>
  <r>
    <d v="2025-01-05T00:00:00"/>
    <x v="4"/>
    <s v="Plates &amp; Bowls"/>
    <s v="500ml"/>
    <x v="9"/>
    <x v="4"/>
    <x v="812"/>
    <n v="1.5"/>
    <n v="562.5"/>
    <x v="746"/>
    <x v="2"/>
    <x v="2"/>
    <x v="0"/>
    <s v="Returned"/>
    <n v="846"/>
    <n v="375"/>
    <x v="4"/>
    <x v="3"/>
    <x v="4"/>
    <x v="1"/>
    <x v="2"/>
    <m/>
  </r>
  <r>
    <d v="2025-01-06T00:00:00"/>
    <x v="0"/>
    <s v="Takeaway Boxes"/>
    <s v="Large"/>
    <x v="292"/>
    <x v="0"/>
    <x v="813"/>
    <n v="5"/>
    <n v="2410"/>
    <x v="747"/>
    <x v="2"/>
    <x v="2"/>
    <x v="1"/>
    <s v="Delayed"/>
    <n v="804"/>
    <n v="482"/>
    <x v="0"/>
    <x v="0"/>
    <x v="0"/>
    <x v="4"/>
    <x v="3"/>
    <m/>
  </r>
  <r>
    <d v="2025-01-07T00:00:00"/>
    <x v="0"/>
    <s v="Takeaway Boxes"/>
    <s v="Large"/>
    <x v="434"/>
    <x v="0"/>
    <x v="814"/>
    <n v="5"/>
    <n v="2305"/>
    <x v="748"/>
    <x v="2"/>
    <x v="3"/>
    <x v="2"/>
    <s v="Delayed"/>
    <n v="723"/>
    <n v="461"/>
    <x v="5"/>
    <x v="0"/>
    <x v="5"/>
    <x v="3"/>
    <x v="4"/>
    <m/>
  </r>
  <r>
    <d v="2025-01-08T00:00:00"/>
    <x v="0"/>
    <s v="Takeaway Boxes"/>
    <s v="Large"/>
    <x v="422"/>
    <x v="0"/>
    <x v="815"/>
    <n v="5"/>
    <n v="130"/>
    <x v="668"/>
    <x v="2"/>
    <x v="2"/>
    <x v="2"/>
    <s v="Returned"/>
    <n v="629"/>
    <n v="26"/>
    <x v="8"/>
    <x v="6"/>
    <x v="8"/>
    <x v="2"/>
    <x v="2"/>
    <m/>
  </r>
  <r>
    <d v="2025-01-09T00:00:00"/>
    <x v="0"/>
    <s v="Takeaway Boxes"/>
    <s v="Large"/>
    <x v="435"/>
    <x v="0"/>
    <x v="508"/>
    <n v="5"/>
    <n v="775"/>
    <x v="749"/>
    <x v="1"/>
    <x v="3"/>
    <x v="1"/>
    <s v="Delivered"/>
    <n v="949"/>
    <n v="155"/>
    <x v="0"/>
    <x v="0"/>
    <x v="0"/>
    <x v="2"/>
    <x v="10"/>
    <m/>
  </r>
  <r>
    <d v="2025-01-10T00:00:00"/>
    <x v="0"/>
    <s v="Takeaway Boxes"/>
    <s v="Large"/>
    <x v="207"/>
    <x v="0"/>
    <x v="816"/>
    <n v="5"/>
    <n v="2270"/>
    <x v="750"/>
    <x v="0"/>
    <x v="1"/>
    <x v="1"/>
    <s v="Delivered"/>
    <n v="567"/>
    <n v="454"/>
    <x v="2"/>
    <x v="2"/>
    <x v="2"/>
    <x v="1"/>
    <x v="11"/>
    <m/>
  </r>
  <r>
    <d v="2025-01-11T00:00:00"/>
    <x v="1"/>
    <s v="Glass &amp; Bottles"/>
    <s v="750ml"/>
    <x v="364"/>
    <x v="1"/>
    <x v="817"/>
    <n v="12"/>
    <n v="4032"/>
    <x v="751"/>
    <x v="2"/>
    <x v="1"/>
    <x v="0"/>
    <s v="Returned"/>
    <n v="746"/>
    <n v="336"/>
    <x v="14"/>
    <x v="6"/>
    <x v="13"/>
    <x v="0"/>
    <x v="11"/>
    <m/>
  </r>
  <r>
    <d v="2025-01-12T00:00:00"/>
    <x v="5"/>
    <s v="Cutlery"/>
    <s v="3pcs"/>
    <x v="223"/>
    <x v="5"/>
    <x v="818"/>
    <n v="4"/>
    <n v="1612"/>
    <x v="752"/>
    <x v="0"/>
    <x v="2"/>
    <x v="2"/>
    <s v="Delivered"/>
    <n v="940"/>
    <n v="403"/>
    <x v="17"/>
    <x v="11"/>
    <x v="16"/>
    <x v="2"/>
    <x v="11"/>
    <m/>
  </r>
  <r>
    <d v="2025-01-13T00:00:00"/>
    <x v="1"/>
    <s v="Glass &amp; Bottles"/>
    <s v="750ml"/>
    <x v="267"/>
    <x v="1"/>
    <x v="819"/>
    <n v="12"/>
    <n v="5028"/>
    <x v="753"/>
    <x v="2"/>
    <x v="0"/>
    <x v="1"/>
    <s v="Delivered"/>
    <n v="759"/>
    <n v="419"/>
    <x v="0"/>
    <x v="0"/>
    <x v="0"/>
    <x v="0"/>
    <x v="2"/>
    <m/>
  </r>
  <r>
    <d v="2025-01-14T00:00:00"/>
    <x v="4"/>
    <s v="Plates &amp; Bowls"/>
    <s v="500ml"/>
    <x v="59"/>
    <x v="4"/>
    <x v="367"/>
    <n v="1.5"/>
    <n v="580.5"/>
    <x v="349"/>
    <x v="0"/>
    <x v="1"/>
    <x v="0"/>
    <s v="Delayed"/>
    <n v="951"/>
    <n v="387"/>
    <x v="4"/>
    <x v="3"/>
    <x v="4"/>
    <x v="4"/>
    <x v="6"/>
    <m/>
  </r>
  <r>
    <d v="2025-01-15T00:00:00"/>
    <x v="1"/>
    <s v="Glass &amp; Bottles"/>
    <s v="750ml"/>
    <x v="201"/>
    <x v="1"/>
    <x v="820"/>
    <n v="12"/>
    <n v="2232"/>
    <x v="262"/>
    <x v="2"/>
    <x v="3"/>
    <x v="2"/>
    <s v="Delayed"/>
    <n v="539"/>
    <n v="186"/>
    <x v="15"/>
    <x v="10"/>
    <x v="14"/>
    <x v="1"/>
    <x v="1"/>
    <m/>
  </r>
  <r>
    <d v="2025-01-16T00:00:00"/>
    <x v="5"/>
    <s v="Cutlery"/>
    <s v="3pcs"/>
    <x v="404"/>
    <x v="5"/>
    <x v="821"/>
    <n v="4"/>
    <n v="1368"/>
    <x v="754"/>
    <x v="1"/>
    <x v="1"/>
    <x v="1"/>
    <s v="Delivered"/>
    <n v="755"/>
    <n v="342"/>
    <x v="10"/>
    <x v="8"/>
    <x v="10"/>
    <x v="2"/>
    <x v="11"/>
    <m/>
  </r>
  <r>
    <d v="2025-01-17T00:00:00"/>
    <x v="3"/>
    <s v="Containers"/>
    <s v="1L"/>
    <x v="378"/>
    <x v="3"/>
    <x v="822"/>
    <n v="3"/>
    <n v="42"/>
    <x v="755"/>
    <x v="0"/>
    <x v="1"/>
    <x v="0"/>
    <s v="Delayed"/>
    <n v="859"/>
    <n v="14"/>
    <x v="14"/>
    <x v="6"/>
    <x v="13"/>
    <x v="2"/>
    <x v="1"/>
    <m/>
  </r>
  <r>
    <d v="2025-01-18T00:00:00"/>
    <x v="4"/>
    <s v="Plates &amp; Bowls"/>
    <s v="500ml"/>
    <x v="291"/>
    <x v="4"/>
    <x v="823"/>
    <n v="1.5"/>
    <n v="168"/>
    <x v="756"/>
    <x v="0"/>
    <x v="3"/>
    <x v="0"/>
    <s v="Returned"/>
    <n v="925"/>
    <n v="112"/>
    <x v="11"/>
    <x v="9"/>
    <x v="11"/>
    <x v="3"/>
    <x v="0"/>
    <m/>
  </r>
  <r>
    <d v="2025-01-19T00:00:00"/>
    <x v="3"/>
    <s v="Containers"/>
    <s v="1L"/>
    <x v="112"/>
    <x v="3"/>
    <x v="409"/>
    <n v="3"/>
    <n v="108"/>
    <x v="114"/>
    <x v="1"/>
    <x v="1"/>
    <x v="1"/>
    <s v="Delayed"/>
    <n v="514"/>
    <n v="36"/>
    <x v="0"/>
    <x v="0"/>
    <x v="0"/>
    <x v="0"/>
    <x v="11"/>
    <m/>
  </r>
  <r>
    <d v="2025-01-20T00:00:00"/>
    <x v="4"/>
    <s v="Plates &amp; Bowls"/>
    <s v="500ml"/>
    <x v="245"/>
    <x v="4"/>
    <x v="684"/>
    <n v="1.5"/>
    <n v="384"/>
    <x v="641"/>
    <x v="1"/>
    <x v="0"/>
    <x v="0"/>
    <s v="Returned"/>
    <n v="875"/>
    <n v="256"/>
    <x v="9"/>
    <x v="7"/>
    <x v="9"/>
    <x v="2"/>
    <x v="9"/>
    <m/>
  </r>
  <r>
    <d v="2025-01-21T00:00:00"/>
    <x v="0"/>
    <s v="Takeaway Boxes"/>
    <s v="Large"/>
    <x v="210"/>
    <x v="0"/>
    <x v="633"/>
    <n v="5"/>
    <n v="1850"/>
    <x v="757"/>
    <x v="2"/>
    <x v="3"/>
    <x v="2"/>
    <s v="Returned"/>
    <n v="771"/>
    <n v="370"/>
    <x v="12"/>
    <x v="3"/>
    <x v="10"/>
    <x v="1"/>
    <x v="10"/>
    <m/>
  </r>
  <r>
    <d v="2025-01-22T00:00:00"/>
    <x v="1"/>
    <s v="Glass &amp; Bottles"/>
    <s v="750ml"/>
    <x v="431"/>
    <x v="1"/>
    <x v="824"/>
    <n v="12"/>
    <n v="4560"/>
    <x v="758"/>
    <x v="2"/>
    <x v="2"/>
    <x v="2"/>
    <s v="Returned"/>
    <n v="812"/>
    <n v="380"/>
    <x v="6"/>
    <x v="4"/>
    <x v="6"/>
    <x v="4"/>
    <x v="8"/>
    <m/>
  </r>
  <r>
    <d v="2025-01-23T00:00:00"/>
    <x v="2"/>
    <s v="Housekeeping Items"/>
    <s v="Standard"/>
    <x v="115"/>
    <x v="2"/>
    <x v="120"/>
    <n v="100"/>
    <n v="14000"/>
    <x v="117"/>
    <x v="1"/>
    <x v="1"/>
    <x v="1"/>
    <s v="Delivered"/>
    <n v="513"/>
    <n v="140"/>
    <x v="19"/>
    <x v="13"/>
    <x v="18"/>
    <x v="0"/>
    <x v="7"/>
    <m/>
  </r>
  <r>
    <d v="2025-01-24T00:00:00"/>
    <x v="4"/>
    <s v="Plates &amp; Bowls"/>
    <s v="500ml"/>
    <x v="254"/>
    <x v="4"/>
    <x v="825"/>
    <n v="1.5"/>
    <n v="543"/>
    <x v="499"/>
    <x v="0"/>
    <x v="2"/>
    <x v="0"/>
    <s v="Returned"/>
    <n v="697"/>
    <n v="362"/>
    <x v="5"/>
    <x v="0"/>
    <x v="5"/>
    <x v="0"/>
    <x v="7"/>
    <m/>
  </r>
  <r>
    <d v="2025-01-25T00:00:00"/>
    <x v="3"/>
    <s v="Containers"/>
    <s v="1L"/>
    <x v="262"/>
    <x v="3"/>
    <x v="826"/>
    <n v="3"/>
    <n v="1455"/>
    <x v="314"/>
    <x v="0"/>
    <x v="1"/>
    <x v="1"/>
    <s v="Delivered"/>
    <n v="972"/>
    <n v="485"/>
    <x v="14"/>
    <x v="6"/>
    <x v="13"/>
    <x v="0"/>
    <x v="9"/>
    <m/>
  </r>
  <r>
    <d v="2025-01-26T00:00:00"/>
    <x v="4"/>
    <s v="Plates &amp; Bowls"/>
    <s v="500ml"/>
    <x v="102"/>
    <x v="4"/>
    <x v="827"/>
    <n v="1.5"/>
    <n v="565.5"/>
    <x v="759"/>
    <x v="0"/>
    <x v="1"/>
    <x v="0"/>
    <s v="Delayed"/>
    <n v="505"/>
    <n v="377"/>
    <x v="12"/>
    <x v="3"/>
    <x v="10"/>
    <x v="1"/>
    <x v="1"/>
    <m/>
  </r>
  <r>
    <d v="2025-01-27T00:00:00"/>
    <x v="2"/>
    <s v="Housekeeping Items"/>
    <s v="Standard"/>
    <x v="308"/>
    <x v="2"/>
    <x v="828"/>
    <n v="100"/>
    <n v="31400"/>
    <x v="760"/>
    <x v="2"/>
    <x v="0"/>
    <x v="1"/>
    <s v="Delayed"/>
    <n v="583"/>
    <n v="314"/>
    <x v="8"/>
    <x v="6"/>
    <x v="8"/>
    <x v="1"/>
    <x v="10"/>
    <m/>
  </r>
  <r>
    <d v="2025-01-28T00:00:00"/>
    <x v="4"/>
    <s v="Plates &amp; Bowls"/>
    <s v="500ml"/>
    <x v="436"/>
    <x v="4"/>
    <x v="346"/>
    <n v="1.5"/>
    <n v="552"/>
    <x v="328"/>
    <x v="0"/>
    <x v="1"/>
    <x v="2"/>
    <s v="Delayed"/>
    <n v="682"/>
    <n v="368"/>
    <x v="6"/>
    <x v="4"/>
    <x v="6"/>
    <x v="4"/>
    <x v="7"/>
    <m/>
  </r>
  <r>
    <d v="2025-01-29T00:00:00"/>
    <x v="3"/>
    <s v="Containers"/>
    <s v="1L"/>
    <x v="50"/>
    <x v="3"/>
    <x v="285"/>
    <n v="3"/>
    <n v="1023"/>
    <x v="276"/>
    <x v="1"/>
    <x v="3"/>
    <x v="1"/>
    <s v="Returned"/>
    <n v="733"/>
    <n v="341"/>
    <x v="3"/>
    <x v="2"/>
    <x v="3"/>
    <x v="2"/>
    <x v="5"/>
    <m/>
  </r>
  <r>
    <d v="2025-01-30T00:00:00"/>
    <x v="1"/>
    <s v="Glass &amp; Bottles"/>
    <s v="750ml"/>
    <x v="431"/>
    <x v="1"/>
    <x v="824"/>
    <n v="12"/>
    <n v="4560"/>
    <x v="758"/>
    <x v="2"/>
    <x v="3"/>
    <x v="0"/>
    <s v="Delivered"/>
    <n v="520"/>
    <n v="380"/>
    <x v="6"/>
    <x v="4"/>
    <x v="6"/>
    <x v="2"/>
    <x v="0"/>
    <m/>
  </r>
  <r>
    <d v="2025-01-31T00:00:00"/>
    <x v="5"/>
    <s v="Cutlery"/>
    <s v="3pcs"/>
    <x v="326"/>
    <x v="5"/>
    <x v="829"/>
    <n v="4"/>
    <n v="812"/>
    <x v="761"/>
    <x v="0"/>
    <x v="0"/>
    <x v="1"/>
    <s v="Returned"/>
    <n v="605"/>
    <n v="203"/>
    <x v="11"/>
    <x v="9"/>
    <x v="11"/>
    <x v="0"/>
    <x v="9"/>
    <m/>
  </r>
  <r>
    <d v="2025-02-01T00:00:00"/>
    <x v="0"/>
    <s v="Takeaway Boxes"/>
    <s v="Large"/>
    <x v="190"/>
    <x v="0"/>
    <x v="830"/>
    <n v="5"/>
    <n v="600"/>
    <x v="679"/>
    <x v="0"/>
    <x v="2"/>
    <x v="1"/>
    <s v="Returned"/>
    <n v="736"/>
    <n v="120"/>
    <x v="1"/>
    <x v="1"/>
    <x v="1"/>
    <x v="1"/>
    <x v="1"/>
    <m/>
  </r>
  <r>
    <d v="2025-02-02T00:00:00"/>
    <x v="4"/>
    <s v="Plates &amp; Bowls"/>
    <s v="500ml"/>
    <x v="304"/>
    <x v="4"/>
    <x v="831"/>
    <n v="1.5"/>
    <n v="672"/>
    <x v="762"/>
    <x v="1"/>
    <x v="3"/>
    <x v="0"/>
    <s v="Delayed"/>
    <n v="812"/>
    <n v="448"/>
    <x v="7"/>
    <x v="5"/>
    <x v="7"/>
    <x v="4"/>
    <x v="8"/>
    <m/>
  </r>
  <r>
    <d v="2025-02-03T00:00:00"/>
    <x v="3"/>
    <s v="Containers"/>
    <s v="1L"/>
    <x v="22"/>
    <x v="3"/>
    <x v="174"/>
    <n v="3"/>
    <n v="207"/>
    <x v="23"/>
    <x v="2"/>
    <x v="0"/>
    <x v="0"/>
    <s v="Delivered"/>
    <n v="709"/>
    <n v="69"/>
    <x v="19"/>
    <x v="13"/>
    <x v="18"/>
    <x v="3"/>
    <x v="8"/>
    <m/>
  </r>
  <r>
    <d v="2025-02-04T00:00:00"/>
    <x v="5"/>
    <s v="Cutlery"/>
    <s v="3pcs"/>
    <x v="36"/>
    <x v="5"/>
    <x v="580"/>
    <n v="4"/>
    <n v="512"/>
    <x v="641"/>
    <x v="1"/>
    <x v="2"/>
    <x v="1"/>
    <s v="Delivered"/>
    <n v="787"/>
    <n v="128"/>
    <x v="2"/>
    <x v="2"/>
    <x v="2"/>
    <x v="4"/>
    <x v="5"/>
    <m/>
  </r>
  <r>
    <d v="2025-02-05T00:00:00"/>
    <x v="4"/>
    <s v="Plates &amp; Bowls"/>
    <s v="500ml"/>
    <x v="338"/>
    <x v="4"/>
    <x v="832"/>
    <n v="1.5"/>
    <n v="213"/>
    <x v="41"/>
    <x v="1"/>
    <x v="3"/>
    <x v="0"/>
    <s v="Delivered"/>
    <n v="791"/>
    <n v="142"/>
    <x v="2"/>
    <x v="2"/>
    <x v="2"/>
    <x v="4"/>
    <x v="11"/>
    <m/>
  </r>
  <r>
    <d v="2025-02-06T00:00:00"/>
    <x v="2"/>
    <s v="Housekeeping Items"/>
    <s v="Standard"/>
    <x v="143"/>
    <x v="2"/>
    <x v="833"/>
    <n v="100"/>
    <n v="11700"/>
    <x v="763"/>
    <x v="0"/>
    <x v="0"/>
    <x v="0"/>
    <s v="Delayed"/>
    <n v="834"/>
    <n v="117"/>
    <x v="15"/>
    <x v="10"/>
    <x v="14"/>
    <x v="3"/>
    <x v="2"/>
    <m/>
  </r>
  <r>
    <d v="2025-02-07T00:00:00"/>
    <x v="1"/>
    <s v="Glass &amp; Bottles"/>
    <s v="750ml"/>
    <x v="205"/>
    <x v="1"/>
    <x v="834"/>
    <n v="12"/>
    <n v="3048"/>
    <x v="764"/>
    <x v="2"/>
    <x v="2"/>
    <x v="0"/>
    <s v="Delivered"/>
    <n v="831"/>
    <n v="254"/>
    <x v="13"/>
    <x v="2"/>
    <x v="12"/>
    <x v="2"/>
    <x v="7"/>
    <m/>
  </r>
  <r>
    <d v="2025-02-08T00:00:00"/>
    <x v="1"/>
    <s v="Glass &amp; Bottles"/>
    <s v="750ml"/>
    <x v="347"/>
    <x v="1"/>
    <x v="835"/>
    <n v="12"/>
    <n v="1968"/>
    <x v="765"/>
    <x v="0"/>
    <x v="0"/>
    <x v="2"/>
    <s v="Delivered"/>
    <n v="866"/>
    <n v="164"/>
    <x v="0"/>
    <x v="0"/>
    <x v="0"/>
    <x v="2"/>
    <x v="10"/>
    <m/>
  </r>
  <r>
    <d v="2025-02-09T00:00:00"/>
    <x v="3"/>
    <s v="Containers"/>
    <s v="1L"/>
    <x v="437"/>
    <x v="3"/>
    <x v="836"/>
    <n v="3"/>
    <n v="528"/>
    <x v="766"/>
    <x v="1"/>
    <x v="0"/>
    <x v="0"/>
    <s v="Delivered"/>
    <n v="690"/>
    <n v="176"/>
    <x v="12"/>
    <x v="3"/>
    <x v="10"/>
    <x v="4"/>
    <x v="10"/>
    <m/>
  </r>
  <r>
    <d v="2025-02-10T00:00:00"/>
    <x v="3"/>
    <s v="Containers"/>
    <s v="1L"/>
    <x v="33"/>
    <x v="3"/>
    <x v="837"/>
    <n v="3"/>
    <n v="792"/>
    <x v="767"/>
    <x v="0"/>
    <x v="2"/>
    <x v="0"/>
    <s v="Returned"/>
    <n v="756"/>
    <n v="264"/>
    <x v="18"/>
    <x v="12"/>
    <x v="17"/>
    <x v="3"/>
    <x v="2"/>
    <m/>
  </r>
  <r>
    <d v="2025-02-11T00:00:00"/>
    <x v="0"/>
    <s v="Takeaway Boxes"/>
    <s v="Large"/>
    <x v="380"/>
    <x v="0"/>
    <x v="838"/>
    <n v="5"/>
    <n v="2080"/>
    <x v="463"/>
    <x v="2"/>
    <x v="0"/>
    <x v="2"/>
    <s v="Delayed"/>
    <n v="671"/>
    <n v="416"/>
    <x v="7"/>
    <x v="5"/>
    <x v="7"/>
    <x v="1"/>
    <x v="2"/>
    <m/>
  </r>
  <r>
    <d v="2025-02-12T00:00:00"/>
    <x v="1"/>
    <s v="Glass &amp; Bottles"/>
    <s v="750ml"/>
    <x v="205"/>
    <x v="1"/>
    <x v="834"/>
    <n v="12"/>
    <n v="3048"/>
    <x v="764"/>
    <x v="2"/>
    <x v="0"/>
    <x v="2"/>
    <s v="Returned"/>
    <n v="738"/>
    <n v="254"/>
    <x v="12"/>
    <x v="3"/>
    <x v="10"/>
    <x v="0"/>
    <x v="4"/>
    <m/>
  </r>
  <r>
    <d v="2025-02-13T00:00:00"/>
    <x v="4"/>
    <s v="Plates &amp; Bowls"/>
    <s v="500ml"/>
    <x v="155"/>
    <x v="4"/>
    <x v="839"/>
    <n v="1.5"/>
    <n v="436.5"/>
    <x v="376"/>
    <x v="1"/>
    <x v="1"/>
    <x v="0"/>
    <s v="Delivered"/>
    <n v="989"/>
    <n v="291"/>
    <x v="6"/>
    <x v="4"/>
    <x v="6"/>
    <x v="2"/>
    <x v="0"/>
    <m/>
  </r>
  <r>
    <d v="2025-02-14T00:00:00"/>
    <x v="1"/>
    <s v="Glass &amp; Bottles"/>
    <s v="750ml"/>
    <x v="99"/>
    <x v="1"/>
    <x v="340"/>
    <n v="12"/>
    <n v="4488"/>
    <x v="322"/>
    <x v="0"/>
    <x v="3"/>
    <x v="2"/>
    <s v="Delayed"/>
    <n v="709"/>
    <n v="374"/>
    <x v="8"/>
    <x v="6"/>
    <x v="8"/>
    <x v="1"/>
    <x v="10"/>
    <m/>
  </r>
  <r>
    <d v="2025-02-15T00:00:00"/>
    <x v="3"/>
    <s v="Containers"/>
    <s v="1L"/>
    <x v="149"/>
    <x v="3"/>
    <x v="219"/>
    <n v="3"/>
    <n v="480"/>
    <x v="213"/>
    <x v="2"/>
    <x v="0"/>
    <x v="2"/>
    <s v="Returned"/>
    <n v="720"/>
    <n v="160"/>
    <x v="3"/>
    <x v="2"/>
    <x v="3"/>
    <x v="0"/>
    <x v="8"/>
    <m/>
  </r>
  <r>
    <d v="2025-02-16T00:00:00"/>
    <x v="1"/>
    <s v="Glass &amp; Bottles"/>
    <s v="750ml"/>
    <x v="107"/>
    <x v="1"/>
    <x v="840"/>
    <n v="12"/>
    <n v="1248"/>
    <x v="562"/>
    <x v="0"/>
    <x v="2"/>
    <x v="1"/>
    <s v="Delivered"/>
    <n v="862"/>
    <n v="104"/>
    <x v="3"/>
    <x v="2"/>
    <x v="3"/>
    <x v="2"/>
    <x v="11"/>
    <m/>
  </r>
  <r>
    <d v="2025-02-17T00:00:00"/>
    <x v="1"/>
    <s v="Glass &amp; Bottles"/>
    <s v="750ml"/>
    <x v="156"/>
    <x v="1"/>
    <x v="841"/>
    <n v="12"/>
    <n v="2688"/>
    <x v="768"/>
    <x v="1"/>
    <x v="3"/>
    <x v="0"/>
    <s v="Delivered"/>
    <n v="894"/>
    <n v="224"/>
    <x v="11"/>
    <x v="9"/>
    <x v="11"/>
    <x v="1"/>
    <x v="2"/>
    <m/>
  </r>
  <r>
    <d v="2025-02-18T00:00:00"/>
    <x v="1"/>
    <s v="Glass &amp; Bottles"/>
    <s v="750ml"/>
    <x v="383"/>
    <x v="1"/>
    <x v="842"/>
    <n v="12"/>
    <n v="2976"/>
    <x v="769"/>
    <x v="1"/>
    <x v="1"/>
    <x v="1"/>
    <s v="Delivered"/>
    <n v="967"/>
    <n v="248"/>
    <x v="8"/>
    <x v="6"/>
    <x v="8"/>
    <x v="3"/>
    <x v="4"/>
    <m/>
  </r>
  <r>
    <d v="2025-02-19T00:00:00"/>
    <x v="4"/>
    <s v="Plates &amp; Bowls"/>
    <s v="500ml"/>
    <x v="302"/>
    <x v="4"/>
    <x v="417"/>
    <n v="1.5"/>
    <n v="709.5"/>
    <x v="392"/>
    <x v="1"/>
    <x v="1"/>
    <x v="1"/>
    <s v="Returned"/>
    <n v="547"/>
    <n v="473"/>
    <x v="16"/>
    <x v="4"/>
    <x v="15"/>
    <x v="3"/>
    <x v="3"/>
    <m/>
  </r>
  <r>
    <d v="2025-02-20T00:00:00"/>
    <x v="4"/>
    <s v="Plates &amp; Bowls"/>
    <s v="500ml"/>
    <x v="185"/>
    <x v="4"/>
    <x v="843"/>
    <n v="1.5"/>
    <n v="64.5"/>
    <x v="770"/>
    <x v="2"/>
    <x v="0"/>
    <x v="0"/>
    <s v="Returned"/>
    <n v="855"/>
    <n v="43"/>
    <x v="10"/>
    <x v="8"/>
    <x v="10"/>
    <x v="4"/>
    <x v="9"/>
    <m/>
  </r>
  <r>
    <d v="2025-02-21T00:00:00"/>
    <x v="3"/>
    <s v="Containers"/>
    <s v="1L"/>
    <x v="283"/>
    <x v="3"/>
    <x v="656"/>
    <n v="3"/>
    <n v="1092"/>
    <x v="617"/>
    <x v="2"/>
    <x v="1"/>
    <x v="0"/>
    <s v="Delayed"/>
    <n v="687"/>
    <n v="364"/>
    <x v="6"/>
    <x v="4"/>
    <x v="6"/>
    <x v="2"/>
    <x v="2"/>
    <m/>
  </r>
  <r>
    <d v="2025-02-22T00:00:00"/>
    <x v="3"/>
    <s v="Containers"/>
    <s v="1L"/>
    <x v="390"/>
    <x v="3"/>
    <x v="844"/>
    <n v="3"/>
    <n v="747"/>
    <x v="163"/>
    <x v="0"/>
    <x v="1"/>
    <x v="2"/>
    <s v="Returned"/>
    <n v="937"/>
    <n v="249"/>
    <x v="6"/>
    <x v="4"/>
    <x v="6"/>
    <x v="1"/>
    <x v="4"/>
    <m/>
  </r>
  <r>
    <d v="2025-02-23T00:00:00"/>
    <x v="4"/>
    <s v="Plates &amp; Bowls"/>
    <s v="500ml"/>
    <x v="85"/>
    <x v="4"/>
    <x v="395"/>
    <n v="1.5"/>
    <n v="291"/>
    <x v="373"/>
    <x v="1"/>
    <x v="1"/>
    <x v="0"/>
    <s v="Returned"/>
    <n v="843"/>
    <n v="194"/>
    <x v="15"/>
    <x v="10"/>
    <x v="14"/>
    <x v="0"/>
    <x v="2"/>
    <m/>
  </r>
  <r>
    <d v="2025-02-24T00:00:00"/>
    <x v="3"/>
    <s v="Containers"/>
    <s v="1L"/>
    <x v="41"/>
    <x v="3"/>
    <x v="832"/>
    <n v="3"/>
    <n v="213"/>
    <x v="41"/>
    <x v="0"/>
    <x v="2"/>
    <x v="1"/>
    <s v="Delayed"/>
    <n v="745"/>
    <n v="71"/>
    <x v="18"/>
    <x v="12"/>
    <x v="17"/>
    <x v="1"/>
    <x v="4"/>
    <m/>
  </r>
  <r>
    <d v="2025-02-25T00:00:00"/>
    <x v="0"/>
    <s v="Takeaway Boxes"/>
    <s v="Large"/>
    <x v="240"/>
    <x v="0"/>
    <x v="326"/>
    <n v="5"/>
    <n v="2020"/>
    <x v="311"/>
    <x v="2"/>
    <x v="1"/>
    <x v="1"/>
    <s v="Delivered"/>
    <n v="590"/>
    <n v="404"/>
    <x v="8"/>
    <x v="6"/>
    <x v="8"/>
    <x v="0"/>
    <x v="5"/>
    <m/>
  </r>
  <r>
    <d v="2025-02-26T00:00:00"/>
    <x v="0"/>
    <s v="Takeaway Boxes"/>
    <s v="Large"/>
    <x v="286"/>
    <x v="0"/>
    <x v="613"/>
    <n v="5"/>
    <n v="150"/>
    <x v="77"/>
    <x v="2"/>
    <x v="0"/>
    <x v="1"/>
    <s v="Delivered"/>
    <n v="717"/>
    <n v="30"/>
    <x v="17"/>
    <x v="11"/>
    <x v="16"/>
    <x v="4"/>
    <x v="9"/>
    <m/>
  </r>
  <r>
    <d v="2025-02-27T00:00:00"/>
    <x v="4"/>
    <s v="Plates &amp; Bowls"/>
    <s v="500ml"/>
    <x v="108"/>
    <x v="4"/>
    <x v="845"/>
    <n v="1.5"/>
    <n v="450"/>
    <x v="337"/>
    <x v="1"/>
    <x v="2"/>
    <x v="2"/>
    <s v="Delayed"/>
    <n v="861"/>
    <n v="300"/>
    <x v="16"/>
    <x v="4"/>
    <x v="15"/>
    <x v="0"/>
    <x v="8"/>
    <m/>
  </r>
  <r>
    <d v="2025-02-28T00:00:00"/>
    <x v="5"/>
    <s v="Cutlery"/>
    <s v="3pcs"/>
    <x v="328"/>
    <x v="5"/>
    <x v="483"/>
    <n v="4"/>
    <n v="1564"/>
    <x v="455"/>
    <x v="1"/>
    <x v="1"/>
    <x v="1"/>
    <s v="Delayed"/>
    <n v="813"/>
    <n v="391"/>
    <x v="10"/>
    <x v="8"/>
    <x v="10"/>
    <x v="2"/>
    <x v="6"/>
    <m/>
  </r>
  <r>
    <d v="2025-03-01T00:00:00"/>
    <x v="4"/>
    <s v="Plates &amp; Bowls"/>
    <s v="500ml"/>
    <x v="20"/>
    <x v="4"/>
    <x v="846"/>
    <n v="1.5"/>
    <n v="153"/>
    <x v="647"/>
    <x v="0"/>
    <x v="2"/>
    <x v="2"/>
    <s v="Delayed"/>
    <n v="805"/>
    <n v="102"/>
    <x v="9"/>
    <x v="7"/>
    <x v="9"/>
    <x v="1"/>
    <x v="7"/>
    <m/>
  </r>
  <r>
    <d v="2025-03-02T00:00:00"/>
    <x v="1"/>
    <s v="Glass &amp; Bottles"/>
    <s v="750ml"/>
    <x v="43"/>
    <x v="1"/>
    <x v="847"/>
    <n v="12"/>
    <n v="5016"/>
    <x v="771"/>
    <x v="1"/>
    <x v="3"/>
    <x v="0"/>
    <s v="Delivered"/>
    <n v="755"/>
    <n v="418"/>
    <x v="5"/>
    <x v="0"/>
    <x v="5"/>
    <x v="4"/>
    <x v="10"/>
    <m/>
  </r>
  <r>
    <d v="2025-03-03T00:00:00"/>
    <x v="3"/>
    <s v="Containers"/>
    <s v="1L"/>
    <x v="340"/>
    <x v="3"/>
    <x v="776"/>
    <n v="3"/>
    <n v="1392"/>
    <x v="676"/>
    <x v="2"/>
    <x v="2"/>
    <x v="1"/>
    <s v="Delayed"/>
    <n v="779"/>
    <n v="464"/>
    <x v="4"/>
    <x v="3"/>
    <x v="4"/>
    <x v="3"/>
    <x v="11"/>
    <m/>
  </r>
  <r>
    <d v="2025-03-04T00:00:00"/>
    <x v="1"/>
    <s v="Glass &amp; Bottles"/>
    <s v="750ml"/>
    <x v="209"/>
    <x v="1"/>
    <x v="848"/>
    <n v="12"/>
    <n v="4884"/>
    <x v="772"/>
    <x v="0"/>
    <x v="2"/>
    <x v="1"/>
    <s v="Delivered"/>
    <n v="734"/>
    <n v="407"/>
    <x v="17"/>
    <x v="11"/>
    <x v="16"/>
    <x v="0"/>
    <x v="9"/>
    <m/>
  </r>
  <r>
    <d v="2025-03-05T00:00:00"/>
    <x v="3"/>
    <s v="Containers"/>
    <s v="1L"/>
    <x v="438"/>
    <x v="3"/>
    <x v="741"/>
    <n v="3"/>
    <n v="1332"/>
    <x v="773"/>
    <x v="0"/>
    <x v="0"/>
    <x v="0"/>
    <s v="Delayed"/>
    <n v="766"/>
    <n v="444"/>
    <x v="6"/>
    <x v="4"/>
    <x v="6"/>
    <x v="3"/>
    <x v="3"/>
    <m/>
  </r>
  <r>
    <d v="2025-03-06T00:00:00"/>
    <x v="3"/>
    <s v="Containers"/>
    <s v="1L"/>
    <x v="439"/>
    <x v="3"/>
    <x v="849"/>
    <n v="3"/>
    <n v="837"/>
    <x v="225"/>
    <x v="2"/>
    <x v="3"/>
    <x v="2"/>
    <s v="Delayed"/>
    <n v="748"/>
    <n v="279"/>
    <x v="14"/>
    <x v="6"/>
    <x v="13"/>
    <x v="0"/>
    <x v="1"/>
    <m/>
  </r>
  <r>
    <d v="2025-03-07T00:00:00"/>
    <x v="5"/>
    <s v="Cutlery"/>
    <s v="3pcs"/>
    <x v="101"/>
    <x v="5"/>
    <x v="130"/>
    <n v="4"/>
    <n v="608"/>
    <x v="774"/>
    <x v="2"/>
    <x v="3"/>
    <x v="2"/>
    <s v="Returned"/>
    <n v="570"/>
    <n v="152"/>
    <x v="3"/>
    <x v="2"/>
    <x v="3"/>
    <x v="2"/>
    <x v="2"/>
    <m/>
  </r>
  <r>
    <d v="2025-03-08T00:00:00"/>
    <x v="2"/>
    <s v="Housekeeping Items"/>
    <s v="Standard"/>
    <x v="91"/>
    <x v="2"/>
    <x v="746"/>
    <n v="100"/>
    <n v="22200"/>
    <x v="691"/>
    <x v="0"/>
    <x v="3"/>
    <x v="2"/>
    <s v="Delivered"/>
    <n v="998"/>
    <n v="222"/>
    <x v="5"/>
    <x v="0"/>
    <x v="5"/>
    <x v="1"/>
    <x v="0"/>
    <m/>
  </r>
  <r>
    <d v="2025-03-09T00:00:00"/>
    <x v="5"/>
    <s v="Cutlery"/>
    <s v="3pcs"/>
    <x v="15"/>
    <x v="5"/>
    <x v="850"/>
    <n v="4"/>
    <n v="1476"/>
    <x v="775"/>
    <x v="2"/>
    <x v="3"/>
    <x v="2"/>
    <s v="Delayed"/>
    <n v="796"/>
    <n v="369"/>
    <x v="8"/>
    <x v="6"/>
    <x v="8"/>
    <x v="0"/>
    <x v="5"/>
    <m/>
  </r>
  <r>
    <d v="2025-03-10T00:00:00"/>
    <x v="5"/>
    <s v="Cutlery"/>
    <s v="3pcs"/>
    <x v="60"/>
    <x v="5"/>
    <x v="851"/>
    <n v="4"/>
    <n v="256"/>
    <x v="36"/>
    <x v="1"/>
    <x v="1"/>
    <x v="2"/>
    <s v="Delivered"/>
    <n v="655"/>
    <n v="64"/>
    <x v="7"/>
    <x v="5"/>
    <x v="7"/>
    <x v="4"/>
    <x v="2"/>
    <m/>
  </r>
  <r>
    <d v="2025-03-11T00:00:00"/>
    <x v="2"/>
    <s v="Housekeeping Items"/>
    <s v="Standard"/>
    <x v="440"/>
    <x v="2"/>
    <x v="852"/>
    <n v="100"/>
    <n v="12900"/>
    <x v="776"/>
    <x v="0"/>
    <x v="1"/>
    <x v="1"/>
    <s v="Returned"/>
    <n v="560"/>
    <n v="129"/>
    <x v="12"/>
    <x v="3"/>
    <x v="10"/>
    <x v="4"/>
    <x v="11"/>
    <m/>
  </r>
  <r>
    <d v="2025-03-12T00:00:00"/>
    <x v="0"/>
    <s v="Takeaway Boxes"/>
    <s v="Large"/>
    <x v="203"/>
    <x v="0"/>
    <x v="474"/>
    <n v="5"/>
    <n v="1685"/>
    <x v="447"/>
    <x v="2"/>
    <x v="2"/>
    <x v="0"/>
    <s v="Returned"/>
    <n v="723"/>
    <n v="337"/>
    <x v="17"/>
    <x v="11"/>
    <x v="16"/>
    <x v="3"/>
    <x v="9"/>
    <m/>
  </r>
  <r>
    <d v="2025-03-13T00:00:00"/>
    <x v="4"/>
    <s v="Plates &amp; Bowls"/>
    <s v="500ml"/>
    <x v="1"/>
    <x v="4"/>
    <x v="853"/>
    <n v="1.5"/>
    <n v="294"/>
    <x v="777"/>
    <x v="0"/>
    <x v="1"/>
    <x v="1"/>
    <s v="Returned"/>
    <n v="937"/>
    <n v="196"/>
    <x v="1"/>
    <x v="1"/>
    <x v="1"/>
    <x v="2"/>
    <x v="7"/>
    <m/>
  </r>
  <r>
    <d v="2025-03-14T00:00:00"/>
    <x v="4"/>
    <s v="Plates &amp; Bowls"/>
    <s v="500ml"/>
    <x v="439"/>
    <x v="4"/>
    <x v="854"/>
    <n v="1.5"/>
    <n v="418.5"/>
    <x v="778"/>
    <x v="0"/>
    <x v="3"/>
    <x v="1"/>
    <s v="Returned"/>
    <n v="977"/>
    <n v="279"/>
    <x v="15"/>
    <x v="10"/>
    <x v="14"/>
    <x v="1"/>
    <x v="7"/>
    <m/>
  </r>
  <r>
    <d v="2025-03-15T00:00:00"/>
    <x v="2"/>
    <s v="Housekeeping Items"/>
    <s v="Standard"/>
    <x v="145"/>
    <x v="2"/>
    <x v="517"/>
    <n v="100"/>
    <n v="20000"/>
    <x v="489"/>
    <x v="2"/>
    <x v="1"/>
    <x v="0"/>
    <s v="Delayed"/>
    <n v="650"/>
    <n v="200"/>
    <x v="7"/>
    <x v="5"/>
    <x v="7"/>
    <x v="2"/>
    <x v="6"/>
    <m/>
  </r>
  <r>
    <d v="2025-03-16T00:00:00"/>
    <x v="1"/>
    <s v="Glass &amp; Bottles"/>
    <s v="750ml"/>
    <x v="441"/>
    <x v="1"/>
    <x v="855"/>
    <n v="12"/>
    <n v="2580"/>
    <x v="779"/>
    <x v="0"/>
    <x v="3"/>
    <x v="2"/>
    <s v="Delayed"/>
    <n v="979"/>
    <n v="215"/>
    <x v="10"/>
    <x v="8"/>
    <x v="10"/>
    <x v="4"/>
    <x v="6"/>
    <m/>
  </r>
  <r>
    <d v="2025-03-17T00:00:00"/>
    <x v="2"/>
    <s v="Housekeeping Items"/>
    <s v="Standard"/>
    <x v="150"/>
    <x v="2"/>
    <x v="545"/>
    <n v="100"/>
    <n v="33400"/>
    <x v="518"/>
    <x v="2"/>
    <x v="2"/>
    <x v="2"/>
    <s v="Delivered"/>
    <n v="657"/>
    <n v="334"/>
    <x v="9"/>
    <x v="7"/>
    <x v="9"/>
    <x v="4"/>
    <x v="8"/>
    <m/>
  </r>
  <r>
    <d v="2025-03-18T00:00:00"/>
    <x v="3"/>
    <s v="Containers"/>
    <s v="1L"/>
    <x v="377"/>
    <x v="3"/>
    <x v="856"/>
    <n v="3"/>
    <n v="432"/>
    <x v="549"/>
    <x v="0"/>
    <x v="3"/>
    <x v="1"/>
    <s v="Delivered"/>
    <n v="930"/>
    <n v="144"/>
    <x v="14"/>
    <x v="6"/>
    <x v="13"/>
    <x v="2"/>
    <x v="0"/>
    <m/>
  </r>
  <r>
    <d v="2025-03-19T00:00:00"/>
    <x v="3"/>
    <s v="Containers"/>
    <s v="1L"/>
    <x v="112"/>
    <x v="3"/>
    <x v="409"/>
    <n v="3"/>
    <n v="108"/>
    <x v="114"/>
    <x v="1"/>
    <x v="0"/>
    <x v="0"/>
    <s v="Delivered"/>
    <n v="989"/>
    <n v="36"/>
    <x v="7"/>
    <x v="5"/>
    <x v="7"/>
    <x v="3"/>
    <x v="1"/>
    <m/>
  </r>
  <r>
    <d v="2025-03-20T00:00:00"/>
    <x v="5"/>
    <s v="Cutlery"/>
    <s v="3pcs"/>
    <x v="202"/>
    <x v="5"/>
    <x v="857"/>
    <n v="4"/>
    <n v="1780"/>
    <x v="780"/>
    <x v="1"/>
    <x v="0"/>
    <x v="0"/>
    <s v="Delivered"/>
    <n v="889"/>
    <n v="445"/>
    <x v="18"/>
    <x v="12"/>
    <x v="17"/>
    <x v="3"/>
    <x v="0"/>
    <m/>
  </r>
  <r>
    <d v="2025-03-21T00:00:00"/>
    <x v="3"/>
    <s v="Containers"/>
    <s v="1L"/>
    <x v="237"/>
    <x v="3"/>
    <x v="858"/>
    <n v="3"/>
    <n v="372"/>
    <x v="781"/>
    <x v="1"/>
    <x v="3"/>
    <x v="0"/>
    <s v="Returned"/>
    <n v="797"/>
    <n v="124"/>
    <x v="7"/>
    <x v="5"/>
    <x v="7"/>
    <x v="4"/>
    <x v="2"/>
    <m/>
  </r>
  <r>
    <d v="2025-03-22T00:00:00"/>
    <x v="5"/>
    <s v="Cutlery"/>
    <s v="3pcs"/>
    <x v="31"/>
    <x v="5"/>
    <x v="21"/>
    <n v="4"/>
    <n v="1360"/>
    <x v="169"/>
    <x v="0"/>
    <x v="3"/>
    <x v="0"/>
    <s v="Delayed"/>
    <n v="910"/>
    <n v="340"/>
    <x v="1"/>
    <x v="1"/>
    <x v="1"/>
    <x v="2"/>
    <x v="7"/>
    <m/>
  </r>
  <r>
    <d v="2025-03-23T00:00:00"/>
    <x v="0"/>
    <s v="Takeaway Boxes"/>
    <s v="Large"/>
    <x v="37"/>
    <x v="0"/>
    <x v="859"/>
    <n v="5"/>
    <n v="1235"/>
    <x v="782"/>
    <x v="0"/>
    <x v="2"/>
    <x v="2"/>
    <s v="Returned"/>
    <n v="919"/>
    <n v="247"/>
    <x v="17"/>
    <x v="11"/>
    <x v="16"/>
    <x v="4"/>
    <x v="8"/>
    <m/>
  </r>
  <r>
    <d v="2025-03-24T00:00:00"/>
    <x v="0"/>
    <s v="Takeaway Boxes"/>
    <s v="Large"/>
    <x v="192"/>
    <x v="0"/>
    <x v="470"/>
    <n v="5"/>
    <n v="525"/>
    <x v="444"/>
    <x v="1"/>
    <x v="2"/>
    <x v="0"/>
    <s v="Delivered"/>
    <n v="689"/>
    <n v="105"/>
    <x v="10"/>
    <x v="8"/>
    <x v="10"/>
    <x v="0"/>
    <x v="9"/>
    <m/>
  </r>
  <r>
    <d v="2025-03-25T00:00:00"/>
    <x v="5"/>
    <s v="Cutlery"/>
    <s v="3pcs"/>
    <x v="300"/>
    <x v="5"/>
    <x v="635"/>
    <n v="4"/>
    <n v="1840"/>
    <x v="736"/>
    <x v="0"/>
    <x v="1"/>
    <x v="1"/>
    <s v="Delivered"/>
    <n v="597"/>
    <n v="460"/>
    <x v="16"/>
    <x v="4"/>
    <x v="15"/>
    <x v="4"/>
    <x v="11"/>
    <m/>
  </r>
  <r>
    <d v="2025-03-26T00:00:00"/>
    <x v="3"/>
    <s v="Containers"/>
    <s v="1L"/>
    <x v="68"/>
    <x v="3"/>
    <x v="70"/>
    <n v="3"/>
    <n v="810"/>
    <x v="69"/>
    <x v="1"/>
    <x v="2"/>
    <x v="1"/>
    <s v="Delivered"/>
    <n v="867"/>
    <n v="270"/>
    <x v="10"/>
    <x v="8"/>
    <x v="10"/>
    <x v="1"/>
    <x v="10"/>
    <m/>
  </r>
  <r>
    <d v="2025-03-27T00:00:00"/>
    <x v="2"/>
    <s v="Housekeeping Items"/>
    <s v="Standard"/>
    <x v="49"/>
    <x v="2"/>
    <x v="51"/>
    <n v="100"/>
    <n v="25800"/>
    <x v="50"/>
    <x v="2"/>
    <x v="2"/>
    <x v="1"/>
    <s v="Delayed"/>
    <n v="677"/>
    <n v="258"/>
    <x v="15"/>
    <x v="10"/>
    <x v="14"/>
    <x v="4"/>
    <x v="7"/>
    <m/>
  </r>
  <r>
    <d v="2025-03-28T00:00:00"/>
    <x v="2"/>
    <s v="Housekeeping Items"/>
    <s v="Standard"/>
    <x v="318"/>
    <x v="2"/>
    <x v="459"/>
    <n v="100"/>
    <n v="24400"/>
    <x v="434"/>
    <x v="2"/>
    <x v="3"/>
    <x v="1"/>
    <s v="Delivered"/>
    <n v="904"/>
    <n v="244"/>
    <x v="3"/>
    <x v="2"/>
    <x v="3"/>
    <x v="4"/>
    <x v="11"/>
    <m/>
  </r>
  <r>
    <d v="2025-03-29T00:00:00"/>
    <x v="2"/>
    <s v="Housekeeping Items"/>
    <s v="Standard"/>
    <x v="207"/>
    <x v="2"/>
    <x v="860"/>
    <n v="100"/>
    <n v="45400"/>
    <x v="783"/>
    <x v="2"/>
    <x v="2"/>
    <x v="2"/>
    <s v="Returned"/>
    <n v="610"/>
    <n v="454"/>
    <x v="19"/>
    <x v="13"/>
    <x v="18"/>
    <x v="3"/>
    <x v="5"/>
    <m/>
  </r>
  <r>
    <d v="2025-03-30T00:00:00"/>
    <x v="5"/>
    <s v="Cutlery"/>
    <s v="3pcs"/>
    <x v="50"/>
    <x v="5"/>
    <x v="861"/>
    <n v="4"/>
    <n v="1364"/>
    <x v="276"/>
    <x v="0"/>
    <x v="2"/>
    <x v="2"/>
    <s v="Delayed"/>
    <n v="825"/>
    <n v="341"/>
    <x v="16"/>
    <x v="4"/>
    <x v="15"/>
    <x v="3"/>
    <x v="3"/>
    <m/>
  </r>
  <r>
    <d v="2025-03-31T00:00:00"/>
    <x v="1"/>
    <s v="Glass &amp; Bottles"/>
    <s v="750ml"/>
    <x v="162"/>
    <x v="1"/>
    <x v="862"/>
    <n v="12"/>
    <n v="4332"/>
    <x v="784"/>
    <x v="0"/>
    <x v="3"/>
    <x v="2"/>
    <s v="Returned"/>
    <n v="511"/>
    <n v="361"/>
    <x v="6"/>
    <x v="4"/>
    <x v="6"/>
    <x v="3"/>
    <x v="3"/>
    <m/>
  </r>
  <r>
    <d v="2025-04-01T00:00:00"/>
    <x v="2"/>
    <s v="Housekeeping Items"/>
    <s v="Standard"/>
    <x v="442"/>
    <x v="2"/>
    <x v="19"/>
    <n v="100"/>
    <n v="1200"/>
    <x v="530"/>
    <x v="0"/>
    <x v="2"/>
    <x v="1"/>
    <s v="Delivered"/>
    <n v="763"/>
    <n v="12"/>
    <x v="6"/>
    <x v="4"/>
    <x v="6"/>
    <x v="3"/>
    <x v="4"/>
    <m/>
  </r>
  <r>
    <d v="2025-04-02T00:00:00"/>
    <x v="2"/>
    <s v="Housekeeping Items"/>
    <s v="Standard"/>
    <x v="427"/>
    <x v="2"/>
    <x v="863"/>
    <n v="100"/>
    <n v="39300"/>
    <x v="785"/>
    <x v="0"/>
    <x v="1"/>
    <x v="0"/>
    <s v="Delivered"/>
    <n v="583"/>
    <n v="393"/>
    <x v="16"/>
    <x v="4"/>
    <x v="15"/>
    <x v="0"/>
    <x v="8"/>
    <m/>
  </r>
  <r>
    <d v="2025-04-03T00:00:00"/>
    <x v="0"/>
    <s v="Takeaway Boxes"/>
    <s v="Large"/>
    <x v="443"/>
    <x v="0"/>
    <x v="864"/>
    <n v="5"/>
    <n v="1895"/>
    <x v="786"/>
    <x v="1"/>
    <x v="0"/>
    <x v="0"/>
    <s v="Delivered"/>
    <n v="763"/>
    <n v="379"/>
    <x v="1"/>
    <x v="1"/>
    <x v="1"/>
    <x v="3"/>
    <x v="2"/>
    <m/>
  </r>
  <r>
    <d v="2025-04-04T00:00:00"/>
    <x v="1"/>
    <s v="Glass &amp; Bottles"/>
    <s v="750ml"/>
    <x v="204"/>
    <x v="1"/>
    <x v="234"/>
    <n v="12"/>
    <n v="3276"/>
    <x v="228"/>
    <x v="2"/>
    <x v="0"/>
    <x v="1"/>
    <s v="Returned"/>
    <n v="589"/>
    <n v="273"/>
    <x v="9"/>
    <x v="7"/>
    <x v="9"/>
    <x v="2"/>
    <x v="4"/>
    <m/>
  </r>
  <r>
    <d v="2025-04-05T00:00:00"/>
    <x v="4"/>
    <s v="Plates &amp; Bowls"/>
    <s v="500ml"/>
    <x v="444"/>
    <x v="4"/>
    <x v="865"/>
    <n v="1.5"/>
    <n v="577.5"/>
    <x v="787"/>
    <x v="0"/>
    <x v="1"/>
    <x v="0"/>
    <s v="Delayed"/>
    <n v="864"/>
    <n v="385"/>
    <x v="4"/>
    <x v="3"/>
    <x v="4"/>
    <x v="2"/>
    <x v="5"/>
    <m/>
  </r>
  <r>
    <d v="2025-04-06T00:00:00"/>
    <x v="4"/>
    <s v="Plates &amp; Bowls"/>
    <s v="500ml"/>
    <x v="445"/>
    <x v="4"/>
    <x v="866"/>
    <n v="1.5"/>
    <n v="634.5"/>
    <x v="65"/>
    <x v="0"/>
    <x v="2"/>
    <x v="1"/>
    <s v="Delivered"/>
    <n v="584"/>
    <n v="423"/>
    <x v="6"/>
    <x v="4"/>
    <x v="6"/>
    <x v="1"/>
    <x v="4"/>
    <m/>
  </r>
  <r>
    <d v="2025-04-07T00:00:00"/>
    <x v="1"/>
    <s v="Glass &amp; Bottles"/>
    <s v="750ml"/>
    <x v="106"/>
    <x v="1"/>
    <x v="110"/>
    <n v="12"/>
    <n v="396"/>
    <x v="107"/>
    <x v="1"/>
    <x v="1"/>
    <x v="1"/>
    <s v="Returned"/>
    <n v="538"/>
    <n v="33"/>
    <x v="7"/>
    <x v="5"/>
    <x v="7"/>
    <x v="2"/>
    <x v="8"/>
    <m/>
  </r>
  <r>
    <d v="2025-04-08T00:00:00"/>
    <x v="0"/>
    <s v="Takeaway Boxes"/>
    <s v="Large"/>
    <x v="193"/>
    <x v="0"/>
    <x v="867"/>
    <n v="5"/>
    <n v="465"/>
    <x v="778"/>
    <x v="0"/>
    <x v="2"/>
    <x v="2"/>
    <s v="Delayed"/>
    <n v="792"/>
    <n v="93"/>
    <x v="7"/>
    <x v="5"/>
    <x v="7"/>
    <x v="2"/>
    <x v="6"/>
    <m/>
  </r>
  <r>
    <d v="2025-04-09T00:00:00"/>
    <x v="2"/>
    <s v="Housekeeping Items"/>
    <s v="Standard"/>
    <x v="446"/>
    <x v="2"/>
    <x v="868"/>
    <n v="100"/>
    <n v="42200"/>
    <x v="788"/>
    <x v="2"/>
    <x v="1"/>
    <x v="1"/>
    <s v="Delivered"/>
    <n v="937"/>
    <n v="422"/>
    <x v="9"/>
    <x v="7"/>
    <x v="9"/>
    <x v="0"/>
    <x v="1"/>
    <m/>
  </r>
  <r>
    <d v="2025-04-10T00:00:00"/>
    <x v="0"/>
    <s v="Takeaway Boxes"/>
    <s v="Large"/>
    <x v="55"/>
    <x v="0"/>
    <x v="56"/>
    <n v="5"/>
    <n v="1205"/>
    <x v="55"/>
    <x v="1"/>
    <x v="1"/>
    <x v="1"/>
    <s v="Returned"/>
    <n v="690"/>
    <n v="241"/>
    <x v="19"/>
    <x v="13"/>
    <x v="18"/>
    <x v="3"/>
    <x v="3"/>
    <m/>
  </r>
  <r>
    <d v="2025-04-11T00:00:00"/>
    <x v="2"/>
    <s v="Housekeeping Items"/>
    <s v="Standard"/>
    <x v="447"/>
    <x v="2"/>
    <x v="869"/>
    <n v="100"/>
    <n v="22000"/>
    <x v="789"/>
    <x v="2"/>
    <x v="1"/>
    <x v="2"/>
    <s v="Delivered"/>
    <n v="980"/>
    <n v="220"/>
    <x v="8"/>
    <x v="6"/>
    <x v="8"/>
    <x v="1"/>
    <x v="6"/>
    <m/>
  </r>
  <r>
    <d v="2025-04-12T00:00:00"/>
    <x v="1"/>
    <s v="Glass &amp; Bottles"/>
    <s v="750ml"/>
    <x v="226"/>
    <x v="1"/>
    <x v="741"/>
    <n v="12"/>
    <n v="1332"/>
    <x v="773"/>
    <x v="2"/>
    <x v="1"/>
    <x v="1"/>
    <s v="Delivered"/>
    <n v="699"/>
    <n v="111"/>
    <x v="5"/>
    <x v="0"/>
    <x v="5"/>
    <x v="1"/>
    <x v="0"/>
    <m/>
  </r>
  <r>
    <d v="2025-04-13T00:00:00"/>
    <x v="1"/>
    <s v="Glass &amp; Bottles"/>
    <s v="750ml"/>
    <x v="99"/>
    <x v="1"/>
    <x v="340"/>
    <n v="12"/>
    <n v="4488"/>
    <x v="322"/>
    <x v="0"/>
    <x v="3"/>
    <x v="1"/>
    <s v="Delayed"/>
    <n v="897"/>
    <n v="374"/>
    <x v="16"/>
    <x v="4"/>
    <x v="15"/>
    <x v="4"/>
    <x v="2"/>
    <m/>
  </r>
  <r>
    <d v="2025-04-14T00:00:00"/>
    <x v="0"/>
    <s v="Takeaway Boxes"/>
    <s v="Large"/>
    <x v="84"/>
    <x v="0"/>
    <x v="88"/>
    <n v="5"/>
    <n v="300"/>
    <x v="74"/>
    <x v="2"/>
    <x v="3"/>
    <x v="2"/>
    <s v="Delivered"/>
    <n v="865"/>
    <n v="60"/>
    <x v="16"/>
    <x v="4"/>
    <x v="15"/>
    <x v="1"/>
    <x v="3"/>
    <m/>
  </r>
  <r>
    <d v="2025-04-15T00:00:00"/>
    <x v="2"/>
    <s v="Housekeeping Items"/>
    <s v="Standard"/>
    <x v="121"/>
    <x v="2"/>
    <x v="808"/>
    <n v="100"/>
    <n v="2200"/>
    <x v="743"/>
    <x v="1"/>
    <x v="3"/>
    <x v="1"/>
    <s v="Delivered"/>
    <n v="952"/>
    <n v="22"/>
    <x v="18"/>
    <x v="12"/>
    <x v="17"/>
    <x v="3"/>
    <x v="3"/>
    <m/>
  </r>
  <r>
    <d v="2025-04-16T00:00:00"/>
    <x v="5"/>
    <s v="Cutlery"/>
    <s v="3pcs"/>
    <x v="212"/>
    <x v="5"/>
    <x v="870"/>
    <n v="4"/>
    <n v="1524"/>
    <x v="694"/>
    <x v="0"/>
    <x v="1"/>
    <x v="0"/>
    <s v="Returned"/>
    <n v="850"/>
    <n v="381"/>
    <x v="14"/>
    <x v="6"/>
    <x v="13"/>
    <x v="4"/>
    <x v="6"/>
    <m/>
  </r>
  <r>
    <d v="2025-04-17T00:00:00"/>
    <x v="0"/>
    <s v="Takeaway Boxes"/>
    <s v="Large"/>
    <x v="19"/>
    <x v="0"/>
    <x v="871"/>
    <n v="5"/>
    <n v="430"/>
    <x v="364"/>
    <x v="0"/>
    <x v="0"/>
    <x v="2"/>
    <s v="Delivered"/>
    <n v="963"/>
    <n v="86"/>
    <x v="18"/>
    <x v="12"/>
    <x v="17"/>
    <x v="0"/>
    <x v="3"/>
    <m/>
  </r>
  <r>
    <d v="2025-04-18T00:00:00"/>
    <x v="1"/>
    <s v="Glass &amp; Bottles"/>
    <s v="750ml"/>
    <x v="341"/>
    <x v="1"/>
    <x v="872"/>
    <n v="12"/>
    <n v="2484"/>
    <x v="790"/>
    <x v="0"/>
    <x v="1"/>
    <x v="2"/>
    <s v="Delayed"/>
    <n v="689"/>
    <n v="207"/>
    <x v="2"/>
    <x v="2"/>
    <x v="2"/>
    <x v="1"/>
    <x v="6"/>
    <m/>
  </r>
  <r>
    <d v="2025-04-19T00:00:00"/>
    <x v="0"/>
    <s v="Takeaway Boxes"/>
    <s v="Large"/>
    <x v="200"/>
    <x v="0"/>
    <x v="510"/>
    <n v="5"/>
    <n v="1595"/>
    <x v="483"/>
    <x v="0"/>
    <x v="3"/>
    <x v="2"/>
    <s v="Returned"/>
    <n v="935"/>
    <n v="319"/>
    <x v="0"/>
    <x v="0"/>
    <x v="0"/>
    <x v="4"/>
    <x v="6"/>
    <m/>
  </r>
  <r>
    <d v="2025-04-20T00:00:00"/>
    <x v="0"/>
    <s v="Takeaway Boxes"/>
    <s v="Large"/>
    <x v="286"/>
    <x v="0"/>
    <x v="613"/>
    <n v="5"/>
    <n v="150"/>
    <x v="77"/>
    <x v="2"/>
    <x v="2"/>
    <x v="1"/>
    <s v="Delivered"/>
    <n v="811"/>
    <n v="30"/>
    <x v="19"/>
    <x v="13"/>
    <x v="18"/>
    <x v="3"/>
    <x v="6"/>
    <m/>
  </r>
  <r>
    <d v="2025-04-21T00:00:00"/>
    <x v="4"/>
    <s v="Plates &amp; Bowls"/>
    <s v="500ml"/>
    <x v="314"/>
    <x v="4"/>
    <x v="352"/>
    <n v="1.5"/>
    <n v="420"/>
    <x v="333"/>
    <x v="1"/>
    <x v="0"/>
    <x v="2"/>
    <s v="Returned"/>
    <n v="914"/>
    <n v="280"/>
    <x v="3"/>
    <x v="2"/>
    <x v="3"/>
    <x v="4"/>
    <x v="9"/>
    <m/>
  </r>
  <r>
    <d v="2025-04-22T00:00:00"/>
    <x v="2"/>
    <s v="Housekeeping Items"/>
    <s v="Standard"/>
    <x v="137"/>
    <x v="2"/>
    <x v="505"/>
    <n v="100"/>
    <n v="8200"/>
    <x v="479"/>
    <x v="2"/>
    <x v="1"/>
    <x v="0"/>
    <s v="Delayed"/>
    <n v="656"/>
    <n v="82"/>
    <x v="13"/>
    <x v="2"/>
    <x v="12"/>
    <x v="3"/>
    <x v="0"/>
    <m/>
  </r>
  <r>
    <d v="2025-04-23T00:00:00"/>
    <x v="3"/>
    <s v="Containers"/>
    <s v="1L"/>
    <x v="379"/>
    <x v="3"/>
    <x v="873"/>
    <n v="3"/>
    <n v="1065"/>
    <x v="791"/>
    <x v="0"/>
    <x v="1"/>
    <x v="0"/>
    <s v="Delayed"/>
    <n v="835"/>
    <n v="355"/>
    <x v="1"/>
    <x v="1"/>
    <x v="1"/>
    <x v="4"/>
    <x v="9"/>
    <m/>
  </r>
  <r>
    <d v="2025-04-24T00:00:00"/>
    <x v="0"/>
    <s v="Takeaway Boxes"/>
    <s v="Large"/>
    <x v="48"/>
    <x v="0"/>
    <x v="50"/>
    <n v="5"/>
    <n v="1525"/>
    <x v="49"/>
    <x v="1"/>
    <x v="1"/>
    <x v="0"/>
    <s v="Delivered"/>
    <n v="564"/>
    <n v="305"/>
    <x v="11"/>
    <x v="9"/>
    <x v="11"/>
    <x v="3"/>
    <x v="4"/>
    <m/>
  </r>
  <r>
    <d v="2025-04-25T00:00:00"/>
    <x v="4"/>
    <s v="Plates &amp; Bowls"/>
    <s v="500ml"/>
    <x v="145"/>
    <x v="4"/>
    <x v="158"/>
    <n v="1.5"/>
    <n v="300"/>
    <x v="153"/>
    <x v="1"/>
    <x v="1"/>
    <x v="0"/>
    <s v="Returned"/>
    <n v="898"/>
    <n v="200"/>
    <x v="6"/>
    <x v="4"/>
    <x v="6"/>
    <x v="1"/>
    <x v="2"/>
    <m/>
  </r>
  <r>
    <d v="2025-04-26T00:00:00"/>
    <x v="5"/>
    <s v="Cutlery"/>
    <s v="3pcs"/>
    <x v="448"/>
    <x v="5"/>
    <x v="874"/>
    <n v="4"/>
    <n v="1184"/>
    <x v="193"/>
    <x v="0"/>
    <x v="1"/>
    <x v="2"/>
    <s v="Returned"/>
    <n v="652"/>
    <n v="296"/>
    <x v="4"/>
    <x v="3"/>
    <x v="4"/>
    <x v="1"/>
    <x v="2"/>
    <m/>
  </r>
  <r>
    <d v="2025-04-27T00:00:00"/>
    <x v="1"/>
    <s v="Glass &amp; Bottles"/>
    <s v="750ml"/>
    <x v="342"/>
    <x v="1"/>
    <x v="519"/>
    <n v="12"/>
    <n v="4476"/>
    <x v="491"/>
    <x v="2"/>
    <x v="2"/>
    <x v="0"/>
    <s v="Returned"/>
    <n v="833"/>
    <n v="373"/>
    <x v="8"/>
    <x v="6"/>
    <x v="8"/>
    <x v="0"/>
    <x v="1"/>
    <m/>
  </r>
  <r>
    <d v="2025-04-28T00:00:00"/>
    <x v="2"/>
    <s v="Housekeeping Items"/>
    <s v="Standard"/>
    <x v="138"/>
    <x v="2"/>
    <x v="875"/>
    <n v="100"/>
    <n v="49100"/>
    <x v="792"/>
    <x v="2"/>
    <x v="3"/>
    <x v="2"/>
    <s v="Delivered"/>
    <n v="911"/>
    <n v="491"/>
    <x v="8"/>
    <x v="6"/>
    <x v="8"/>
    <x v="3"/>
    <x v="3"/>
    <m/>
  </r>
  <r>
    <d v="2025-04-29T00:00:00"/>
    <x v="5"/>
    <s v="Cutlery"/>
    <s v="3pcs"/>
    <x v="101"/>
    <x v="5"/>
    <x v="130"/>
    <n v="4"/>
    <n v="608"/>
    <x v="774"/>
    <x v="1"/>
    <x v="1"/>
    <x v="1"/>
    <s v="Delayed"/>
    <n v="972"/>
    <n v="152"/>
    <x v="17"/>
    <x v="11"/>
    <x v="16"/>
    <x v="3"/>
    <x v="6"/>
    <m/>
  </r>
  <r>
    <d v="2025-04-30T00:00:00"/>
    <x v="3"/>
    <s v="Containers"/>
    <s v="1L"/>
    <x v="111"/>
    <x v="3"/>
    <x v="742"/>
    <n v="3"/>
    <n v="753"/>
    <x v="687"/>
    <x v="2"/>
    <x v="3"/>
    <x v="2"/>
    <s v="Delivered"/>
    <n v="782"/>
    <n v="251"/>
    <x v="1"/>
    <x v="1"/>
    <x v="1"/>
    <x v="1"/>
    <x v="5"/>
    <m/>
  </r>
  <r>
    <d v="2025-05-01T00:00:00"/>
    <x v="5"/>
    <s v="Cutlery"/>
    <s v="3pcs"/>
    <x v="449"/>
    <x v="5"/>
    <x v="876"/>
    <n v="4"/>
    <n v="712"/>
    <x v="793"/>
    <x v="0"/>
    <x v="1"/>
    <x v="2"/>
    <s v="Delayed"/>
    <n v="648"/>
    <n v="178"/>
    <x v="12"/>
    <x v="3"/>
    <x v="10"/>
    <x v="3"/>
    <x v="6"/>
    <m/>
  </r>
  <r>
    <d v="2025-05-02T00:00:00"/>
    <x v="5"/>
    <s v="Cutlery"/>
    <s v="3pcs"/>
    <x v="416"/>
    <x v="5"/>
    <x v="739"/>
    <n v="4"/>
    <n v="1808"/>
    <x v="685"/>
    <x v="0"/>
    <x v="2"/>
    <x v="2"/>
    <s v="Returned"/>
    <n v="690"/>
    <n v="452"/>
    <x v="15"/>
    <x v="10"/>
    <x v="14"/>
    <x v="0"/>
    <x v="0"/>
    <m/>
  </r>
  <r>
    <d v="2025-05-03T00:00:00"/>
    <x v="5"/>
    <s v="Cutlery"/>
    <s v="3pcs"/>
    <x v="277"/>
    <x v="5"/>
    <x v="877"/>
    <n v="4"/>
    <n v="1684"/>
    <x v="794"/>
    <x v="0"/>
    <x v="1"/>
    <x v="1"/>
    <s v="Delivered"/>
    <n v="906"/>
    <n v="421"/>
    <x v="5"/>
    <x v="0"/>
    <x v="5"/>
    <x v="4"/>
    <x v="11"/>
    <m/>
  </r>
  <r>
    <d v="2025-05-04T00:00:00"/>
    <x v="1"/>
    <s v="Glass &amp; Bottles"/>
    <s v="750ml"/>
    <x v="322"/>
    <x v="1"/>
    <x v="878"/>
    <n v="12"/>
    <n v="2628"/>
    <x v="795"/>
    <x v="2"/>
    <x v="2"/>
    <x v="0"/>
    <s v="Delayed"/>
    <n v="967"/>
    <n v="219"/>
    <x v="6"/>
    <x v="4"/>
    <x v="6"/>
    <x v="2"/>
    <x v="0"/>
    <m/>
  </r>
  <r>
    <d v="2025-05-05T00:00:00"/>
    <x v="1"/>
    <s v="Glass &amp; Bottles"/>
    <s v="750ml"/>
    <x v="147"/>
    <x v="1"/>
    <x v="452"/>
    <n v="12"/>
    <n v="5868"/>
    <x v="427"/>
    <x v="2"/>
    <x v="1"/>
    <x v="2"/>
    <s v="Returned"/>
    <n v="851"/>
    <n v="489"/>
    <x v="13"/>
    <x v="2"/>
    <x v="12"/>
    <x v="1"/>
    <x v="9"/>
    <m/>
  </r>
  <r>
    <d v="2025-05-06T00:00:00"/>
    <x v="3"/>
    <s v="Containers"/>
    <s v="1L"/>
    <x v="186"/>
    <x v="3"/>
    <x v="879"/>
    <n v="3"/>
    <n v="495"/>
    <x v="796"/>
    <x v="2"/>
    <x v="2"/>
    <x v="2"/>
    <s v="Delivered"/>
    <n v="641"/>
    <n v="165"/>
    <x v="8"/>
    <x v="6"/>
    <x v="8"/>
    <x v="1"/>
    <x v="9"/>
    <m/>
  </r>
  <r>
    <d v="2025-05-07T00:00:00"/>
    <x v="3"/>
    <s v="Containers"/>
    <s v="1L"/>
    <x v="29"/>
    <x v="3"/>
    <x v="880"/>
    <n v="3"/>
    <n v="885"/>
    <x v="797"/>
    <x v="2"/>
    <x v="2"/>
    <x v="0"/>
    <s v="Delivered"/>
    <n v="676"/>
    <n v="295"/>
    <x v="10"/>
    <x v="8"/>
    <x v="10"/>
    <x v="4"/>
    <x v="0"/>
    <m/>
  </r>
  <r>
    <d v="2025-05-08T00:00:00"/>
    <x v="1"/>
    <s v="Glass &amp; Bottles"/>
    <s v="750ml"/>
    <x v="198"/>
    <x v="1"/>
    <x v="881"/>
    <n v="12"/>
    <n v="1452"/>
    <x v="798"/>
    <x v="0"/>
    <x v="0"/>
    <x v="0"/>
    <s v="Returned"/>
    <n v="904"/>
    <n v="121"/>
    <x v="6"/>
    <x v="4"/>
    <x v="6"/>
    <x v="1"/>
    <x v="0"/>
    <m/>
  </r>
  <r>
    <d v="2025-05-09T00:00:00"/>
    <x v="1"/>
    <s v="Glass &amp; Bottles"/>
    <s v="750ml"/>
    <x v="241"/>
    <x v="1"/>
    <x v="882"/>
    <n v="12"/>
    <n v="3288"/>
    <x v="799"/>
    <x v="1"/>
    <x v="1"/>
    <x v="2"/>
    <s v="Delayed"/>
    <n v="709"/>
    <n v="274"/>
    <x v="16"/>
    <x v="4"/>
    <x v="15"/>
    <x v="3"/>
    <x v="2"/>
    <m/>
  </r>
  <r>
    <d v="2025-05-10T00:00:00"/>
    <x v="2"/>
    <s v="Housekeeping Items"/>
    <s v="Standard"/>
    <x v="410"/>
    <x v="2"/>
    <x v="883"/>
    <n v="100"/>
    <n v="17900"/>
    <x v="800"/>
    <x v="0"/>
    <x v="3"/>
    <x v="0"/>
    <s v="Delayed"/>
    <n v="778"/>
    <n v="179"/>
    <x v="8"/>
    <x v="6"/>
    <x v="8"/>
    <x v="0"/>
    <x v="8"/>
    <m/>
  </r>
  <r>
    <d v="2025-05-11T00:00:00"/>
    <x v="3"/>
    <s v="Containers"/>
    <s v="1L"/>
    <x v="450"/>
    <x v="3"/>
    <x v="884"/>
    <n v="3"/>
    <n v="675"/>
    <x v="801"/>
    <x v="0"/>
    <x v="1"/>
    <x v="2"/>
    <s v="Returned"/>
    <n v="563"/>
    <n v="225"/>
    <x v="2"/>
    <x v="2"/>
    <x v="2"/>
    <x v="4"/>
    <x v="4"/>
    <m/>
  </r>
  <r>
    <d v="2025-05-12T00:00:00"/>
    <x v="5"/>
    <s v="Cutlery"/>
    <s v="3pcs"/>
    <x v="368"/>
    <x v="5"/>
    <x v="643"/>
    <n v="4"/>
    <n v="1068"/>
    <x v="606"/>
    <x v="1"/>
    <x v="1"/>
    <x v="0"/>
    <s v="Delayed"/>
    <n v="627"/>
    <n v="267"/>
    <x v="4"/>
    <x v="3"/>
    <x v="4"/>
    <x v="3"/>
    <x v="1"/>
    <m/>
  </r>
  <r>
    <d v="2025-05-13T00:00:00"/>
    <x v="4"/>
    <s v="Plates &amp; Bowls"/>
    <s v="500ml"/>
    <x v="451"/>
    <x v="4"/>
    <x v="885"/>
    <n v="1.5"/>
    <n v="15"/>
    <x v="802"/>
    <x v="1"/>
    <x v="1"/>
    <x v="0"/>
    <s v="Returned"/>
    <n v="777"/>
    <n v="10"/>
    <x v="7"/>
    <x v="5"/>
    <x v="7"/>
    <x v="2"/>
    <x v="4"/>
    <m/>
  </r>
  <r>
    <d v="2025-05-14T00:00:00"/>
    <x v="3"/>
    <s v="Containers"/>
    <s v="1L"/>
    <x v="370"/>
    <x v="3"/>
    <x v="569"/>
    <n v="3"/>
    <n v="852"/>
    <x v="541"/>
    <x v="0"/>
    <x v="2"/>
    <x v="0"/>
    <s v="Returned"/>
    <n v="919"/>
    <n v="284"/>
    <x v="3"/>
    <x v="2"/>
    <x v="3"/>
    <x v="1"/>
    <x v="8"/>
    <m/>
  </r>
  <r>
    <d v="2025-05-15T00:00:00"/>
    <x v="3"/>
    <s v="Containers"/>
    <s v="1L"/>
    <x v="206"/>
    <x v="3"/>
    <x v="886"/>
    <n v="3"/>
    <n v="726"/>
    <x v="803"/>
    <x v="2"/>
    <x v="2"/>
    <x v="2"/>
    <s v="Delayed"/>
    <n v="556"/>
    <n v="242"/>
    <x v="16"/>
    <x v="4"/>
    <x v="15"/>
    <x v="0"/>
    <x v="1"/>
    <m/>
  </r>
  <r>
    <d v="2025-05-16T00:00:00"/>
    <x v="4"/>
    <s v="Plates &amp; Bowls"/>
    <s v="500ml"/>
    <x v="227"/>
    <x v="4"/>
    <x v="463"/>
    <n v="1.5"/>
    <n v="594"/>
    <x v="235"/>
    <x v="2"/>
    <x v="2"/>
    <x v="2"/>
    <s v="Returned"/>
    <n v="558"/>
    <n v="396"/>
    <x v="14"/>
    <x v="6"/>
    <x v="13"/>
    <x v="3"/>
    <x v="9"/>
    <m/>
  </r>
  <r>
    <d v="2025-05-17T00:00:00"/>
    <x v="4"/>
    <s v="Plates &amp; Bowls"/>
    <s v="500ml"/>
    <x v="220"/>
    <x v="4"/>
    <x v="260"/>
    <n v="1.5"/>
    <n v="46.5"/>
    <x v="253"/>
    <x v="1"/>
    <x v="0"/>
    <x v="1"/>
    <s v="Delayed"/>
    <n v="515"/>
    <n v="31"/>
    <x v="16"/>
    <x v="4"/>
    <x v="15"/>
    <x v="1"/>
    <x v="5"/>
    <m/>
  </r>
  <r>
    <d v="2025-05-18T00:00:00"/>
    <x v="0"/>
    <s v="Takeaway Boxes"/>
    <s v="Large"/>
    <x v="80"/>
    <x v="0"/>
    <x v="887"/>
    <n v="5"/>
    <n v="940"/>
    <x v="509"/>
    <x v="2"/>
    <x v="0"/>
    <x v="0"/>
    <s v="Delivered"/>
    <n v="951"/>
    <n v="188"/>
    <x v="13"/>
    <x v="2"/>
    <x v="12"/>
    <x v="0"/>
    <x v="2"/>
    <m/>
  </r>
  <r>
    <d v="2025-05-19T00:00:00"/>
    <x v="4"/>
    <s v="Plates &amp; Bowls"/>
    <s v="500ml"/>
    <x v="357"/>
    <x v="4"/>
    <x v="540"/>
    <n v="1.5"/>
    <n v="313.5"/>
    <x v="513"/>
    <x v="2"/>
    <x v="0"/>
    <x v="1"/>
    <s v="Delivered"/>
    <n v="965"/>
    <n v="209"/>
    <x v="18"/>
    <x v="12"/>
    <x v="17"/>
    <x v="4"/>
    <x v="0"/>
    <m/>
  </r>
  <r>
    <d v="2025-05-20T00:00:00"/>
    <x v="4"/>
    <s v="Plates &amp; Bowls"/>
    <s v="500ml"/>
    <x v="410"/>
    <x v="4"/>
    <x v="888"/>
    <n v="1.5"/>
    <n v="268.5"/>
    <x v="804"/>
    <x v="0"/>
    <x v="1"/>
    <x v="2"/>
    <s v="Delivered"/>
    <n v="967"/>
    <n v="179"/>
    <x v="6"/>
    <x v="4"/>
    <x v="6"/>
    <x v="0"/>
    <x v="3"/>
    <m/>
  </r>
  <r>
    <d v="2025-05-21T00:00:00"/>
    <x v="5"/>
    <s v="Cutlery"/>
    <s v="3pcs"/>
    <x v="309"/>
    <x v="5"/>
    <x v="269"/>
    <n v="4"/>
    <n v="1320"/>
    <x v="805"/>
    <x v="2"/>
    <x v="0"/>
    <x v="0"/>
    <s v="Delayed"/>
    <n v="910"/>
    <n v="330"/>
    <x v="18"/>
    <x v="12"/>
    <x v="17"/>
    <x v="3"/>
    <x v="8"/>
    <m/>
  </r>
  <r>
    <d v="2025-05-22T00:00:00"/>
    <x v="2"/>
    <s v="Housekeeping Items"/>
    <s v="Standard"/>
    <x v="152"/>
    <x v="2"/>
    <x v="644"/>
    <n v="100"/>
    <n v="1700"/>
    <x v="607"/>
    <x v="1"/>
    <x v="1"/>
    <x v="0"/>
    <s v="Delivered"/>
    <n v="616"/>
    <n v="17"/>
    <x v="4"/>
    <x v="3"/>
    <x v="4"/>
    <x v="1"/>
    <x v="3"/>
    <m/>
  </r>
  <r>
    <d v="2025-05-23T00:00:00"/>
    <x v="1"/>
    <s v="Glass &amp; Bottles"/>
    <s v="750ml"/>
    <x v="452"/>
    <x v="1"/>
    <x v="889"/>
    <n v="12"/>
    <n v="5628"/>
    <x v="806"/>
    <x v="2"/>
    <x v="2"/>
    <x v="2"/>
    <s v="Returned"/>
    <n v="972"/>
    <n v="469"/>
    <x v="13"/>
    <x v="2"/>
    <x v="12"/>
    <x v="1"/>
    <x v="1"/>
    <m/>
  </r>
  <r>
    <d v="2025-05-24T00:00:00"/>
    <x v="0"/>
    <s v="Takeaway Boxes"/>
    <s v="Large"/>
    <x v="167"/>
    <x v="0"/>
    <x v="717"/>
    <n v="5"/>
    <n v="1265"/>
    <x v="666"/>
    <x v="1"/>
    <x v="2"/>
    <x v="0"/>
    <s v="Returned"/>
    <n v="984"/>
    <n v="253"/>
    <x v="12"/>
    <x v="3"/>
    <x v="10"/>
    <x v="4"/>
    <x v="6"/>
    <m/>
  </r>
  <r>
    <d v="2025-05-25T00:00:00"/>
    <x v="5"/>
    <s v="Cutlery"/>
    <s v="3pcs"/>
    <x v="119"/>
    <x v="5"/>
    <x v="890"/>
    <n v="4"/>
    <n v="1028"/>
    <x v="490"/>
    <x v="1"/>
    <x v="0"/>
    <x v="0"/>
    <s v="Delivered"/>
    <n v="963"/>
    <n v="257"/>
    <x v="5"/>
    <x v="0"/>
    <x v="5"/>
    <x v="2"/>
    <x v="9"/>
    <m/>
  </r>
  <r>
    <d v="2025-05-26T00:00:00"/>
    <x v="2"/>
    <s v="Housekeeping Items"/>
    <s v="Standard"/>
    <x v="50"/>
    <x v="2"/>
    <x v="891"/>
    <n v="100"/>
    <n v="34100"/>
    <x v="807"/>
    <x v="0"/>
    <x v="2"/>
    <x v="2"/>
    <s v="Delayed"/>
    <n v="924"/>
    <n v="341"/>
    <x v="1"/>
    <x v="1"/>
    <x v="1"/>
    <x v="4"/>
    <x v="0"/>
    <m/>
  </r>
  <r>
    <d v="2025-05-27T00:00:00"/>
    <x v="5"/>
    <s v="Cutlery"/>
    <s v="3pcs"/>
    <x v="250"/>
    <x v="5"/>
    <x v="892"/>
    <n v="4"/>
    <n v="1532"/>
    <x v="703"/>
    <x v="1"/>
    <x v="2"/>
    <x v="0"/>
    <s v="Delayed"/>
    <n v="741"/>
    <n v="383"/>
    <x v="1"/>
    <x v="1"/>
    <x v="1"/>
    <x v="1"/>
    <x v="0"/>
    <m/>
  </r>
  <r>
    <d v="2025-05-28T00:00:00"/>
    <x v="3"/>
    <s v="Containers"/>
    <s v="1L"/>
    <x v="81"/>
    <x v="3"/>
    <x v="893"/>
    <n v="3"/>
    <n v="813"/>
    <x v="808"/>
    <x v="1"/>
    <x v="1"/>
    <x v="2"/>
    <s v="Delivered"/>
    <n v="997"/>
    <n v="271"/>
    <x v="5"/>
    <x v="0"/>
    <x v="5"/>
    <x v="2"/>
    <x v="9"/>
    <m/>
  </r>
  <r>
    <d v="2025-05-29T00:00:00"/>
    <x v="5"/>
    <s v="Cutlery"/>
    <s v="3pcs"/>
    <x v="436"/>
    <x v="5"/>
    <x v="894"/>
    <n v="4"/>
    <n v="1472"/>
    <x v="680"/>
    <x v="2"/>
    <x v="1"/>
    <x v="2"/>
    <s v="Delayed"/>
    <n v="909"/>
    <n v="368"/>
    <x v="12"/>
    <x v="3"/>
    <x v="10"/>
    <x v="3"/>
    <x v="10"/>
    <m/>
  </r>
  <r>
    <d v="2025-05-30T00:00:00"/>
    <x v="1"/>
    <s v="Glass &amp; Bottles"/>
    <s v="750ml"/>
    <x v="180"/>
    <x v="1"/>
    <x v="633"/>
    <n v="12"/>
    <n v="1776"/>
    <x v="598"/>
    <x v="1"/>
    <x v="0"/>
    <x v="1"/>
    <s v="Delivered"/>
    <n v="692"/>
    <n v="148"/>
    <x v="16"/>
    <x v="4"/>
    <x v="15"/>
    <x v="3"/>
    <x v="10"/>
    <m/>
  </r>
  <r>
    <d v="2025-05-31T00:00:00"/>
    <x v="0"/>
    <s v="Takeaway Boxes"/>
    <s v="Large"/>
    <x v="44"/>
    <x v="0"/>
    <x v="45"/>
    <n v="5"/>
    <n v="2495"/>
    <x v="44"/>
    <x v="2"/>
    <x v="0"/>
    <x v="0"/>
    <s v="Delayed"/>
    <n v="613"/>
    <n v="499"/>
    <x v="5"/>
    <x v="0"/>
    <x v="5"/>
    <x v="3"/>
    <x v="3"/>
    <m/>
  </r>
  <r>
    <d v="2025-06-01T00:00:00"/>
    <x v="2"/>
    <s v="Housekeeping Items"/>
    <s v="Standard"/>
    <x v="167"/>
    <x v="2"/>
    <x v="895"/>
    <n v="100"/>
    <n v="25300"/>
    <x v="809"/>
    <x v="1"/>
    <x v="1"/>
    <x v="1"/>
    <s v="Delayed"/>
    <n v="784"/>
    <n v="253"/>
    <x v="8"/>
    <x v="6"/>
    <x v="8"/>
    <x v="0"/>
    <x v="10"/>
    <m/>
  </r>
  <r>
    <d v="2025-06-02T00:00:00"/>
    <x v="2"/>
    <s v="Housekeeping Items"/>
    <s v="Standard"/>
    <x v="446"/>
    <x v="2"/>
    <x v="868"/>
    <n v="100"/>
    <n v="42200"/>
    <x v="788"/>
    <x v="0"/>
    <x v="2"/>
    <x v="0"/>
    <s v="Delivered"/>
    <n v="862"/>
    <n v="422"/>
    <x v="6"/>
    <x v="4"/>
    <x v="6"/>
    <x v="2"/>
    <x v="2"/>
    <m/>
  </r>
  <r>
    <d v="2025-06-03T00:00:00"/>
    <x v="5"/>
    <s v="Cutlery"/>
    <s v="3pcs"/>
    <x v="11"/>
    <x v="5"/>
    <x v="896"/>
    <n v="4"/>
    <n v="1556"/>
    <x v="810"/>
    <x v="1"/>
    <x v="0"/>
    <x v="1"/>
    <s v="Returned"/>
    <n v="735"/>
    <n v="389"/>
    <x v="6"/>
    <x v="4"/>
    <x v="6"/>
    <x v="1"/>
    <x v="3"/>
    <m/>
  </r>
  <r>
    <d v="2025-06-04T00:00:00"/>
    <x v="5"/>
    <s v="Cutlery"/>
    <s v="3pcs"/>
    <x v="433"/>
    <x v="5"/>
    <x v="897"/>
    <n v="4"/>
    <n v="116"/>
    <x v="811"/>
    <x v="1"/>
    <x v="0"/>
    <x v="1"/>
    <s v="Returned"/>
    <n v="528"/>
    <n v="29"/>
    <x v="7"/>
    <x v="5"/>
    <x v="7"/>
    <x v="3"/>
    <x v="4"/>
    <m/>
  </r>
  <r>
    <d v="2025-06-05T00:00:00"/>
    <x v="0"/>
    <s v="Takeaway Boxes"/>
    <s v="Large"/>
    <x v="301"/>
    <x v="0"/>
    <x v="297"/>
    <n v="5"/>
    <n v="630"/>
    <x v="812"/>
    <x v="0"/>
    <x v="0"/>
    <x v="1"/>
    <s v="Returned"/>
    <n v="582"/>
    <n v="126"/>
    <x v="12"/>
    <x v="3"/>
    <x v="10"/>
    <x v="1"/>
    <x v="10"/>
    <m/>
  </r>
  <r>
    <d v="2025-06-06T00:00:00"/>
    <x v="0"/>
    <s v="Takeaway Boxes"/>
    <s v="Large"/>
    <x v="254"/>
    <x v="0"/>
    <x v="898"/>
    <n v="5"/>
    <n v="1810"/>
    <x v="813"/>
    <x v="0"/>
    <x v="0"/>
    <x v="2"/>
    <s v="Returned"/>
    <n v="608"/>
    <n v="362"/>
    <x v="17"/>
    <x v="11"/>
    <x v="16"/>
    <x v="3"/>
    <x v="6"/>
    <m/>
  </r>
  <r>
    <d v="2025-06-07T00:00:00"/>
    <x v="4"/>
    <s v="Plates &amp; Bowls"/>
    <s v="500ml"/>
    <x v="142"/>
    <x v="4"/>
    <x v="899"/>
    <n v="1.5"/>
    <n v="621"/>
    <x v="487"/>
    <x v="2"/>
    <x v="1"/>
    <x v="0"/>
    <s v="Delivered"/>
    <n v="845"/>
    <n v="414"/>
    <x v="9"/>
    <x v="7"/>
    <x v="9"/>
    <x v="0"/>
    <x v="6"/>
    <m/>
  </r>
  <r>
    <d v="2025-06-08T00:00:00"/>
    <x v="1"/>
    <s v="Glass &amp; Bottles"/>
    <s v="750ml"/>
    <x v="354"/>
    <x v="1"/>
    <x v="677"/>
    <n v="12"/>
    <n v="3384"/>
    <x v="635"/>
    <x v="0"/>
    <x v="3"/>
    <x v="1"/>
    <s v="Delivered"/>
    <n v="999"/>
    <n v="282"/>
    <x v="18"/>
    <x v="12"/>
    <x v="17"/>
    <x v="4"/>
    <x v="3"/>
    <m/>
  </r>
  <r>
    <d v="2025-06-09T00:00:00"/>
    <x v="0"/>
    <s v="Takeaway Boxes"/>
    <s v="Large"/>
    <x v="453"/>
    <x v="0"/>
    <x v="900"/>
    <n v="5"/>
    <n v="1060"/>
    <x v="814"/>
    <x v="1"/>
    <x v="0"/>
    <x v="0"/>
    <s v="Delayed"/>
    <n v="894"/>
    <n v="212"/>
    <x v="15"/>
    <x v="10"/>
    <x v="14"/>
    <x v="3"/>
    <x v="6"/>
    <m/>
  </r>
  <r>
    <d v="2025-06-10T00:00:00"/>
    <x v="2"/>
    <s v="Housekeeping Items"/>
    <s v="Standard"/>
    <x v="164"/>
    <x v="2"/>
    <x v="687"/>
    <n v="100"/>
    <n v="37600"/>
    <x v="644"/>
    <x v="1"/>
    <x v="1"/>
    <x v="0"/>
    <s v="Returned"/>
    <n v="702"/>
    <n v="376"/>
    <x v="15"/>
    <x v="10"/>
    <x v="14"/>
    <x v="2"/>
    <x v="9"/>
    <m/>
  </r>
  <r>
    <d v="2025-06-11T00:00:00"/>
    <x v="2"/>
    <s v="Housekeeping Items"/>
    <s v="Standard"/>
    <x v="77"/>
    <x v="2"/>
    <x v="901"/>
    <n v="100"/>
    <n v="27200"/>
    <x v="815"/>
    <x v="1"/>
    <x v="3"/>
    <x v="2"/>
    <s v="Returned"/>
    <n v="719"/>
    <n v="272"/>
    <x v="3"/>
    <x v="2"/>
    <x v="3"/>
    <x v="0"/>
    <x v="8"/>
    <m/>
  </r>
  <r>
    <d v="2025-06-12T00:00:00"/>
    <x v="3"/>
    <s v="Containers"/>
    <s v="1L"/>
    <x v="51"/>
    <x v="3"/>
    <x v="30"/>
    <n v="3"/>
    <n v="1416"/>
    <x v="816"/>
    <x v="2"/>
    <x v="1"/>
    <x v="0"/>
    <s v="Returned"/>
    <n v="703"/>
    <n v="472"/>
    <x v="13"/>
    <x v="2"/>
    <x v="12"/>
    <x v="2"/>
    <x v="9"/>
    <m/>
  </r>
  <r>
    <d v="2025-06-13T00:00:00"/>
    <x v="3"/>
    <s v="Containers"/>
    <s v="1L"/>
    <x v="57"/>
    <x v="3"/>
    <x v="678"/>
    <n v="3"/>
    <n v="1302"/>
    <x v="636"/>
    <x v="1"/>
    <x v="3"/>
    <x v="0"/>
    <s v="Delayed"/>
    <n v="952"/>
    <n v="434"/>
    <x v="6"/>
    <x v="4"/>
    <x v="6"/>
    <x v="4"/>
    <x v="6"/>
    <m/>
  </r>
  <r>
    <d v="2025-06-14T00:00:00"/>
    <x v="1"/>
    <s v="Glass &amp; Bottles"/>
    <s v="750ml"/>
    <x v="420"/>
    <x v="1"/>
    <x v="902"/>
    <n v="12"/>
    <n v="5556"/>
    <x v="817"/>
    <x v="0"/>
    <x v="0"/>
    <x v="0"/>
    <s v="Returned"/>
    <n v="854"/>
    <n v="463"/>
    <x v="2"/>
    <x v="2"/>
    <x v="2"/>
    <x v="4"/>
    <x v="9"/>
    <m/>
  </r>
  <r>
    <d v="2025-06-15T00:00:00"/>
    <x v="2"/>
    <s v="Housekeeping Items"/>
    <s v="Standard"/>
    <x v="454"/>
    <x v="2"/>
    <x v="903"/>
    <n v="100"/>
    <n v="23400"/>
    <x v="818"/>
    <x v="0"/>
    <x v="0"/>
    <x v="0"/>
    <s v="Returned"/>
    <n v="718"/>
    <n v="234"/>
    <x v="13"/>
    <x v="2"/>
    <x v="12"/>
    <x v="4"/>
    <x v="5"/>
    <m/>
  </r>
  <r>
    <d v="2025-06-16T00:00:00"/>
    <x v="1"/>
    <s v="Glass &amp; Bottles"/>
    <s v="750ml"/>
    <x v="129"/>
    <x v="1"/>
    <x v="590"/>
    <n v="12"/>
    <n v="5856"/>
    <x v="557"/>
    <x v="1"/>
    <x v="0"/>
    <x v="1"/>
    <s v="Delayed"/>
    <n v="863"/>
    <n v="488"/>
    <x v="8"/>
    <x v="6"/>
    <x v="8"/>
    <x v="4"/>
    <x v="6"/>
    <m/>
  </r>
  <r>
    <d v="2025-06-17T00:00:00"/>
    <x v="4"/>
    <s v="Plates &amp; Bowls"/>
    <s v="500ml"/>
    <x v="433"/>
    <x v="4"/>
    <x v="904"/>
    <n v="1.5"/>
    <n v="43.5"/>
    <x v="819"/>
    <x v="1"/>
    <x v="3"/>
    <x v="2"/>
    <s v="Delivered"/>
    <n v="592"/>
    <n v="29"/>
    <x v="13"/>
    <x v="2"/>
    <x v="12"/>
    <x v="3"/>
    <x v="0"/>
    <m/>
  </r>
  <r>
    <d v="2025-06-18T00:00:00"/>
    <x v="4"/>
    <s v="Plates &amp; Bowls"/>
    <s v="500ml"/>
    <x v="45"/>
    <x v="4"/>
    <x v="905"/>
    <n v="1.5"/>
    <n v="30"/>
    <x v="820"/>
    <x v="1"/>
    <x v="1"/>
    <x v="1"/>
    <s v="Delivered"/>
    <n v="580"/>
    <n v="20"/>
    <x v="2"/>
    <x v="2"/>
    <x v="2"/>
    <x v="3"/>
    <x v="10"/>
    <m/>
  </r>
  <r>
    <d v="2025-06-19T00:00:00"/>
    <x v="1"/>
    <s v="Glass &amp; Bottles"/>
    <s v="750ml"/>
    <x v="412"/>
    <x v="1"/>
    <x v="776"/>
    <n v="12"/>
    <n v="1392"/>
    <x v="676"/>
    <x v="2"/>
    <x v="3"/>
    <x v="1"/>
    <s v="Delivered"/>
    <n v="874"/>
    <n v="116"/>
    <x v="15"/>
    <x v="10"/>
    <x v="14"/>
    <x v="2"/>
    <x v="6"/>
    <m/>
  </r>
  <r>
    <d v="2025-06-20T00:00:00"/>
    <x v="5"/>
    <s v="Cutlery"/>
    <s v="3pcs"/>
    <x v="22"/>
    <x v="5"/>
    <x v="23"/>
    <n v="4"/>
    <n v="276"/>
    <x v="23"/>
    <x v="0"/>
    <x v="3"/>
    <x v="0"/>
    <s v="Delivered"/>
    <n v="986"/>
    <n v="69"/>
    <x v="16"/>
    <x v="4"/>
    <x v="15"/>
    <x v="4"/>
    <x v="4"/>
    <m/>
  </r>
  <r>
    <d v="2025-06-21T00:00:00"/>
    <x v="1"/>
    <s v="Glass &amp; Bottles"/>
    <s v="750ml"/>
    <x v="79"/>
    <x v="1"/>
    <x v="111"/>
    <n v="12"/>
    <n v="156"/>
    <x v="108"/>
    <x v="1"/>
    <x v="0"/>
    <x v="2"/>
    <s v="Returned"/>
    <n v="614"/>
    <n v="13"/>
    <x v="0"/>
    <x v="0"/>
    <x v="0"/>
    <x v="4"/>
    <x v="0"/>
    <m/>
  </r>
  <r>
    <d v="2025-06-22T00:00:00"/>
    <x v="0"/>
    <s v="Takeaway Boxes"/>
    <s v="Large"/>
    <x v="450"/>
    <x v="0"/>
    <x v="19"/>
    <n v="5"/>
    <n v="1125"/>
    <x v="821"/>
    <x v="2"/>
    <x v="0"/>
    <x v="1"/>
    <s v="Returned"/>
    <n v="698"/>
    <n v="225"/>
    <x v="19"/>
    <x v="13"/>
    <x v="18"/>
    <x v="4"/>
    <x v="9"/>
    <m/>
  </r>
  <r>
    <d v="2025-06-23T00:00:00"/>
    <x v="5"/>
    <s v="Cutlery"/>
    <s v="3pcs"/>
    <x v="286"/>
    <x v="5"/>
    <x v="409"/>
    <n v="4"/>
    <n v="120"/>
    <x v="366"/>
    <x v="1"/>
    <x v="1"/>
    <x v="0"/>
    <s v="Returned"/>
    <n v="557"/>
    <n v="30"/>
    <x v="3"/>
    <x v="2"/>
    <x v="3"/>
    <x v="2"/>
    <x v="5"/>
    <m/>
  </r>
  <r>
    <d v="2025-06-24T00:00:00"/>
    <x v="5"/>
    <s v="Cutlery"/>
    <s v="3pcs"/>
    <x v="47"/>
    <x v="5"/>
    <x v="906"/>
    <n v="4"/>
    <n v="232"/>
    <x v="48"/>
    <x v="1"/>
    <x v="0"/>
    <x v="2"/>
    <s v="Delayed"/>
    <n v="531"/>
    <n v="58"/>
    <x v="0"/>
    <x v="0"/>
    <x v="0"/>
    <x v="2"/>
    <x v="4"/>
    <m/>
  </r>
  <r>
    <d v="2025-06-25T00:00:00"/>
    <x v="3"/>
    <s v="Containers"/>
    <s v="1L"/>
    <x v="426"/>
    <x v="3"/>
    <x v="775"/>
    <n v="3"/>
    <n v="780"/>
    <x v="719"/>
    <x v="2"/>
    <x v="1"/>
    <x v="2"/>
    <s v="Delivered"/>
    <n v="942"/>
    <n v="260"/>
    <x v="2"/>
    <x v="2"/>
    <x v="2"/>
    <x v="2"/>
    <x v="5"/>
    <m/>
  </r>
  <r>
    <d v="2025-06-26T00:00:00"/>
    <x v="1"/>
    <s v="Glass &amp; Bottles"/>
    <s v="750ml"/>
    <x v="325"/>
    <x v="1"/>
    <x v="907"/>
    <n v="12"/>
    <n v="2556"/>
    <x v="822"/>
    <x v="2"/>
    <x v="2"/>
    <x v="0"/>
    <s v="Returned"/>
    <n v="812"/>
    <n v="213"/>
    <x v="14"/>
    <x v="6"/>
    <x v="13"/>
    <x v="1"/>
    <x v="7"/>
    <m/>
  </r>
  <r>
    <d v="2025-06-27T00:00:00"/>
    <x v="3"/>
    <s v="Containers"/>
    <s v="1L"/>
    <x v="344"/>
    <x v="3"/>
    <x v="908"/>
    <n v="3"/>
    <n v="369"/>
    <x v="823"/>
    <x v="1"/>
    <x v="3"/>
    <x v="2"/>
    <s v="Delivered"/>
    <n v="557"/>
    <n v="123"/>
    <x v="10"/>
    <x v="8"/>
    <x v="10"/>
    <x v="0"/>
    <x v="3"/>
    <m/>
  </r>
  <r>
    <d v="2025-06-28T00:00:00"/>
    <x v="2"/>
    <s v="Housekeeping Items"/>
    <s v="Standard"/>
    <x v="181"/>
    <x v="2"/>
    <x v="909"/>
    <n v="100"/>
    <n v="32300"/>
    <x v="824"/>
    <x v="0"/>
    <x v="2"/>
    <x v="1"/>
    <s v="Delivered"/>
    <n v="690"/>
    <n v="323"/>
    <x v="0"/>
    <x v="0"/>
    <x v="0"/>
    <x v="0"/>
    <x v="7"/>
    <m/>
  </r>
  <r>
    <d v="2025-06-29T00:00:00"/>
    <x v="3"/>
    <s v="Containers"/>
    <s v="1L"/>
    <x v="31"/>
    <x v="3"/>
    <x v="724"/>
    <n v="3"/>
    <n v="1020"/>
    <x v="169"/>
    <x v="2"/>
    <x v="3"/>
    <x v="2"/>
    <s v="Delayed"/>
    <n v="907"/>
    <n v="340"/>
    <x v="15"/>
    <x v="10"/>
    <x v="14"/>
    <x v="3"/>
    <x v="4"/>
    <m/>
  </r>
  <r>
    <d v="2025-06-30T00:00:00"/>
    <x v="3"/>
    <s v="Containers"/>
    <s v="1L"/>
    <x v="8"/>
    <x v="3"/>
    <x v="910"/>
    <n v="3"/>
    <n v="549"/>
    <x v="825"/>
    <x v="1"/>
    <x v="2"/>
    <x v="1"/>
    <s v="Delayed"/>
    <n v="811"/>
    <n v="183"/>
    <x v="1"/>
    <x v="1"/>
    <x v="1"/>
    <x v="4"/>
    <x v="4"/>
    <m/>
  </r>
  <r>
    <d v="2025-07-01T00:00:00"/>
    <x v="2"/>
    <s v="Housekeeping Items"/>
    <s v="Standard"/>
    <x v="196"/>
    <x v="2"/>
    <x v="911"/>
    <n v="100"/>
    <n v="20500"/>
    <x v="826"/>
    <x v="2"/>
    <x v="2"/>
    <x v="2"/>
    <s v="Delayed"/>
    <n v="716"/>
    <n v="205"/>
    <x v="5"/>
    <x v="0"/>
    <x v="5"/>
    <x v="2"/>
    <x v="0"/>
    <m/>
  </r>
  <r>
    <d v="2025-07-02T00:00:00"/>
    <x v="1"/>
    <s v="Glass &amp; Bottles"/>
    <s v="750ml"/>
    <x v="371"/>
    <x v="1"/>
    <x v="912"/>
    <n v="12"/>
    <n v="276"/>
    <x v="827"/>
    <x v="0"/>
    <x v="2"/>
    <x v="1"/>
    <s v="Delayed"/>
    <n v="538"/>
    <n v="23"/>
    <x v="19"/>
    <x v="13"/>
    <x v="18"/>
    <x v="4"/>
    <x v="10"/>
    <m/>
  </r>
  <r>
    <d v="2025-07-03T00:00:00"/>
    <x v="4"/>
    <s v="Plates &amp; Bowls"/>
    <s v="500ml"/>
    <x v="44"/>
    <x v="4"/>
    <x v="913"/>
    <n v="1.5"/>
    <n v="748.5"/>
    <x v="828"/>
    <x v="0"/>
    <x v="0"/>
    <x v="1"/>
    <s v="Delivered"/>
    <n v="537"/>
    <n v="499"/>
    <x v="11"/>
    <x v="9"/>
    <x v="11"/>
    <x v="4"/>
    <x v="6"/>
    <m/>
  </r>
  <r>
    <d v="2025-07-04T00:00:00"/>
    <x v="1"/>
    <s v="Glass &amp; Bottles"/>
    <s v="750ml"/>
    <x v="191"/>
    <x v="1"/>
    <x v="914"/>
    <n v="12"/>
    <n v="5100"/>
    <x v="829"/>
    <x v="1"/>
    <x v="3"/>
    <x v="0"/>
    <s v="Returned"/>
    <n v="543"/>
    <n v="425"/>
    <x v="6"/>
    <x v="4"/>
    <x v="6"/>
    <x v="1"/>
    <x v="10"/>
    <m/>
  </r>
  <r>
    <d v="2025-07-05T00:00:00"/>
    <x v="4"/>
    <s v="Plates &amp; Bowls"/>
    <s v="500ml"/>
    <x v="235"/>
    <x v="4"/>
    <x v="915"/>
    <n v="1.5"/>
    <n v="592.5"/>
    <x v="830"/>
    <x v="0"/>
    <x v="2"/>
    <x v="0"/>
    <s v="Returned"/>
    <n v="852"/>
    <n v="395"/>
    <x v="3"/>
    <x v="2"/>
    <x v="3"/>
    <x v="4"/>
    <x v="1"/>
    <m/>
  </r>
  <r>
    <d v="2025-07-06T00:00:00"/>
    <x v="4"/>
    <s v="Plates &amp; Bowls"/>
    <s v="500ml"/>
    <x v="21"/>
    <x v="4"/>
    <x v="916"/>
    <n v="1.5"/>
    <n v="343.5"/>
    <x v="831"/>
    <x v="1"/>
    <x v="3"/>
    <x v="0"/>
    <s v="Returned"/>
    <n v="967"/>
    <n v="229"/>
    <x v="2"/>
    <x v="2"/>
    <x v="2"/>
    <x v="3"/>
    <x v="8"/>
    <m/>
  </r>
  <r>
    <d v="2025-07-07T00:00:00"/>
    <x v="0"/>
    <s v="Takeaway Boxes"/>
    <s v="Large"/>
    <x v="268"/>
    <x v="0"/>
    <x v="339"/>
    <n v="5"/>
    <n v="395"/>
    <x v="321"/>
    <x v="1"/>
    <x v="3"/>
    <x v="2"/>
    <s v="Delayed"/>
    <n v="536"/>
    <n v="79"/>
    <x v="3"/>
    <x v="2"/>
    <x v="3"/>
    <x v="0"/>
    <x v="5"/>
    <m/>
  </r>
  <r>
    <d v="2025-07-08T00:00:00"/>
    <x v="5"/>
    <s v="Cutlery"/>
    <s v="3pcs"/>
    <x v="163"/>
    <x v="5"/>
    <x v="917"/>
    <n v="4"/>
    <n v="1244"/>
    <x v="832"/>
    <x v="1"/>
    <x v="0"/>
    <x v="0"/>
    <s v="Delivered"/>
    <n v="969"/>
    <n v="311"/>
    <x v="0"/>
    <x v="0"/>
    <x v="0"/>
    <x v="3"/>
    <x v="3"/>
    <m/>
  </r>
  <r>
    <d v="2025-07-09T00:00:00"/>
    <x v="0"/>
    <s v="Takeaway Boxes"/>
    <s v="Large"/>
    <x v="94"/>
    <x v="0"/>
    <x v="21"/>
    <n v="5"/>
    <n v="1275"/>
    <x v="187"/>
    <x v="0"/>
    <x v="0"/>
    <x v="2"/>
    <s v="Returned"/>
    <n v="793"/>
    <n v="255"/>
    <x v="6"/>
    <x v="4"/>
    <x v="6"/>
    <x v="4"/>
    <x v="5"/>
    <m/>
  </r>
  <r>
    <d v="2025-07-10T00:00:00"/>
    <x v="3"/>
    <s v="Containers"/>
    <s v="1L"/>
    <x v="378"/>
    <x v="3"/>
    <x v="822"/>
    <n v="3"/>
    <n v="42"/>
    <x v="755"/>
    <x v="0"/>
    <x v="2"/>
    <x v="1"/>
    <s v="Delayed"/>
    <n v="873"/>
    <n v="14"/>
    <x v="16"/>
    <x v="4"/>
    <x v="15"/>
    <x v="3"/>
    <x v="10"/>
    <m/>
  </r>
  <r>
    <d v="2025-07-11T00:00:00"/>
    <x v="1"/>
    <s v="Glass &amp; Bottles"/>
    <s v="750ml"/>
    <x v="315"/>
    <x v="1"/>
    <x v="50"/>
    <n v="12"/>
    <n v="1464"/>
    <x v="131"/>
    <x v="2"/>
    <x v="3"/>
    <x v="0"/>
    <s v="Delivered"/>
    <n v="969"/>
    <n v="122"/>
    <x v="15"/>
    <x v="10"/>
    <x v="14"/>
    <x v="2"/>
    <x v="6"/>
    <m/>
  </r>
  <r>
    <d v="2025-07-12T00:00:00"/>
    <x v="1"/>
    <s v="Glass &amp; Bottles"/>
    <s v="750ml"/>
    <x v="366"/>
    <x v="1"/>
    <x v="918"/>
    <n v="12"/>
    <n v="5652"/>
    <x v="833"/>
    <x v="2"/>
    <x v="0"/>
    <x v="1"/>
    <s v="Returned"/>
    <n v="518"/>
    <n v="471"/>
    <x v="12"/>
    <x v="3"/>
    <x v="10"/>
    <x v="1"/>
    <x v="1"/>
    <m/>
  </r>
  <r>
    <d v="2025-07-13T00:00:00"/>
    <x v="3"/>
    <s v="Containers"/>
    <s v="1L"/>
    <x v="346"/>
    <x v="3"/>
    <x v="743"/>
    <n v="3"/>
    <n v="954"/>
    <x v="814"/>
    <x v="2"/>
    <x v="0"/>
    <x v="0"/>
    <s v="Returned"/>
    <n v="590"/>
    <n v="318"/>
    <x v="14"/>
    <x v="6"/>
    <x v="13"/>
    <x v="1"/>
    <x v="0"/>
    <m/>
  </r>
  <r>
    <d v="2025-07-14T00:00:00"/>
    <x v="0"/>
    <s v="Takeaway Boxes"/>
    <s v="Large"/>
    <x v="177"/>
    <x v="0"/>
    <x v="739"/>
    <n v="5"/>
    <n v="1695"/>
    <x v="834"/>
    <x v="1"/>
    <x v="0"/>
    <x v="2"/>
    <s v="Delivered"/>
    <n v="774"/>
    <n v="339"/>
    <x v="2"/>
    <x v="2"/>
    <x v="2"/>
    <x v="1"/>
    <x v="7"/>
    <m/>
  </r>
  <r>
    <d v="2025-07-15T00:00:00"/>
    <x v="0"/>
    <s v="Takeaway Boxes"/>
    <s v="Large"/>
    <x v="213"/>
    <x v="0"/>
    <x v="919"/>
    <n v="5"/>
    <n v="715"/>
    <x v="835"/>
    <x v="2"/>
    <x v="2"/>
    <x v="1"/>
    <s v="Returned"/>
    <n v="949"/>
    <n v="143"/>
    <x v="12"/>
    <x v="3"/>
    <x v="10"/>
    <x v="3"/>
    <x v="2"/>
    <m/>
  </r>
  <r>
    <d v="2025-07-16T00:00:00"/>
    <x v="4"/>
    <s v="Plates &amp; Bowls"/>
    <s v="500ml"/>
    <x v="393"/>
    <x v="4"/>
    <x v="177"/>
    <n v="1.5"/>
    <n v="684"/>
    <x v="673"/>
    <x v="2"/>
    <x v="2"/>
    <x v="1"/>
    <s v="Delayed"/>
    <n v="791"/>
    <n v="456"/>
    <x v="10"/>
    <x v="8"/>
    <x v="10"/>
    <x v="1"/>
    <x v="10"/>
    <m/>
  </r>
  <r>
    <d v="2025-07-17T00:00:00"/>
    <x v="2"/>
    <s v="Housekeeping Items"/>
    <s v="Standard"/>
    <x v="183"/>
    <x v="2"/>
    <x v="920"/>
    <n v="100"/>
    <n v="19700"/>
    <x v="836"/>
    <x v="1"/>
    <x v="0"/>
    <x v="1"/>
    <s v="Delayed"/>
    <n v="990"/>
    <n v="197"/>
    <x v="6"/>
    <x v="4"/>
    <x v="6"/>
    <x v="1"/>
    <x v="1"/>
    <m/>
  </r>
  <r>
    <d v="2025-07-18T00:00:00"/>
    <x v="5"/>
    <s v="Cutlery"/>
    <s v="3pcs"/>
    <x v="24"/>
    <x v="5"/>
    <x v="25"/>
    <n v="4"/>
    <n v="1304"/>
    <x v="25"/>
    <x v="2"/>
    <x v="0"/>
    <x v="1"/>
    <s v="Delivered"/>
    <n v="952"/>
    <n v="326"/>
    <x v="3"/>
    <x v="2"/>
    <x v="3"/>
    <x v="1"/>
    <x v="1"/>
    <m/>
  </r>
  <r>
    <d v="2025-07-19T00:00:00"/>
    <x v="1"/>
    <s v="Glass &amp; Bottles"/>
    <s v="750ml"/>
    <x v="428"/>
    <x v="1"/>
    <x v="921"/>
    <n v="12"/>
    <n v="5640"/>
    <x v="837"/>
    <x v="2"/>
    <x v="0"/>
    <x v="1"/>
    <s v="Returned"/>
    <n v="588"/>
    <n v="470"/>
    <x v="5"/>
    <x v="0"/>
    <x v="5"/>
    <x v="0"/>
    <x v="0"/>
    <m/>
  </r>
  <r>
    <d v="2025-07-20T00:00:00"/>
    <x v="3"/>
    <s v="Containers"/>
    <s v="1L"/>
    <x v="321"/>
    <x v="3"/>
    <x v="922"/>
    <n v="3"/>
    <n v="147"/>
    <x v="838"/>
    <x v="2"/>
    <x v="0"/>
    <x v="0"/>
    <s v="Delayed"/>
    <n v="908"/>
    <n v="49"/>
    <x v="0"/>
    <x v="0"/>
    <x v="0"/>
    <x v="1"/>
    <x v="4"/>
    <m/>
  </r>
  <r>
    <d v="2025-07-21T00:00:00"/>
    <x v="5"/>
    <s v="Cutlery"/>
    <s v="3pcs"/>
    <x v="24"/>
    <x v="5"/>
    <x v="25"/>
    <n v="4"/>
    <n v="1304"/>
    <x v="25"/>
    <x v="1"/>
    <x v="0"/>
    <x v="0"/>
    <s v="Delayed"/>
    <n v="648"/>
    <n v="326"/>
    <x v="18"/>
    <x v="12"/>
    <x v="17"/>
    <x v="2"/>
    <x v="0"/>
    <m/>
  </r>
  <r>
    <d v="2025-07-22T00:00:00"/>
    <x v="4"/>
    <s v="Plates &amp; Bowls"/>
    <s v="500ml"/>
    <x v="36"/>
    <x v="4"/>
    <x v="37"/>
    <n v="1.5"/>
    <n v="192"/>
    <x v="36"/>
    <x v="2"/>
    <x v="3"/>
    <x v="1"/>
    <s v="Delayed"/>
    <n v="846"/>
    <n v="128"/>
    <x v="15"/>
    <x v="10"/>
    <x v="14"/>
    <x v="1"/>
    <x v="9"/>
    <m/>
  </r>
  <r>
    <d v="2025-07-23T00:00:00"/>
    <x v="1"/>
    <s v="Glass &amp; Bottles"/>
    <s v="750ml"/>
    <x v="193"/>
    <x v="1"/>
    <x v="135"/>
    <n v="12"/>
    <n v="1116"/>
    <x v="568"/>
    <x v="0"/>
    <x v="0"/>
    <x v="0"/>
    <s v="Returned"/>
    <n v="616"/>
    <n v="93"/>
    <x v="5"/>
    <x v="0"/>
    <x v="5"/>
    <x v="2"/>
    <x v="10"/>
    <m/>
  </r>
  <r>
    <d v="2025-07-24T00:00:00"/>
    <x v="3"/>
    <s v="Containers"/>
    <s v="1L"/>
    <x v="163"/>
    <x v="3"/>
    <x v="923"/>
    <n v="3"/>
    <n v="933"/>
    <x v="832"/>
    <x v="2"/>
    <x v="1"/>
    <x v="0"/>
    <s v="Delayed"/>
    <n v="601"/>
    <n v="311"/>
    <x v="14"/>
    <x v="6"/>
    <x v="13"/>
    <x v="0"/>
    <x v="3"/>
    <m/>
  </r>
  <r>
    <d v="2025-07-25T00:00:00"/>
    <x v="3"/>
    <s v="Containers"/>
    <s v="1L"/>
    <x v="122"/>
    <x v="3"/>
    <x v="155"/>
    <n v="3"/>
    <n v="468"/>
    <x v="150"/>
    <x v="1"/>
    <x v="2"/>
    <x v="2"/>
    <s v="Delayed"/>
    <n v="942"/>
    <n v="156"/>
    <x v="17"/>
    <x v="11"/>
    <x v="16"/>
    <x v="3"/>
    <x v="0"/>
    <m/>
  </r>
  <r>
    <d v="2025-07-26T00:00:00"/>
    <x v="3"/>
    <s v="Containers"/>
    <s v="1L"/>
    <x v="72"/>
    <x v="3"/>
    <x v="346"/>
    <n v="3"/>
    <n v="552"/>
    <x v="328"/>
    <x v="1"/>
    <x v="3"/>
    <x v="0"/>
    <s v="Returned"/>
    <n v="857"/>
    <n v="184"/>
    <x v="6"/>
    <x v="4"/>
    <x v="6"/>
    <x v="2"/>
    <x v="4"/>
    <m/>
  </r>
  <r>
    <d v="2025-07-27T00:00:00"/>
    <x v="1"/>
    <s v="Glass &amp; Bottles"/>
    <s v="750ml"/>
    <x v="179"/>
    <x v="1"/>
    <x v="155"/>
    <n v="12"/>
    <n v="468"/>
    <x v="150"/>
    <x v="0"/>
    <x v="0"/>
    <x v="1"/>
    <s v="Delivered"/>
    <n v="505"/>
    <n v="39"/>
    <x v="5"/>
    <x v="0"/>
    <x v="5"/>
    <x v="4"/>
    <x v="2"/>
    <m/>
  </r>
  <r>
    <d v="2025-07-28T00:00:00"/>
    <x v="4"/>
    <s v="Plates &amp; Bowls"/>
    <s v="500ml"/>
    <x v="89"/>
    <x v="4"/>
    <x v="924"/>
    <n v="1.5"/>
    <n v="160.5"/>
    <x v="839"/>
    <x v="1"/>
    <x v="3"/>
    <x v="2"/>
    <s v="Delayed"/>
    <n v="825"/>
    <n v="107"/>
    <x v="1"/>
    <x v="1"/>
    <x v="1"/>
    <x v="2"/>
    <x v="0"/>
    <m/>
  </r>
  <r>
    <d v="2025-07-29T00:00:00"/>
    <x v="4"/>
    <s v="Plates &amp; Bowls"/>
    <s v="500ml"/>
    <x v="311"/>
    <x v="4"/>
    <x v="439"/>
    <n v="1.5"/>
    <n v="481.5"/>
    <x v="414"/>
    <x v="1"/>
    <x v="0"/>
    <x v="1"/>
    <s v="Returned"/>
    <n v="918"/>
    <n v="321"/>
    <x v="19"/>
    <x v="13"/>
    <x v="18"/>
    <x v="1"/>
    <x v="7"/>
    <m/>
  </r>
  <r>
    <d v="2025-07-30T00:00:00"/>
    <x v="4"/>
    <s v="Plates &amp; Bowls"/>
    <s v="500ml"/>
    <x v="22"/>
    <x v="4"/>
    <x v="925"/>
    <n v="1.5"/>
    <n v="103.5"/>
    <x v="840"/>
    <x v="0"/>
    <x v="3"/>
    <x v="0"/>
    <s v="Delivered"/>
    <n v="780"/>
    <n v="69"/>
    <x v="17"/>
    <x v="11"/>
    <x v="16"/>
    <x v="3"/>
    <x v="3"/>
    <m/>
  </r>
  <r>
    <d v="2025-07-31T00:00:00"/>
    <x v="5"/>
    <s v="Cutlery"/>
    <s v="3pcs"/>
    <x v="317"/>
    <x v="5"/>
    <x v="323"/>
    <n v="4"/>
    <n v="336"/>
    <x v="468"/>
    <x v="2"/>
    <x v="3"/>
    <x v="0"/>
    <s v="Returned"/>
    <n v="844"/>
    <n v="84"/>
    <x v="11"/>
    <x v="9"/>
    <x v="11"/>
    <x v="3"/>
    <x v="2"/>
    <m/>
  </r>
  <r>
    <d v="2025-08-01T00:00:00"/>
    <x v="5"/>
    <s v="Cutlery"/>
    <s v="3pcs"/>
    <x v="347"/>
    <x v="5"/>
    <x v="926"/>
    <n v="4"/>
    <n v="656"/>
    <x v="245"/>
    <x v="0"/>
    <x v="0"/>
    <x v="2"/>
    <s v="Delayed"/>
    <n v="732"/>
    <n v="164"/>
    <x v="14"/>
    <x v="6"/>
    <x v="13"/>
    <x v="1"/>
    <x v="3"/>
    <m/>
  </r>
  <r>
    <d v="2025-08-02T00:00:00"/>
    <x v="1"/>
    <s v="Glass &amp; Bottles"/>
    <s v="750ml"/>
    <x v="14"/>
    <x v="1"/>
    <x v="927"/>
    <n v="12"/>
    <n v="3612"/>
    <x v="841"/>
    <x v="0"/>
    <x v="3"/>
    <x v="1"/>
    <s v="Delayed"/>
    <n v="796"/>
    <n v="301"/>
    <x v="16"/>
    <x v="4"/>
    <x v="15"/>
    <x v="2"/>
    <x v="9"/>
    <m/>
  </r>
  <r>
    <d v="2025-08-03T00:00:00"/>
    <x v="2"/>
    <s v="Housekeeping Items"/>
    <s v="Standard"/>
    <x v="173"/>
    <x v="2"/>
    <x v="198"/>
    <n v="100"/>
    <n v="24600"/>
    <x v="194"/>
    <x v="0"/>
    <x v="2"/>
    <x v="0"/>
    <s v="Returned"/>
    <n v="504"/>
    <n v="246"/>
    <x v="10"/>
    <x v="8"/>
    <x v="10"/>
    <x v="0"/>
    <x v="5"/>
    <m/>
  </r>
  <r>
    <d v="2025-08-04T00:00:00"/>
    <x v="2"/>
    <s v="Housekeeping Items"/>
    <s v="Standard"/>
    <x v="57"/>
    <x v="2"/>
    <x v="928"/>
    <n v="100"/>
    <n v="43400"/>
    <x v="842"/>
    <x v="1"/>
    <x v="0"/>
    <x v="1"/>
    <s v="Returned"/>
    <n v="532"/>
    <n v="434"/>
    <x v="7"/>
    <x v="5"/>
    <x v="7"/>
    <x v="0"/>
    <x v="2"/>
    <m/>
  </r>
  <r>
    <d v="2025-08-05T00:00:00"/>
    <x v="5"/>
    <s v="Cutlery"/>
    <s v="3pcs"/>
    <x v="335"/>
    <x v="5"/>
    <x v="929"/>
    <n v="4"/>
    <n v="1992"/>
    <x v="686"/>
    <x v="1"/>
    <x v="3"/>
    <x v="1"/>
    <s v="Delivered"/>
    <n v="513"/>
    <n v="498"/>
    <x v="4"/>
    <x v="3"/>
    <x v="4"/>
    <x v="4"/>
    <x v="2"/>
    <m/>
  </r>
  <r>
    <d v="2025-08-06T00:00:00"/>
    <x v="1"/>
    <s v="Glass &amp; Bottles"/>
    <s v="750ml"/>
    <x v="279"/>
    <x v="1"/>
    <x v="930"/>
    <n v="12"/>
    <n v="2532"/>
    <x v="843"/>
    <x v="0"/>
    <x v="2"/>
    <x v="2"/>
    <s v="Returned"/>
    <n v="847"/>
    <n v="211"/>
    <x v="16"/>
    <x v="4"/>
    <x v="15"/>
    <x v="2"/>
    <x v="3"/>
    <m/>
  </r>
  <r>
    <d v="2025-08-07T00:00:00"/>
    <x v="5"/>
    <s v="Cutlery"/>
    <s v="3pcs"/>
    <x v="250"/>
    <x v="5"/>
    <x v="892"/>
    <n v="4"/>
    <n v="1532"/>
    <x v="703"/>
    <x v="2"/>
    <x v="3"/>
    <x v="2"/>
    <s v="Returned"/>
    <n v="993"/>
    <n v="383"/>
    <x v="11"/>
    <x v="9"/>
    <x v="11"/>
    <x v="3"/>
    <x v="9"/>
    <m/>
  </r>
  <r>
    <d v="2025-08-08T00:00:00"/>
    <x v="5"/>
    <s v="Cutlery"/>
    <s v="3pcs"/>
    <x v="294"/>
    <x v="5"/>
    <x v="931"/>
    <n v="4"/>
    <n v="688"/>
    <x v="378"/>
    <x v="0"/>
    <x v="2"/>
    <x v="0"/>
    <s v="Delivered"/>
    <n v="747"/>
    <n v="172"/>
    <x v="8"/>
    <x v="6"/>
    <x v="8"/>
    <x v="1"/>
    <x v="9"/>
    <m/>
  </r>
  <r>
    <d v="2025-08-09T00:00:00"/>
    <x v="5"/>
    <s v="Cutlery"/>
    <s v="3pcs"/>
    <x v="375"/>
    <x v="5"/>
    <x v="932"/>
    <n v="4"/>
    <n v="980"/>
    <x v="547"/>
    <x v="1"/>
    <x v="2"/>
    <x v="1"/>
    <s v="Delayed"/>
    <n v="966"/>
    <n v="245"/>
    <x v="9"/>
    <x v="7"/>
    <x v="9"/>
    <x v="4"/>
    <x v="4"/>
    <m/>
  </r>
  <r>
    <d v="2025-08-10T00:00:00"/>
    <x v="4"/>
    <s v="Plates &amp; Bowls"/>
    <s v="500ml"/>
    <x v="114"/>
    <x v="4"/>
    <x v="933"/>
    <n v="1.5"/>
    <n v="421.5"/>
    <x v="844"/>
    <x v="0"/>
    <x v="2"/>
    <x v="0"/>
    <s v="Delivered"/>
    <n v="589"/>
    <n v="281"/>
    <x v="17"/>
    <x v="11"/>
    <x v="16"/>
    <x v="0"/>
    <x v="10"/>
    <m/>
  </r>
  <r>
    <d v="2025-08-11T00:00:00"/>
    <x v="0"/>
    <s v="Takeaway Boxes"/>
    <s v="Large"/>
    <x v="88"/>
    <x v="0"/>
    <x v="934"/>
    <n v="5"/>
    <n v="815"/>
    <x v="682"/>
    <x v="2"/>
    <x v="1"/>
    <x v="0"/>
    <s v="Returned"/>
    <n v="518"/>
    <n v="163"/>
    <x v="2"/>
    <x v="2"/>
    <x v="2"/>
    <x v="0"/>
    <x v="7"/>
    <m/>
  </r>
  <r>
    <d v="2025-08-12T00:00:00"/>
    <x v="0"/>
    <s v="Takeaway Boxes"/>
    <s v="Large"/>
    <x v="120"/>
    <x v="0"/>
    <x v="935"/>
    <n v="5"/>
    <n v="405"/>
    <x v="669"/>
    <x v="1"/>
    <x v="1"/>
    <x v="1"/>
    <s v="Returned"/>
    <n v="713"/>
    <n v="81"/>
    <x v="10"/>
    <x v="8"/>
    <x v="10"/>
    <x v="0"/>
    <x v="10"/>
    <m/>
  </r>
  <r>
    <d v="2025-08-13T00:00:00"/>
    <x v="3"/>
    <s v="Containers"/>
    <s v="1L"/>
    <x v="126"/>
    <x v="3"/>
    <x v="936"/>
    <n v="3"/>
    <n v="1308"/>
    <x v="845"/>
    <x v="1"/>
    <x v="1"/>
    <x v="0"/>
    <s v="Returned"/>
    <n v="843"/>
    <n v="436"/>
    <x v="11"/>
    <x v="9"/>
    <x v="11"/>
    <x v="2"/>
    <x v="6"/>
    <m/>
  </r>
  <r>
    <d v="2025-08-14T00:00:00"/>
    <x v="1"/>
    <s v="Glass &amp; Bottles"/>
    <s v="750ml"/>
    <x v="421"/>
    <x v="1"/>
    <x v="937"/>
    <n v="12"/>
    <n v="5772"/>
    <x v="846"/>
    <x v="1"/>
    <x v="1"/>
    <x v="1"/>
    <s v="Delayed"/>
    <n v="808"/>
    <n v="481"/>
    <x v="9"/>
    <x v="7"/>
    <x v="9"/>
    <x v="1"/>
    <x v="0"/>
    <m/>
  </r>
  <r>
    <d v="2025-08-15T00:00:00"/>
    <x v="0"/>
    <s v="Takeaway Boxes"/>
    <s v="Large"/>
    <x v="455"/>
    <x v="0"/>
    <x v="938"/>
    <n v="5"/>
    <n v="2030"/>
    <x v="847"/>
    <x v="1"/>
    <x v="3"/>
    <x v="2"/>
    <s v="Returned"/>
    <n v="995"/>
    <n v="406"/>
    <x v="14"/>
    <x v="6"/>
    <x v="13"/>
    <x v="1"/>
    <x v="2"/>
    <m/>
  </r>
  <r>
    <d v="2025-08-16T00:00:00"/>
    <x v="3"/>
    <s v="Containers"/>
    <s v="1L"/>
    <x v="80"/>
    <x v="3"/>
    <x v="84"/>
    <n v="3"/>
    <n v="564"/>
    <x v="82"/>
    <x v="1"/>
    <x v="0"/>
    <x v="1"/>
    <s v="Delivered"/>
    <n v="677"/>
    <n v="188"/>
    <x v="8"/>
    <x v="6"/>
    <x v="8"/>
    <x v="1"/>
    <x v="0"/>
    <m/>
  </r>
  <r>
    <d v="2025-08-17T00:00:00"/>
    <x v="5"/>
    <s v="Cutlery"/>
    <s v="3pcs"/>
    <x v="105"/>
    <x v="5"/>
    <x v="939"/>
    <n v="4"/>
    <n v="1268"/>
    <x v="848"/>
    <x v="0"/>
    <x v="1"/>
    <x v="0"/>
    <s v="Delayed"/>
    <n v="641"/>
    <n v="317"/>
    <x v="2"/>
    <x v="2"/>
    <x v="2"/>
    <x v="4"/>
    <x v="0"/>
    <m/>
  </r>
  <r>
    <d v="2025-08-18T00:00:00"/>
    <x v="2"/>
    <s v="Housekeeping Items"/>
    <s v="Standard"/>
    <x v="441"/>
    <x v="2"/>
    <x v="940"/>
    <n v="100"/>
    <n v="21500"/>
    <x v="849"/>
    <x v="2"/>
    <x v="1"/>
    <x v="2"/>
    <s v="Delayed"/>
    <n v="640"/>
    <n v="215"/>
    <x v="4"/>
    <x v="3"/>
    <x v="4"/>
    <x v="4"/>
    <x v="10"/>
    <m/>
  </r>
  <r>
    <d v="2025-08-19T00:00:00"/>
    <x v="0"/>
    <s v="Takeaway Boxes"/>
    <s v="Large"/>
    <x v="392"/>
    <x v="0"/>
    <x v="460"/>
    <n v="5"/>
    <n v="675"/>
    <x v="850"/>
    <x v="2"/>
    <x v="1"/>
    <x v="1"/>
    <s v="Delivered"/>
    <n v="548"/>
    <n v="135"/>
    <x v="18"/>
    <x v="12"/>
    <x v="17"/>
    <x v="1"/>
    <x v="4"/>
    <m/>
  </r>
  <r>
    <d v="2025-08-20T00:00:00"/>
    <x v="3"/>
    <s v="Containers"/>
    <s v="1L"/>
    <x v="160"/>
    <x v="3"/>
    <x v="941"/>
    <n v="3"/>
    <n v="711"/>
    <x v="851"/>
    <x v="2"/>
    <x v="2"/>
    <x v="1"/>
    <s v="Delivered"/>
    <n v="808"/>
    <n v="237"/>
    <x v="8"/>
    <x v="6"/>
    <x v="8"/>
    <x v="3"/>
    <x v="3"/>
    <m/>
  </r>
  <r>
    <d v="2025-08-21T00:00:00"/>
    <x v="2"/>
    <s v="Housekeeping Items"/>
    <s v="Standard"/>
    <x v="144"/>
    <x v="2"/>
    <x v="942"/>
    <n v="100"/>
    <n v="41300"/>
    <x v="852"/>
    <x v="0"/>
    <x v="2"/>
    <x v="1"/>
    <s v="Delayed"/>
    <n v="777"/>
    <n v="413"/>
    <x v="11"/>
    <x v="9"/>
    <x v="11"/>
    <x v="2"/>
    <x v="8"/>
    <m/>
  </r>
  <r>
    <d v="2025-08-22T00:00:00"/>
    <x v="4"/>
    <s v="Plates &amp; Bowls"/>
    <s v="500ml"/>
    <x v="8"/>
    <x v="4"/>
    <x v="943"/>
    <n v="1.5"/>
    <n v="274.5"/>
    <x v="853"/>
    <x v="0"/>
    <x v="3"/>
    <x v="2"/>
    <s v="Returned"/>
    <n v="694"/>
    <n v="183"/>
    <x v="2"/>
    <x v="2"/>
    <x v="2"/>
    <x v="3"/>
    <x v="8"/>
    <m/>
  </r>
  <r>
    <d v="2025-08-23T00:00:00"/>
    <x v="3"/>
    <s v="Containers"/>
    <s v="1L"/>
    <x v="21"/>
    <x v="3"/>
    <x v="22"/>
    <n v="3"/>
    <n v="687"/>
    <x v="22"/>
    <x v="0"/>
    <x v="2"/>
    <x v="0"/>
    <s v="Delayed"/>
    <n v="757"/>
    <n v="229"/>
    <x v="10"/>
    <x v="8"/>
    <x v="10"/>
    <x v="2"/>
    <x v="7"/>
    <m/>
  </r>
  <r>
    <d v="2025-08-24T00:00:00"/>
    <x v="5"/>
    <s v="Cutlery"/>
    <s v="3pcs"/>
    <x v="409"/>
    <x v="5"/>
    <x v="944"/>
    <n v="4"/>
    <n v="1608"/>
    <x v="296"/>
    <x v="2"/>
    <x v="0"/>
    <x v="1"/>
    <s v="Returned"/>
    <n v="760"/>
    <n v="402"/>
    <x v="0"/>
    <x v="0"/>
    <x v="0"/>
    <x v="0"/>
    <x v="6"/>
    <m/>
  </r>
  <r>
    <d v="2025-08-25T00:00:00"/>
    <x v="1"/>
    <s v="Glass &amp; Bottles"/>
    <s v="750ml"/>
    <x v="345"/>
    <x v="1"/>
    <x v="945"/>
    <n v="12"/>
    <n v="2172"/>
    <x v="854"/>
    <x v="0"/>
    <x v="0"/>
    <x v="2"/>
    <s v="Delivered"/>
    <n v="755"/>
    <n v="181"/>
    <x v="0"/>
    <x v="0"/>
    <x v="0"/>
    <x v="0"/>
    <x v="2"/>
    <m/>
  </r>
  <r>
    <d v="2025-08-26T00:00:00"/>
    <x v="4"/>
    <s v="Plates &amp; Bowls"/>
    <s v="500ml"/>
    <x v="191"/>
    <x v="4"/>
    <x v="946"/>
    <n v="1.5"/>
    <n v="637.5"/>
    <x v="855"/>
    <x v="0"/>
    <x v="2"/>
    <x v="1"/>
    <s v="Returned"/>
    <n v="972"/>
    <n v="425"/>
    <x v="16"/>
    <x v="4"/>
    <x v="15"/>
    <x v="2"/>
    <x v="5"/>
    <m/>
  </r>
  <r>
    <d v="2025-08-27T00:00:00"/>
    <x v="2"/>
    <s v="Housekeeping Items"/>
    <s v="Standard"/>
    <x v="426"/>
    <x v="2"/>
    <x v="947"/>
    <n v="100"/>
    <n v="26000"/>
    <x v="856"/>
    <x v="1"/>
    <x v="2"/>
    <x v="2"/>
    <s v="Delivered"/>
    <n v="929"/>
    <n v="260"/>
    <x v="1"/>
    <x v="1"/>
    <x v="1"/>
    <x v="2"/>
    <x v="2"/>
    <m/>
  </r>
  <r>
    <d v="2025-08-28T00:00:00"/>
    <x v="0"/>
    <s v="Takeaway Boxes"/>
    <s v="Large"/>
    <x v="93"/>
    <x v="0"/>
    <x v="145"/>
    <n v="5"/>
    <n v="2145"/>
    <x v="141"/>
    <x v="1"/>
    <x v="2"/>
    <x v="0"/>
    <s v="Delivered"/>
    <n v="747"/>
    <n v="429"/>
    <x v="13"/>
    <x v="2"/>
    <x v="12"/>
    <x v="4"/>
    <x v="2"/>
    <m/>
  </r>
  <r>
    <d v="2025-08-29T00:00:00"/>
    <x v="1"/>
    <s v="Glass &amp; Bottles"/>
    <s v="750ml"/>
    <x v="218"/>
    <x v="1"/>
    <x v="948"/>
    <n v="12"/>
    <n v="3312"/>
    <x v="857"/>
    <x v="0"/>
    <x v="3"/>
    <x v="1"/>
    <s v="Delayed"/>
    <n v="832"/>
    <n v="276"/>
    <x v="16"/>
    <x v="4"/>
    <x v="15"/>
    <x v="3"/>
    <x v="0"/>
    <m/>
  </r>
  <r>
    <d v="2025-08-30T00:00:00"/>
    <x v="4"/>
    <s v="Plates &amp; Bowls"/>
    <s v="500ml"/>
    <x v="227"/>
    <x v="4"/>
    <x v="463"/>
    <n v="1.5"/>
    <n v="594"/>
    <x v="235"/>
    <x v="0"/>
    <x v="1"/>
    <x v="1"/>
    <s v="Delivered"/>
    <n v="818"/>
    <n v="396"/>
    <x v="1"/>
    <x v="1"/>
    <x v="1"/>
    <x v="2"/>
    <x v="6"/>
    <m/>
  </r>
  <r>
    <d v="2025-08-31T00:00:00"/>
    <x v="3"/>
    <s v="Containers"/>
    <s v="1L"/>
    <x v="434"/>
    <x v="3"/>
    <x v="949"/>
    <n v="3"/>
    <n v="1383"/>
    <x v="858"/>
    <x v="0"/>
    <x v="3"/>
    <x v="2"/>
    <s v="Delayed"/>
    <n v="595"/>
    <n v="461"/>
    <x v="19"/>
    <x v="13"/>
    <x v="18"/>
    <x v="2"/>
    <x v="5"/>
    <m/>
  </r>
  <r>
    <d v="2025-09-01T00:00:00"/>
    <x v="2"/>
    <s v="Housekeeping Items"/>
    <s v="Standard"/>
    <x v="379"/>
    <x v="2"/>
    <x v="950"/>
    <n v="100"/>
    <n v="35500"/>
    <x v="859"/>
    <x v="2"/>
    <x v="0"/>
    <x v="2"/>
    <s v="Delivered"/>
    <n v="682"/>
    <n v="355"/>
    <x v="9"/>
    <x v="7"/>
    <x v="9"/>
    <x v="0"/>
    <x v="0"/>
    <m/>
  </r>
  <r>
    <d v="2025-09-02T00:00:00"/>
    <x v="3"/>
    <s v="Containers"/>
    <s v="1L"/>
    <x v="296"/>
    <x v="3"/>
    <x v="951"/>
    <n v="3"/>
    <n v="1113"/>
    <x v="860"/>
    <x v="1"/>
    <x v="0"/>
    <x v="0"/>
    <s v="Delayed"/>
    <n v="568"/>
    <n v="371"/>
    <x v="2"/>
    <x v="2"/>
    <x v="2"/>
    <x v="3"/>
    <x v="6"/>
    <m/>
  </r>
  <r>
    <d v="2025-09-03T00:00:00"/>
    <x v="1"/>
    <s v="Glass &amp; Bottles"/>
    <s v="750ml"/>
    <x v="456"/>
    <x v="1"/>
    <x v="836"/>
    <n v="12"/>
    <n v="528"/>
    <x v="766"/>
    <x v="2"/>
    <x v="3"/>
    <x v="1"/>
    <s v="Delivered"/>
    <n v="777"/>
    <n v="44"/>
    <x v="12"/>
    <x v="3"/>
    <x v="10"/>
    <x v="3"/>
    <x v="7"/>
    <m/>
  </r>
  <r>
    <d v="2025-09-04T00:00:00"/>
    <x v="3"/>
    <s v="Containers"/>
    <s v="1L"/>
    <x v="135"/>
    <x v="3"/>
    <x v="100"/>
    <n v="3"/>
    <n v="441"/>
    <x v="97"/>
    <x v="0"/>
    <x v="3"/>
    <x v="2"/>
    <s v="Delivered"/>
    <n v="986"/>
    <n v="147"/>
    <x v="11"/>
    <x v="9"/>
    <x v="11"/>
    <x v="2"/>
    <x v="8"/>
    <m/>
  </r>
  <r>
    <d v="2025-09-05T00:00:00"/>
    <x v="5"/>
    <s v="Cutlery"/>
    <s v="3pcs"/>
    <x v="9"/>
    <x v="5"/>
    <x v="400"/>
    <n v="4"/>
    <n v="1500"/>
    <x v="377"/>
    <x v="1"/>
    <x v="0"/>
    <x v="2"/>
    <s v="Delivered"/>
    <n v="906"/>
    <n v="375"/>
    <x v="6"/>
    <x v="4"/>
    <x v="6"/>
    <x v="1"/>
    <x v="6"/>
    <m/>
  </r>
  <r>
    <d v="2025-09-06T00:00:00"/>
    <x v="1"/>
    <s v="Glass &amp; Bottles"/>
    <s v="750ml"/>
    <x v="202"/>
    <x v="1"/>
    <x v="232"/>
    <n v="12"/>
    <n v="5340"/>
    <x v="226"/>
    <x v="1"/>
    <x v="0"/>
    <x v="1"/>
    <s v="Delivered"/>
    <n v="974"/>
    <n v="445"/>
    <x v="8"/>
    <x v="6"/>
    <x v="8"/>
    <x v="3"/>
    <x v="8"/>
    <m/>
  </r>
  <r>
    <d v="2025-09-07T00:00:00"/>
    <x v="3"/>
    <s v="Containers"/>
    <s v="1L"/>
    <x v="168"/>
    <x v="3"/>
    <x v="425"/>
    <n v="3"/>
    <n v="285"/>
    <x v="400"/>
    <x v="2"/>
    <x v="2"/>
    <x v="2"/>
    <s v="Delivered"/>
    <n v="971"/>
    <n v="95"/>
    <x v="7"/>
    <x v="5"/>
    <x v="7"/>
    <x v="2"/>
    <x v="7"/>
    <m/>
  </r>
  <r>
    <d v="2025-09-08T00:00:00"/>
    <x v="1"/>
    <s v="Glass &amp; Bottles"/>
    <s v="750ml"/>
    <x v="265"/>
    <x v="1"/>
    <x v="952"/>
    <n v="12"/>
    <n v="5352"/>
    <x v="861"/>
    <x v="2"/>
    <x v="3"/>
    <x v="2"/>
    <s v="Delayed"/>
    <n v="950"/>
    <n v="446"/>
    <x v="8"/>
    <x v="6"/>
    <x v="8"/>
    <x v="4"/>
    <x v="10"/>
    <m/>
  </r>
  <r>
    <d v="2025-09-09T00:00:00"/>
    <x v="2"/>
    <s v="Housekeeping Items"/>
    <s v="Standard"/>
    <x v="328"/>
    <x v="2"/>
    <x v="953"/>
    <n v="100"/>
    <n v="39100"/>
    <x v="862"/>
    <x v="2"/>
    <x v="1"/>
    <x v="0"/>
    <s v="Delivered"/>
    <n v="883"/>
    <n v="391"/>
    <x v="5"/>
    <x v="0"/>
    <x v="5"/>
    <x v="3"/>
    <x v="8"/>
    <m/>
  </r>
  <r>
    <d v="2025-09-10T00:00:00"/>
    <x v="5"/>
    <s v="Cutlery"/>
    <s v="3pcs"/>
    <x v="218"/>
    <x v="5"/>
    <x v="954"/>
    <n v="4"/>
    <n v="1104"/>
    <x v="441"/>
    <x v="2"/>
    <x v="2"/>
    <x v="0"/>
    <s v="Returned"/>
    <n v="669"/>
    <n v="276"/>
    <x v="17"/>
    <x v="11"/>
    <x v="16"/>
    <x v="1"/>
    <x v="6"/>
    <m/>
  </r>
  <r>
    <d v="2025-09-11T00:00:00"/>
    <x v="5"/>
    <s v="Cutlery"/>
    <s v="3pcs"/>
    <x v="15"/>
    <x v="5"/>
    <x v="850"/>
    <n v="4"/>
    <n v="1476"/>
    <x v="775"/>
    <x v="1"/>
    <x v="2"/>
    <x v="0"/>
    <s v="Delivered"/>
    <n v="759"/>
    <n v="369"/>
    <x v="0"/>
    <x v="0"/>
    <x v="0"/>
    <x v="4"/>
    <x v="6"/>
    <m/>
  </r>
  <r>
    <d v="2025-09-12T00:00:00"/>
    <x v="3"/>
    <s v="Containers"/>
    <s v="1L"/>
    <x v="457"/>
    <x v="3"/>
    <x v="955"/>
    <n v="3"/>
    <n v="855"/>
    <x v="395"/>
    <x v="2"/>
    <x v="0"/>
    <x v="0"/>
    <s v="Returned"/>
    <n v="610"/>
    <n v="285"/>
    <x v="3"/>
    <x v="2"/>
    <x v="3"/>
    <x v="0"/>
    <x v="9"/>
    <m/>
  </r>
  <r>
    <d v="2025-09-13T00:00:00"/>
    <x v="4"/>
    <s v="Plates &amp; Bowls"/>
    <s v="500ml"/>
    <x v="458"/>
    <x v="4"/>
    <x v="956"/>
    <n v="1.5"/>
    <n v="472.5"/>
    <x v="444"/>
    <x v="0"/>
    <x v="3"/>
    <x v="1"/>
    <s v="Returned"/>
    <n v="782"/>
    <n v="315"/>
    <x v="9"/>
    <x v="7"/>
    <x v="9"/>
    <x v="3"/>
    <x v="7"/>
    <m/>
  </r>
  <r>
    <d v="2025-09-14T00:00:00"/>
    <x v="5"/>
    <s v="Cutlery"/>
    <s v="3pcs"/>
    <x v="7"/>
    <x v="5"/>
    <x v="957"/>
    <n v="4"/>
    <n v="700"/>
    <x v="439"/>
    <x v="0"/>
    <x v="1"/>
    <x v="1"/>
    <s v="Returned"/>
    <n v="501"/>
    <n v="175"/>
    <x v="17"/>
    <x v="11"/>
    <x v="16"/>
    <x v="3"/>
    <x v="0"/>
    <m/>
  </r>
  <r>
    <d v="2025-09-15T00:00:00"/>
    <x v="2"/>
    <s v="Housekeeping Items"/>
    <s v="Standard"/>
    <x v="139"/>
    <x v="2"/>
    <x v="591"/>
    <n v="100"/>
    <n v="19500"/>
    <x v="558"/>
    <x v="0"/>
    <x v="3"/>
    <x v="0"/>
    <s v="Returned"/>
    <n v="940"/>
    <n v="195"/>
    <x v="9"/>
    <x v="7"/>
    <x v="9"/>
    <x v="4"/>
    <x v="0"/>
    <m/>
  </r>
  <r>
    <d v="2025-09-16T00:00:00"/>
    <x v="3"/>
    <s v="Containers"/>
    <s v="1L"/>
    <x v="153"/>
    <x v="3"/>
    <x v="273"/>
    <n v="3"/>
    <n v="972"/>
    <x v="264"/>
    <x v="2"/>
    <x v="1"/>
    <x v="1"/>
    <s v="Delayed"/>
    <n v="738"/>
    <n v="324"/>
    <x v="1"/>
    <x v="1"/>
    <x v="1"/>
    <x v="0"/>
    <x v="1"/>
    <m/>
  </r>
  <r>
    <d v="2025-09-17T00:00:00"/>
    <x v="0"/>
    <s v="Takeaway Boxes"/>
    <s v="Large"/>
    <x v="300"/>
    <x v="0"/>
    <x v="75"/>
    <n v="5"/>
    <n v="2300"/>
    <x v="863"/>
    <x v="1"/>
    <x v="3"/>
    <x v="0"/>
    <s v="Returned"/>
    <n v="927"/>
    <n v="460"/>
    <x v="3"/>
    <x v="2"/>
    <x v="3"/>
    <x v="2"/>
    <x v="3"/>
    <m/>
  </r>
  <r>
    <d v="2025-09-18T00:00:00"/>
    <x v="4"/>
    <s v="Plates &amp; Bowls"/>
    <s v="500ml"/>
    <x v="459"/>
    <x v="4"/>
    <x v="958"/>
    <n v="1.5"/>
    <n v="340.5"/>
    <x v="864"/>
    <x v="1"/>
    <x v="3"/>
    <x v="1"/>
    <s v="Returned"/>
    <n v="629"/>
    <n v="227"/>
    <x v="0"/>
    <x v="0"/>
    <x v="0"/>
    <x v="1"/>
    <x v="4"/>
    <m/>
  </r>
  <r>
    <d v="2025-09-19T00:00:00"/>
    <x v="4"/>
    <s v="Plates &amp; Bowls"/>
    <s v="500ml"/>
    <x v="457"/>
    <x v="4"/>
    <x v="959"/>
    <n v="1.5"/>
    <n v="427.5"/>
    <x v="186"/>
    <x v="0"/>
    <x v="1"/>
    <x v="1"/>
    <s v="Returned"/>
    <n v="984"/>
    <n v="285"/>
    <x v="6"/>
    <x v="4"/>
    <x v="6"/>
    <x v="4"/>
    <x v="10"/>
    <m/>
  </r>
  <r>
    <d v="2025-09-20T00:00:00"/>
    <x v="1"/>
    <s v="Glass &amp; Bottles"/>
    <s v="750ml"/>
    <x v="62"/>
    <x v="1"/>
    <x v="960"/>
    <n v="12"/>
    <n v="1740"/>
    <x v="865"/>
    <x v="0"/>
    <x v="2"/>
    <x v="1"/>
    <s v="Returned"/>
    <n v="630"/>
    <n v="145"/>
    <x v="10"/>
    <x v="8"/>
    <x v="10"/>
    <x v="4"/>
    <x v="1"/>
    <m/>
  </r>
  <r>
    <d v="2025-09-21T00:00:00"/>
    <x v="0"/>
    <s v="Takeaway Boxes"/>
    <s v="Large"/>
    <x v="160"/>
    <x v="0"/>
    <x v="961"/>
    <n v="5"/>
    <n v="1185"/>
    <x v="866"/>
    <x v="0"/>
    <x v="2"/>
    <x v="0"/>
    <s v="Delayed"/>
    <n v="862"/>
    <n v="237"/>
    <x v="5"/>
    <x v="0"/>
    <x v="5"/>
    <x v="1"/>
    <x v="0"/>
    <m/>
  </r>
  <r>
    <d v="2025-09-22T00:00:00"/>
    <x v="2"/>
    <s v="Housekeeping Items"/>
    <s v="Standard"/>
    <x v="300"/>
    <x v="2"/>
    <x v="415"/>
    <n v="100"/>
    <n v="46000"/>
    <x v="391"/>
    <x v="1"/>
    <x v="0"/>
    <x v="2"/>
    <s v="Returned"/>
    <n v="772"/>
    <n v="460"/>
    <x v="11"/>
    <x v="9"/>
    <x v="11"/>
    <x v="2"/>
    <x v="2"/>
    <m/>
  </r>
  <r>
    <d v="2025-09-23T00:00:00"/>
    <x v="2"/>
    <s v="Housekeeping Items"/>
    <s v="Standard"/>
    <x v="363"/>
    <x v="2"/>
    <x v="962"/>
    <n v="100"/>
    <n v="19900"/>
    <x v="867"/>
    <x v="0"/>
    <x v="3"/>
    <x v="2"/>
    <s v="Returned"/>
    <n v="669"/>
    <n v="199"/>
    <x v="7"/>
    <x v="5"/>
    <x v="7"/>
    <x v="4"/>
    <x v="4"/>
    <m/>
  </r>
  <r>
    <d v="2025-09-24T00:00:00"/>
    <x v="2"/>
    <s v="Housekeeping Items"/>
    <s v="Standard"/>
    <x v="14"/>
    <x v="2"/>
    <x v="15"/>
    <n v="100"/>
    <n v="30100"/>
    <x v="15"/>
    <x v="1"/>
    <x v="3"/>
    <x v="0"/>
    <s v="Delivered"/>
    <n v="705"/>
    <n v="301"/>
    <x v="14"/>
    <x v="6"/>
    <x v="13"/>
    <x v="2"/>
    <x v="6"/>
    <m/>
  </r>
  <r>
    <d v="2025-09-25T00:00:00"/>
    <x v="0"/>
    <s v="Takeaway Boxes"/>
    <s v="Large"/>
    <x v="337"/>
    <x v="0"/>
    <x v="963"/>
    <n v="5"/>
    <n v="305"/>
    <x v="853"/>
    <x v="2"/>
    <x v="2"/>
    <x v="0"/>
    <s v="Delivered"/>
    <n v="528"/>
    <n v="61"/>
    <x v="0"/>
    <x v="0"/>
    <x v="0"/>
    <x v="3"/>
    <x v="10"/>
    <m/>
  </r>
  <r>
    <d v="2025-09-26T00:00:00"/>
    <x v="0"/>
    <s v="Takeaway Boxes"/>
    <s v="Large"/>
    <x v="375"/>
    <x v="0"/>
    <x v="691"/>
    <n v="5"/>
    <n v="1225"/>
    <x v="868"/>
    <x v="1"/>
    <x v="0"/>
    <x v="0"/>
    <s v="Returned"/>
    <n v="670"/>
    <n v="245"/>
    <x v="6"/>
    <x v="4"/>
    <x v="6"/>
    <x v="1"/>
    <x v="3"/>
    <m/>
  </r>
  <r>
    <d v="2025-09-27T00:00:00"/>
    <x v="2"/>
    <s v="Housekeeping Items"/>
    <s v="Standard"/>
    <x v="293"/>
    <x v="2"/>
    <x v="400"/>
    <n v="100"/>
    <n v="1500"/>
    <x v="377"/>
    <x v="2"/>
    <x v="1"/>
    <x v="2"/>
    <s v="Returned"/>
    <n v="836"/>
    <n v="15"/>
    <x v="2"/>
    <x v="2"/>
    <x v="2"/>
    <x v="1"/>
    <x v="9"/>
    <m/>
  </r>
  <r>
    <d v="2025-09-28T00:00:00"/>
    <x v="5"/>
    <s v="Cutlery"/>
    <s v="3pcs"/>
    <x v="93"/>
    <x v="5"/>
    <x v="964"/>
    <n v="4"/>
    <n v="1716"/>
    <x v="869"/>
    <x v="2"/>
    <x v="1"/>
    <x v="0"/>
    <s v="Returned"/>
    <n v="735"/>
    <n v="429"/>
    <x v="14"/>
    <x v="6"/>
    <x v="13"/>
    <x v="4"/>
    <x v="11"/>
    <m/>
  </r>
  <r>
    <d v="2025-09-29T00:00:00"/>
    <x v="4"/>
    <s v="Plates &amp; Bowls"/>
    <s v="500ml"/>
    <x v="58"/>
    <x v="4"/>
    <x v="642"/>
    <n v="1.5"/>
    <n v="237"/>
    <x v="605"/>
    <x v="0"/>
    <x v="1"/>
    <x v="0"/>
    <s v="Delivered"/>
    <n v="661"/>
    <n v="158"/>
    <x v="9"/>
    <x v="7"/>
    <x v="9"/>
    <x v="3"/>
    <x v="2"/>
    <m/>
  </r>
  <r>
    <d v="2025-09-30T00:00:00"/>
    <x v="5"/>
    <s v="Cutlery"/>
    <s v="3pcs"/>
    <x v="2"/>
    <x v="5"/>
    <x v="965"/>
    <n v="4"/>
    <n v="804"/>
    <x v="870"/>
    <x v="1"/>
    <x v="0"/>
    <x v="1"/>
    <s v="Delayed"/>
    <n v="932"/>
    <n v="201"/>
    <x v="11"/>
    <x v="9"/>
    <x v="11"/>
    <x v="2"/>
    <x v="5"/>
    <m/>
  </r>
  <r>
    <d v="2025-10-01T00:00:00"/>
    <x v="4"/>
    <s v="Plates &amp; Bowls"/>
    <s v="500ml"/>
    <x v="372"/>
    <x v="4"/>
    <x v="966"/>
    <n v="1.5"/>
    <n v="652.5"/>
    <x v="871"/>
    <x v="0"/>
    <x v="2"/>
    <x v="1"/>
    <s v="Delayed"/>
    <n v="927"/>
    <n v="435"/>
    <x v="16"/>
    <x v="4"/>
    <x v="15"/>
    <x v="1"/>
    <x v="0"/>
    <m/>
  </r>
  <r>
    <d v="2025-10-02T00:00:00"/>
    <x v="1"/>
    <s v="Glass &amp; Bottles"/>
    <s v="750ml"/>
    <x v="213"/>
    <x v="1"/>
    <x v="967"/>
    <n v="12"/>
    <n v="1716"/>
    <x v="872"/>
    <x v="2"/>
    <x v="2"/>
    <x v="0"/>
    <s v="Returned"/>
    <n v="821"/>
    <n v="143"/>
    <x v="19"/>
    <x v="13"/>
    <x v="18"/>
    <x v="0"/>
    <x v="0"/>
    <m/>
  </r>
  <r>
    <d v="2025-10-03T00:00:00"/>
    <x v="1"/>
    <s v="Glass &amp; Bottles"/>
    <s v="750ml"/>
    <x v="87"/>
    <x v="1"/>
    <x v="968"/>
    <n v="12"/>
    <n v="5940"/>
    <x v="873"/>
    <x v="0"/>
    <x v="0"/>
    <x v="2"/>
    <s v="Returned"/>
    <n v="544"/>
    <n v="495"/>
    <x v="12"/>
    <x v="3"/>
    <x v="10"/>
    <x v="3"/>
    <x v="5"/>
    <m/>
  </r>
  <r>
    <d v="2025-10-04T00:00:00"/>
    <x v="1"/>
    <s v="Glass &amp; Bottles"/>
    <s v="750ml"/>
    <x v="173"/>
    <x v="1"/>
    <x v="969"/>
    <n v="12"/>
    <n v="2952"/>
    <x v="874"/>
    <x v="1"/>
    <x v="2"/>
    <x v="2"/>
    <s v="Delivered"/>
    <n v="800"/>
    <n v="246"/>
    <x v="1"/>
    <x v="1"/>
    <x v="1"/>
    <x v="3"/>
    <x v="2"/>
    <m/>
  </r>
  <r>
    <d v="2025-10-05T00:00:00"/>
    <x v="5"/>
    <s v="Cutlery"/>
    <s v="3pcs"/>
    <x v="238"/>
    <x v="5"/>
    <x v="970"/>
    <n v="4"/>
    <n v="212"/>
    <x v="875"/>
    <x v="0"/>
    <x v="3"/>
    <x v="2"/>
    <s v="Returned"/>
    <n v="513"/>
    <n v="53"/>
    <x v="8"/>
    <x v="6"/>
    <x v="8"/>
    <x v="0"/>
    <x v="2"/>
    <m/>
  </r>
  <r>
    <d v="2025-10-06T00:00:00"/>
    <x v="2"/>
    <s v="Housekeeping Items"/>
    <s v="Standard"/>
    <x v="294"/>
    <x v="2"/>
    <x v="694"/>
    <n v="100"/>
    <n v="17200"/>
    <x v="649"/>
    <x v="0"/>
    <x v="0"/>
    <x v="0"/>
    <s v="Delivered"/>
    <n v="673"/>
    <n v="172"/>
    <x v="7"/>
    <x v="5"/>
    <x v="7"/>
    <x v="4"/>
    <x v="9"/>
    <m/>
  </r>
  <r>
    <d v="2025-10-07T00:00:00"/>
    <x v="5"/>
    <s v="Cutlery"/>
    <s v="3pcs"/>
    <x v="83"/>
    <x v="5"/>
    <x v="971"/>
    <n v="4"/>
    <n v="1872"/>
    <x v="201"/>
    <x v="1"/>
    <x v="0"/>
    <x v="0"/>
    <s v="Delivered"/>
    <n v="913"/>
    <n v="468"/>
    <x v="16"/>
    <x v="4"/>
    <x v="15"/>
    <x v="2"/>
    <x v="4"/>
    <m/>
  </r>
  <r>
    <d v="2025-10-08T00:00:00"/>
    <x v="3"/>
    <s v="Containers"/>
    <s v="1L"/>
    <x v="270"/>
    <x v="3"/>
    <x v="557"/>
    <n v="3"/>
    <n v="642"/>
    <x v="529"/>
    <x v="1"/>
    <x v="0"/>
    <x v="0"/>
    <s v="Delayed"/>
    <n v="535"/>
    <n v="214"/>
    <x v="6"/>
    <x v="4"/>
    <x v="6"/>
    <x v="0"/>
    <x v="7"/>
    <m/>
  </r>
  <r>
    <d v="2025-10-09T00:00:00"/>
    <x v="1"/>
    <s v="Glass &amp; Bottles"/>
    <s v="750ml"/>
    <x v="126"/>
    <x v="1"/>
    <x v="972"/>
    <n v="12"/>
    <n v="5232"/>
    <x v="876"/>
    <x v="2"/>
    <x v="2"/>
    <x v="1"/>
    <s v="Delayed"/>
    <n v="920"/>
    <n v="436"/>
    <x v="2"/>
    <x v="2"/>
    <x v="2"/>
    <x v="2"/>
    <x v="7"/>
    <m/>
  </r>
  <r>
    <d v="2025-10-10T00:00:00"/>
    <x v="0"/>
    <s v="Takeaway Boxes"/>
    <s v="Large"/>
    <x v="375"/>
    <x v="0"/>
    <x v="691"/>
    <n v="5"/>
    <n v="1225"/>
    <x v="868"/>
    <x v="0"/>
    <x v="1"/>
    <x v="2"/>
    <s v="Returned"/>
    <n v="612"/>
    <n v="245"/>
    <x v="5"/>
    <x v="0"/>
    <x v="5"/>
    <x v="1"/>
    <x v="8"/>
    <m/>
  </r>
  <r>
    <d v="2025-10-11T00:00:00"/>
    <x v="3"/>
    <s v="Containers"/>
    <s v="1L"/>
    <x v="308"/>
    <x v="3"/>
    <x v="433"/>
    <n v="3"/>
    <n v="942"/>
    <x v="408"/>
    <x v="1"/>
    <x v="2"/>
    <x v="2"/>
    <s v="Delayed"/>
    <n v="919"/>
    <n v="314"/>
    <x v="17"/>
    <x v="11"/>
    <x v="16"/>
    <x v="0"/>
    <x v="4"/>
    <m/>
  </r>
  <r>
    <d v="2025-10-12T00:00:00"/>
    <x v="2"/>
    <s v="Housekeeping Items"/>
    <s v="Standard"/>
    <x v="135"/>
    <x v="2"/>
    <x v="973"/>
    <n v="100"/>
    <n v="14700"/>
    <x v="877"/>
    <x v="0"/>
    <x v="3"/>
    <x v="1"/>
    <s v="Delivered"/>
    <n v="649"/>
    <n v="147"/>
    <x v="13"/>
    <x v="2"/>
    <x v="12"/>
    <x v="1"/>
    <x v="1"/>
    <m/>
  </r>
  <r>
    <d v="2025-10-13T00:00:00"/>
    <x v="2"/>
    <s v="Housekeeping Items"/>
    <s v="Standard"/>
    <x v="298"/>
    <x v="2"/>
    <x v="974"/>
    <n v="100"/>
    <n v="9400"/>
    <x v="878"/>
    <x v="1"/>
    <x v="2"/>
    <x v="2"/>
    <s v="Returned"/>
    <n v="685"/>
    <n v="94"/>
    <x v="14"/>
    <x v="6"/>
    <x v="13"/>
    <x v="3"/>
    <x v="8"/>
    <m/>
  </r>
  <r>
    <d v="2025-10-14T00:00:00"/>
    <x v="3"/>
    <s v="Containers"/>
    <s v="1L"/>
    <x v="385"/>
    <x v="3"/>
    <x v="975"/>
    <n v="3"/>
    <n v="870"/>
    <x v="879"/>
    <x v="2"/>
    <x v="2"/>
    <x v="2"/>
    <s v="Delivered"/>
    <n v="777"/>
    <n v="290"/>
    <x v="0"/>
    <x v="0"/>
    <x v="0"/>
    <x v="1"/>
    <x v="3"/>
    <m/>
  </r>
  <r>
    <d v="2025-10-15T00:00:00"/>
    <x v="0"/>
    <s v="Takeaway Boxes"/>
    <s v="Large"/>
    <x v="390"/>
    <x v="0"/>
    <x v="976"/>
    <n v="5"/>
    <n v="1245"/>
    <x v="880"/>
    <x v="1"/>
    <x v="0"/>
    <x v="1"/>
    <s v="Delivered"/>
    <n v="778"/>
    <n v="249"/>
    <x v="6"/>
    <x v="4"/>
    <x v="6"/>
    <x v="3"/>
    <x v="11"/>
    <m/>
  </r>
  <r>
    <d v="2025-10-16T00:00:00"/>
    <x v="1"/>
    <s v="Glass &amp; Bottles"/>
    <s v="750ml"/>
    <x v="396"/>
    <x v="1"/>
    <x v="977"/>
    <n v="12"/>
    <n v="4188"/>
    <x v="881"/>
    <x v="1"/>
    <x v="2"/>
    <x v="0"/>
    <s v="Delayed"/>
    <n v="829"/>
    <n v="349"/>
    <x v="9"/>
    <x v="7"/>
    <x v="9"/>
    <x v="3"/>
    <x v="7"/>
    <m/>
  </r>
  <r>
    <d v="2025-10-17T00:00:00"/>
    <x v="2"/>
    <s v="Housekeeping Items"/>
    <s v="Standard"/>
    <x v="460"/>
    <x v="2"/>
    <x v="978"/>
    <n v="100"/>
    <n v="21800"/>
    <x v="882"/>
    <x v="1"/>
    <x v="3"/>
    <x v="0"/>
    <s v="Delayed"/>
    <n v="741"/>
    <n v="218"/>
    <x v="2"/>
    <x v="2"/>
    <x v="2"/>
    <x v="4"/>
    <x v="8"/>
    <m/>
  </r>
  <r>
    <d v="2025-10-18T00:00:00"/>
    <x v="2"/>
    <s v="Housekeeping Items"/>
    <s v="Standard"/>
    <x v="103"/>
    <x v="2"/>
    <x v="107"/>
    <n v="100"/>
    <n v="5700"/>
    <x v="104"/>
    <x v="0"/>
    <x v="0"/>
    <x v="1"/>
    <s v="Delayed"/>
    <n v="792"/>
    <n v="57"/>
    <x v="12"/>
    <x v="3"/>
    <x v="10"/>
    <x v="0"/>
    <x v="11"/>
    <m/>
  </r>
  <r>
    <d v="2025-10-19T00:00:00"/>
    <x v="0"/>
    <s v="Takeaway Boxes"/>
    <s v="Large"/>
    <x v="362"/>
    <x v="0"/>
    <x v="551"/>
    <n v="5"/>
    <n v="1390"/>
    <x v="272"/>
    <x v="2"/>
    <x v="1"/>
    <x v="2"/>
    <s v="Delivered"/>
    <n v="514"/>
    <n v="278"/>
    <x v="13"/>
    <x v="2"/>
    <x v="12"/>
    <x v="4"/>
    <x v="4"/>
    <m/>
  </r>
  <r>
    <d v="2025-10-20T00:00:00"/>
    <x v="0"/>
    <s v="Takeaway Boxes"/>
    <s v="Large"/>
    <x v="461"/>
    <x v="0"/>
    <x v="979"/>
    <n v="5"/>
    <n v="440"/>
    <x v="107"/>
    <x v="1"/>
    <x v="2"/>
    <x v="2"/>
    <s v="Delayed"/>
    <n v="540"/>
    <n v="88"/>
    <x v="13"/>
    <x v="2"/>
    <x v="12"/>
    <x v="3"/>
    <x v="11"/>
    <m/>
  </r>
  <r>
    <d v="2025-10-21T00:00:00"/>
    <x v="0"/>
    <s v="Takeaway Boxes"/>
    <s v="Large"/>
    <x v="17"/>
    <x v="0"/>
    <x v="699"/>
    <n v="5"/>
    <n v="1995"/>
    <x v="653"/>
    <x v="2"/>
    <x v="2"/>
    <x v="1"/>
    <s v="Delayed"/>
    <n v="996"/>
    <n v="399"/>
    <x v="18"/>
    <x v="12"/>
    <x v="17"/>
    <x v="3"/>
    <x v="5"/>
    <m/>
  </r>
  <r>
    <d v="2025-10-22T00:00:00"/>
    <x v="5"/>
    <s v="Cutlery"/>
    <s v="3pcs"/>
    <x v="5"/>
    <x v="5"/>
    <x v="980"/>
    <n v="4"/>
    <n v="808"/>
    <x v="5"/>
    <x v="0"/>
    <x v="2"/>
    <x v="0"/>
    <s v="Returned"/>
    <n v="977"/>
    <n v="202"/>
    <x v="2"/>
    <x v="2"/>
    <x v="2"/>
    <x v="1"/>
    <x v="4"/>
    <m/>
  </r>
  <r>
    <d v="2025-10-23T00:00:00"/>
    <x v="2"/>
    <s v="Housekeeping Items"/>
    <s v="Standard"/>
    <x v="375"/>
    <x v="2"/>
    <x v="981"/>
    <n v="100"/>
    <n v="24500"/>
    <x v="883"/>
    <x v="2"/>
    <x v="0"/>
    <x v="2"/>
    <s v="Delivered"/>
    <n v="972"/>
    <n v="245"/>
    <x v="8"/>
    <x v="6"/>
    <x v="8"/>
    <x v="3"/>
    <x v="8"/>
    <m/>
  </r>
  <r>
    <d v="2025-10-24T00:00:00"/>
    <x v="4"/>
    <s v="Plates &amp; Bowls"/>
    <s v="500ml"/>
    <x v="377"/>
    <x v="4"/>
    <x v="271"/>
    <n v="1.5"/>
    <n v="216"/>
    <x v="554"/>
    <x v="0"/>
    <x v="2"/>
    <x v="0"/>
    <s v="Delivered"/>
    <n v="759"/>
    <n v="144"/>
    <x v="8"/>
    <x v="6"/>
    <x v="8"/>
    <x v="3"/>
    <x v="10"/>
    <m/>
  </r>
  <r>
    <d v="2025-10-25T00:00:00"/>
    <x v="3"/>
    <s v="Containers"/>
    <s v="1L"/>
    <x v="352"/>
    <x v="3"/>
    <x v="534"/>
    <n v="3"/>
    <n v="879"/>
    <x v="506"/>
    <x v="2"/>
    <x v="3"/>
    <x v="2"/>
    <s v="Delayed"/>
    <n v="772"/>
    <n v="293"/>
    <x v="10"/>
    <x v="8"/>
    <x v="10"/>
    <x v="2"/>
    <x v="8"/>
    <m/>
  </r>
  <r>
    <d v="2025-10-26T00:00:00"/>
    <x v="5"/>
    <s v="Cutlery"/>
    <s v="3pcs"/>
    <x v="5"/>
    <x v="5"/>
    <x v="980"/>
    <n v="4"/>
    <n v="808"/>
    <x v="5"/>
    <x v="0"/>
    <x v="1"/>
    <x v="2"/>
    <s v="Delayed"/>
    <n v="675"/>
    <n v="202"/>
    <x v="17"/>
    <x v="11"/>
    <x v="16"/>
    <x v="1"/>
    <x v="2"/>
    <m/>
  </r>
  <r>
    <d v="2025-10-27T00:00:00"/>
    <x v="0"/>
    <s v="Takeaway Boxes"/>
    <s v="Large"/>
    <x v="462"/>
    <x v="0"/>
    <x v="271"/>
    <n v="5"/>
    <n v="225"/>
    <x v="884"/>
    <x v="1"/>
    <x v="3"/>
    <x v="0"/>
    <s v="Delayed"/>
    <n v="647"/>
    <n v="45"/>
    <x v="0"/>
    <x v="0"/>
    <x v="0"/>
    <x v="4"/>
    <x v="1"/>
    <m/>
  </r>
  <r>
    <d v="2025-10-28T00:00:00"/>
    <x v="4"/>
    <s v="Plates &amp; Bowls"/>
    <s v="500ml"/>
    <x v="212"/>
    <x v="4"/>
    <x v="982"/>
    <n v="1.5"/>
    <n v="571.5"/>
    <x v="347"/>
    <x v="2"/>
    <x v="3"/>
    <x v="2"/>
    <s v="Delivered"/>
    <n v="633"/>
    <n v="381"/>
    <x v="3"/>
    <x v="2"/>
    <x v="3"/>
    <x v="3"/>
    <x v="3"/>
    <m/>
  </r>
  <r>
    <d v="2025-10-29T00:00:00"/>
    <x v="3"/>
    <s v="Containers"/>
    <s v="1L"/>
    <x v="278"/>
    <x v="3"/>
    <x v="158"/>
    <n v="3"/>
    <n v="300"/>
    <x v="153"/>
    <x v="1"/>
    <x v="3"/>
    <x v="0"/>
    <s v="Delivered"/>
    <n v="784"/>
    <n v="100"/>
    <x v="16"/>
    <x v="4"/>
    <x v="15"/>
    <x v="2"/>
    <x v="0"/>
    <m/>
  </r>
  <r>
    <d v="2025-10-30T00:00:00"/>
    <x v="5"/>
    <s v="Cutlery"/>
    <s v="3pcs"/>
    <x v="457"/>
    <x v="5"/>
    <x v="983"/>
    <n v="4"/>
    <n v="1140"/>
    <x v="395"/>
    <x v="2"/>
    <x v="3"/>
    <x v="2"/>
    <s v="Delivered"/>
    <n v="518"/>
    <n v="285"/>
    <x v="11"/>
    <x v="9"/>
    <x v="11"/>
    <x v="2"/>
    <x v="3"/>
    <m/>
  </r>
  <r>
    <d v="2025-10-31T00:00:00"/>
    <x v="2"/>
    <s v="Housekeeping Items"/>
    <s v="Standard"/>
    <x v="260"/>
    <x v="2"/>
    <x v="984"/>
    <n v="100"/>
    <n v="41000"/>
    <x v="885"/>
    <x v="0"/>
    <x v="1"/>
    <x v="2"/>
    <s v="Delayed"/>
    <n v="890"/>
    <n v="410"/>
    <x v="12"/>
    <x v="3"/>
    <x v="10"/>
    <x v="4"/>
    <x v="10"/>
    <m/>
  </r>
  <r>
    <d v="2025-11-01T00:00:00"/>
    <x v="4"/>
    <s v="Plates &amp; Bowls"/>
    <s v="500ml"/>
    <x v="215"/>
    <x v="4"/>
    <x v="578"/>
    <n v="1.5"/>
    <n v="735"/>
    <x v="547"/>
    <x v="1"/>
    <x v="2"/>
    <x v="1"/>
    <s v="Delayed"/>
    <n v="705"/>
    <n v="490"/>
    <x v="15"/>
    <x v="10"/>
    <x v="14"/>
    <x v="4"/>
    <x v="9"/>
    <m/>
  </r>
  <r>
    <d v="2025-11-02T00:00:00"/>
    <x v="5"/>
    <s v="Cutlery"/>
    <s v="3pcs"/>
    <x v="287"/>
    <x v="5"/>
    <x v="388"/>
    <n v="4"/>
    <n v="524"/>
    <x v="285"/>
    <x v="0"/>
    <x v="0"/>
    <x v="0"/>
    <s v="Returned"/>
    <n v="854"/>
    <n v="131"/>
    <x v="6"/>
    <x v="4"/>
    <x v="6"/>
    <x v="1"/>
    <x v="3"/>
    <m/>
  </r>
  <r>
    <d v="2025-11-03T00:00:00"/>
    <x v="2"/>
    <s v="Housekeeping Items"/>
    <s v="Standard"/>
    <x v="443"/>
    <x v="2"/>
    <x v="985"/>
    <n v="100"/>
    <n v="37900"/>
    <x v="886"/>
    <x v="2"/>
    <x v="3"/>
    <x v="0"/>
    <s v="Delivered"/>
    <n v="653"/>
    <n v="379"/>
    <x v="4"/>
    <x v="3"/>
    <x v="4"/>
    <x v="3"/>
    <x v="2"/>
    <m/>
  </r>
  <r>
    <d v="2025-11-04T00:00:00"/>
    <x v="4"/>
    <s v="Plates &amp; Bowls"/>
    <s v="500ml"/>
    <x v="106"/>
    <x v="4"/>
    <x v="482"/>
    <n v="1.5"/>
    <n v="49.5"/>
    <x v="454"/>
    <x v="2"/>
    <x v="3"/>
    <x v="2"/>
    <s v="Returned"/>
    <n v="848"/>
    <n v="33"/>
    <x v="7"/>
    <x v="5"/>
    <x v="7"/>
    <x v="0"/>
    <x v="0"/>
    <m/>
  </r>
  <r>
    <d v="2025-11-05T00:00:00"/>
    <x v="3"/>
    <s v="Containers"/>
    <s v="1L"/>
    <x v="202"/>
    <x v="3"/>
    <x v="986"/>
    <n v="3"/>
    <n v="1335"/>
    <x v="780"/>
    <x v="2"/>
    <x v="2"/>
    <x v="1"/>
    <s v="Returned"/>
    <n v="762"/>
    <n v="445"/>
    <x v="13"/>
    <x v="2"/>
    <x v="12"/>
    <x v="1"/>
    <x v="4"/>
    <m/>
  </r>
  <r>
    <d v="2025-11-06T00:00:00"/>
    <x v="3"/>
    <s v="Containers"/>
    <s v="1L"/>
    <x v="269"/>
    <x v="3"/>
    <x v="987"/>
    <n v="3"/>
    <n v="1449"/>
    <x v="708"/>
    <x v="0"/>
    <x v="3"/>
    <x v="2"/>
    <s v="Delayed"/>
    <n v="716"/>
    <n v="483"/>
    <x v="11"/>
    <x v="9"/>
    <x v="11"/>
    <x v="2"/>
    <x v="10"/>
    <m/>
  </r>
  <r>
    <d v="2025-11-07T00:00:00"/>
    <x v="0"/>
    <s v="Takeaway Boxes"/>
    <s v="Large"/>
    <x v="461"/>
    <x v="0"/>
    <x v="979"/>
    <n v="5"/>
    <n v="440"/>
    <x v="107"/>
    <x v="1"/>
    <x v="2"/>
    <x v="2"/>
    <s v="Delayed"/>
    <n v="932"/>
    <n v="88"/>
    <x v="0"/>
    <x v="0"/>
    <x v="0"/>
    <x v="4"/>
    <x v="4"/>
    <m/>
  </r>
  <r>
    <d v="2025-11-08T00:00:00"/>
    <x v="4"/>
    <s v="Plates &amp; Bowls"/>
    <s v="500ml"/>
    <x v="311"/>
    <x v="4"/>
    <x v="439"/>
    <n v="1.5"/>
    <n v="481.5"/>
    <x v="414"/>
    <x v="2"/>
    <x v="1"/>
    <x v="1"/>
    <s v="Delayed"/>
    <n v="903"/>
    <n v="321"/>
    <x v="13"/>
    <x v="2"/>
    <x v="12"/>
    <x v="0"/>
    <x v="7"/>
    <m/>
  </r>
  <r>
    <d v="2025-11-09T00:00:00"/>
    <x v="4"/>
    <s v="Plates &amp; Bowls"/>
    <s v="500ml"/>
    <x v="264"/>
    <x v="4"/>
    <x v="335"/>
    <n v="1.5"/>
    <n v="93"/>
    <x v="317"/>
    <x v="2"/>
    <x v="3"/>
    <x v="0"/>
    <s v="Returned"/>
    <n v="697"/>
    <n v="62"/>
    <x v="15"/>
    <x v="10"/>
    <x v="14"/>
    <x v="2"/>
    <x v="9"/>
    <m/>
  </r>
  <r>
    <d v="2025-11-10T00:00:00"/>
    <x v="5"/>
    <s v="Cutlery"/>
    <s v="3pcs"/>
    <x v="114"/>
    <x v="5"/>
    <x v="988"/>
    <n v="4"/>
    <n v="1124"/>
    <x v="887"/>
    <x v="2"/>
    <x v="1"/>
    <x v="0"/>
    <s v="Returned"/>
    <n v="684"/>
    <n v="281"/>
    <x v="3"/>
    <x v="2"/>
    <x v="3"/>
    <x v="1"/>
    <x v="7"/>
    <m/>
  </r>
  <r>
    <d v="2025-11-11T00:00:00"/>
    <x v="2"/>
    <s v="Housekeeping Items"/>
    <s v="Standard"/>
    <x v="199"/>
    <x v="2"/>
    <x v="989"/>
    <n v="100"/>
    <n v="40000"/>
    <x v="888"/>
    <x v="0"/>
    <x v="0"/>
    <x v="0"/>
    <s v="Delayed"/>
    <n v="529"/>
    <n v="400"/>
    <x v="1"/>
    <x v="1"/>
    <x v="1"/>
    <x v="0"/>
    <x v="4"/>
    <m/>
  </r>
  <r>
    <d v="2025-11-12T00:00:00"/>
    <x v="4"/>
    <s v="Plates &amp; Bowls"/>
    <s v="500ml"/>
    <x v="211"/>
    <x v="4"/>
    <x v="990"/>
    <n v="1.5"/>
    <n v="127.5"/>
    <x v="889"/>
    <x v="1"/>
    <x v="1"/>
    <x v="0"/>
    <s v="Delivered"/>
    <n v="977"/>
    <n v="85"/>
    <x v="13"/>
    <x v="2"/>
    <x v="12"/>
    <x v="2"/>
    <x v="6"/>
    <m/>
  </r>
  <r>
    <d v="2025-11-13T00:00:00"/>
    <x v="2"/>
    <s v="Housekeeping Items"/>
    <s v="Standard"/>
    <x v="128"/>
    <x v="2"/>
    <x v="134"/>
    <n v="100"/>
    <n v="34800"/>
    <x v="129"/>
    <x v="1"/>
    <x v="2"/>
    <x v="1"/>
    <s v="Delayed"/>
    <n v="523"/>
    <n v="348"/>
    <x v="8"/>
    <x v="6"/>
    <x v="8"/>
    <x v="1"/>
    <x v="5"/>
    <m/>
  </r>
  <r>
    <d v="2025-11-14T00:00:00"/>
    <x v="1"/>
    <s v="Glass &amp; Bottles"/>
    <s v="750ml"/>
    <x v="189"/>
    <x v="1"/>
    <x v="219"/>
    <n v="12"/>
    <n v="480"/>
    <x v="213"/>
    <x v="2"/>
    <x v="3"/>
    <x v="2"/>
    <s v="Returned"/>
    <n v="731"/>
    <n v="40"/>
    <x v="11"/>
    <x v="9"/>
    <x v="11"/>
    <x v="4"/>
    <x v="7"/>
    <m/>
  </r>
  <r>
    <d v="2025-11-15T00:00:00"/>
    <x v="4"/>
    <s v="Plates &amp; Bowls"/>
    <s v="500ml"/>
    <x v="89"/>
    <x v="4"/>
    <x v="924"/>
    <n v="1.5"/>
    <n v="160.5"/>
    <x v="839"/>
    <x v="1"/>
    <x v="3"/>
    <x v="0"/>
    <s v="Returned"/>
    <n v="665"/>
    <n v="107"/>
    <x v="3"/>
    <x v="2"/>
    <x v="3"/>
    <x v="0"/>
    <x v="7"/>
    <m/>
  </r>
  <r>
    <d v="2025-11-16T00:00:00"/>
    <x v="2"/>
    <s v="Housekeeping Items"/>
    <s v="Standard"/>
    <x v="179"/>
    <x v="2"/>
    <x v="435"/>
    <n v="100"/>
    <n v="3900"/>
    <x v="410"/>
    <x v="2"/>
    <x v="3"/>
    <x v="0"/>
    <s v="Delayed"/>
    <n v="868"/>
    <n v="39"/>
    <x v="6"/>
    <x v="4"/>
    <x v="6"/>
    <x v="0"/>
    <x v="6"/>
    <m/>
  </r>
  <r>
    <d v="2025-11-17T00:00:00"/>
    <x v="1"/>
    <s v="Glass &amp; Bottles"/>
    <s v="750ml"/>
    <x v="463"/>
    <x v="1"/>
    <x v="991"/>
    <n v="12"/>
    <n v="5412"/>
    <x v="890"/>
    <x v="0"/>
    <x v="1"/>
    <x v="0"/>
    <s v="Delayed"/>
    <n v="697"/>
    <n v="451"/>
    <x v="17"/>
    <x v="11"/>
    <x v="16"/>
    <x v="4"/>
    <x v="7"/>
    <m/>
  </r>
  <r>
    <d v="2025-11-18T00:00:00"/>
    <x v="5"/>
    <s v="Cutlery"/>
    <s v="3pcs"/>
    <x v="50"/>
    <x v="5"/>
    <x v="861"/>
    <n v="4"/>
    <n v="1364"/>
    <x v="276"/>
    <x v="0"/>
    <x v="2"/>
    <x v="1"/>
    <s v="Delayed"/>
    <n v="778"/>
    <n v="341"/>
    <x v="19"/>
    <x v="13"/>
    <x v="18"/>
    <x v="0"/>
    <x v="2"/>
    <m/>
  </r>
  <r>
    <d v="2025-11-19T00:00:00"/>
    <x v="0"/>
    <s v="Takeaway Boxes"/>
    <s v="Large"/>
    <x v="314"/>
    <x v="0"/>
    <x v="992"/>
    <n v="5"/>
    <n v="1400"/>
    <x v="646"/>
    <x v="0"/>
    <x v="1"/>
    <x v="1"/>
    <s v="Delayed"/>
    <n v="788"/>
    <n v="280"/>
    <x v="0"/>
    <x v="0"/>
    <x v="0"/>
    <x v="1"/>
    <x v="0"/>
    <m/>
  </r>
  <r>
    <d v="2025-11-20T00:00:00"/>
    <x v="2"/>
    <s v="Housekeeping Items"/>
    <s v="Standard"/>
    <x v="287"/>
    <x v="2"/>
    <x v="993"/>
    <n v="100"/>
    <n v="13100"/>
    <x v="891"/>
    <x v="1"/>
    <x v="3"/>
    <x v="2"/>
    <s v="Returned"/>
    <n v="905"/>
    <n v="131"/>
    <x v="13"/>
    <x v="2"/>
    <x v="12"/>
    <x v="1"/>
    <x v="11"/>
    <m/>
  </r>
  <r>
    <d v="2025-11-21T00:00:00"/>
    <x v="3"/>
    <s v="Containers"/>
    <s v="1L"/>
    <x v="443"/>
    <x v="3"/>
    <x v="994"/>
    <n v="3"/>
    <n v="1137"/>
    <x v="892"/>
    <x v="0"/>
    <x v="3"/>
    <x v="2"/>
    <s v="Returned"/>
    <n v="731"/>
    <n v="379"/>
    <x v="15"/>
    <x v="10"/>
    <x v="14"/>
    <x v="2"/>
    <x v="7"/>
    <m/>
  </r>
  <r>
    <d v="2025-11-22T00:00:00"/>
    <x v="4"/>
    <s v="Plates &amp; Bowls"/>
    <s v="500ml"/>
    <x v="10"/>
    <x v="4"/>
    <x v="11"/>
    <n v="1.5"/>
    <n v="739.5"/>
    <x v="11"/>
    <x v="2"/>
    <x v="0"/>
    <x v="1"/>
    <s v="Returned"/>
    <n v="875"/>
    <n v="493"/>
    <x v="15"/>
    <x v="10"/>
    <x v="14"/>
    <x v="2"/>
    <x v="4"/>
    <m/>
  </r>
  <r>
    <d v="2025-11-23T00:00:00"/>
    <x v="0"/>
    <s v="Takeaway Boxes"/>
    <s v="Large"/>
    <x v="92"/>
    <x v="0"/>
    <x v="96"/>
    <n v="5"/>
    <n v="2160"/>
    <x v="93"/>
    <x v="2"/>
    <x v="2"/>
    <x v="0"/>
    <s v="Returned"/>
    <n v="935"/>
    <n v="432"/>
    <x v="15"/>
    <x v="10"/>
    <x v="14"/>
    <x v="1"/>
    <x v="5"/>
    <m/>
  </r>
  <r>
    <d v="2025-11-24T00:00:00"/>
    <x v="1"/>
    <s v="Glass &amp; Bottles"/>
    <s v="750ml"/>
    <x v="464"/>
    <x v="1"/>
    <x v="830"/>
    <n v="12"/>
    <n v="576"/>
    <x v="109"/>
    <x v="0"/>
    <x v="0"/>
    <x v="2"/>
    <s v="Delayed"/>
    <n v="902"/>
    <n v="48"/>
    <x v="7"/>
    <x v="5"/>
    <x v="7"/>
    <x v="3"/>
    <x v="4"/>
    <m/>
  </r>
  <r>
    <d v="2025-11-25T00:00:00"/>
    <x v="0"/>
    <s v="Takeaway Boxes"/>
    <s v="Large"/>
    <x v="195"/>
    <x v="0"/>
    <x v="520"/>
    <n v="5"/>
    <n v="2055"/>
    <x v="492"/>
    <x v="1"/>
    <x v="1"/>
    <x v="1"/>
    <s v="Delayed"/>
    <n v="792"/>
    <n v="411"/>
    <x v="2"/>
    <x v="2"/>
    <x v="2"/>
    <x v="4"/>
    <x v="9"/>
    <m/>
  </r>
  <r>
    <d v="2025-11-26T00:00:00"/>
    <x v="5"/>
    <s v="Cutlery"/>
    <s v="3pcs"/>
    <x v="132"/>
    <x v="5"/>
    <x v="140"/>
    <n v="4"/>
    <n v="1752"/>
    <x v="136"/>
    <x v="1"/>
    <x v="1"/>
    <x v="1"/>
    <s v="Returned"/>
    <n v="579"/>
    <n v="438"/>
    <x v="11"/>
    <x v="9"/>
    <x v="11"/>
    <x v="3"/>
    <x v="6"/>
    <m/>
  </r>
  <r>
    <d v="2025-11-27T00:00:00"/>
    <x v="5"/>
    <s v="Cutlery"/>
    <s v="3pcs"/>
    <x v="275"/>
    <x v="5"/>
    <x v="995"/>
    <n v="4"/>
    <n v="1604"/>
    <x v="893"/>
    <x v="2"/>
    <x v="0"/>
    <x v="1"/>
    <s v="Delivered"/>
    <n v="685"/>
    <n v="401"/>
    <x v="7"/>
    <x v="5"/>
    <x v="7"/>
    <x v="4"/>
    <x v="0"/>
    <m/>
  </r>
  <r>
    <d v="2025-11-28T00:00:00"/>
    <x v="4"/>
    <s v="Plates &amp; Bowls"/>
    <s v="500ml"/>
    <x v="144"/>
    <x v="4"/>
    <x v="996"/>
    <n v="1.5"/>
    <n v="619.5"/>
    <x v="894"/>
    <x v="2"/>
    <x v="0"/>
    <x v="0"/>
    <s v="Returned"/>
    <n v="553"/>
    <n v="413"/>
    <x v="5"/>
    <x v="0"/>
    <x v="5"/>
    <x v="2"/>
    <x v="0"/>
    <m/>
  </r>
  <r>
    <d v="2025-11-29T00:00:00"/>
    <x v="0"/>
    <s v="Takeaway Boxes"/>
    <s v="Large"/>
    <x v="425"/>
    <x v="0"/>
    <x v="773"/>
    <n v="5"/>
    <n v="685"/>
    <x v="416"/>
    <x v="2"/>
    <x v="3"/>
    <x v="1"/>
    <s v="Returned"/>
    <n v="609"/>
    <n v="137"/>
    <x v="19"/>
    <x v="13"/>
    <x v="18"/>
    <x v="0"/>
    <x v="0"/>
    <m/>
  </r>
  <r>
    <d v="2025-11-30T00:00:00"/>
    <x v="3"/>
    <s v="Containers"/>
    <s v="1L"/>
    <x v="306"/>
    <x v="3"/>
    <x v="997"/>
    <n v="3"/>
    <n v="849"/>
    <x v="895"/>
    <x v="1"/>
    <x v="3"/>
    <x v="1"/>
    <s v="Delivered"/>
    <n v="500"/>
    <n v="283"/>
    <x v="1"/>
    <x v="1"/>
    <x v="1"/>
    <x v="2"/>
    <x v="0"/>
    <m/>
  </r>
  <r>
    <d v="2025-12-01T00:00:00"/>
    <x v="1"/>
    <s v="Glass &amp; Bottles"/>
    <s v="750ml"/>
    <x v="95"/>
    <x v="1"/>
    <x v="998"/>
    <n v="12"/>
    <n v="2772"/>
    <x v="896"/>
    <x v="0"/>
    <x v="2"/>
    <x v="0"/>
    <s v="Delivered"/>
    <n v="594"/>
    <n v="231"/>
    <x v="3"/>
    <x v="2"/>
    <x v="3"/>
    <x v="0"/>
    <x v="5"/>
    <m/>
  </r>
  <r>
    <d v="2025-12-02T00:00:00"/>
    <x v="4"/>
    <s v="Plates &amp; Bowls"/>
    <s v="500ml"/>
    <x v="404"/>
    <x v="4"/>
    <x v="999"/>
    <n v="1.5"/>
    <n v="513"/>
    <x v="54"/>
    <x v="0"/>
    <x v="1"/>
    <x v="2"/>
    <s v="Returned"/>
    <n v="865"/>
    <n v="342"/>
    <x v="2"/>
    <x v="2"/>
    <x v="2"/>
    <x v="0"/>
    <x v="5"/>
    <m/>
  </r>
  <r>
    <d v="2025-12-03T00:00:00"/>
    <x v="0"/>
    <s v="Takeaway Boxes"/>
    <s v="Large"/>
    <x v="465"/>
    <x v="0"/>
    <x v="1000"/>
    <n v="5"/>
    <n v="1140"/>
    <x v="754"/>
    <x v="0"/>
    <x v="2"/>
    <x v="0"/>
    <s v="Delayed"/>
    <n v="669"/>
    <n v="228"/>
    <x v="17"/>
    <x v="11"/>
    <x v="16"/>
    <x v="2"/>
    <x v="4"/>
    <m/>
  </r>
  <r>
    <d v="2025-12-04T00:00:00"/>
    <x v="2"/>
    <s v="Housekeeping Items"/>
    <s v="Standard"/>
    <x v="190"/>
    <x v="2"/>
    <x v="1001"/>
    <n v="100"/>
    <n v="12000"/>
    <x v="897"/>
    <x v="0"/>
    <x v="0"/>
    <x v="2"/>
    <s v="Delayed"/>
    <n v="923"/>
    <n v="120"/>
    <x v="5"/>
    <x v="0"/>
    <x v="5"/>
    <x v="1"/>
    <x v="9"/>
    <m/>
  </r>
  <r>
    <d v="2025-12-05T00:00:00"/>
    <x v="5"/>
    <s v="Cutlery"/>
    <s v="3pcs"/>
    <x v="356"/>
    <x v="5"/>
    <x v="1002"/>
    <n v="4"/>
    <n v="136"/>
    <x v="298"/>
    <x v="1"/>
    <x v="1"/>
    <x v="1"/>
    <s v="Delayed"/>
    <n v="664"/>
    <n v="34"/>
    <x v="14"/>
    <x v="6"/>
    <x v="13"/>
    <x v="2"/>
    <x v="3"/>
    <m/>
  </r>
  <r>
    <d v="2025-12-06T00:00:00"/>
    <x v="4"/>
    <s v="Plates &amp; Bowls"/>
    <s v="500ml"/>
    <x v="270"/>
    <x v="4"/>
    <x v="1003"/>
    <n v="1.5"/>
    <n v="321"/>
    <x v="898"/>
    <x v="1"/>
    <x v="0"/>
    <x v="1"/>
    <s v="Returned"/>
    <n v="505"/>
    <n v="214"/>
    <x v="13"/>
    <x v="2"/>
    <x v="12"/>
    <x v="3"/>
    <x v="3"/>
    <m/>
  </r>
  <r>
    <d v="2025-12-07T00:00:00"/>
    <x v="1"/>
    <s v="Glass &amp; Bottles"/>
    <s v="750ml"/>
    <x v="333"/>
    <x v="1"/>
    <x v="705"/>
    <n v="12"/>
    <n v="2712"/>
    <x v="658"/>
    <x v="0"/>
    <x v="1"/>
    <x v="0"/>
    <s v="Delivered"/>
    <n v="605"/>
    <n v="226"/>
    <x v="14"/>
    <x v="6"/>
    <x v="13"/>
    <x v="4"/>
    <x v="3"/>
    <m/>
  </r>
  <r>
    <d v="2025-12-08T00:00:00"/>
    <x v="0"/>
    <s v="Takeaway Boxes"/>
    <s v="Large"/>
    <x v="279"/>
    <x v="0"/>
    <x v="1004"/>
    <n v="5"/>
    <n v="1055"/>
    <x v="899"/>
    <x v="0"/>
    <x v="2"/>
    <x v="0"/>
    <s v="Delivered"/>
    <n v="569"/>
    <n v="211"/>
    <x v="17"/>
    <x v="11"/>
    <x v="16"/>
    <x v="1"/>
    <x v="1"/>
    <m/>
  </r>
  <r>
    <d v="2025-12-09T00:00:00"/>
    <x v="0"/>
    <s v="Takeaway Boxes"/>
    <s v="Large"/>
    <x v="242"/>
    <x v="0"/>
    <x v="1005"/>
    <n v="5"/>
    <n v="1105"/>
    <x v="900"/>
    <x v="1"/>
    <x v="1"/>
    <x v="2"/>
    <s v="Delivered"/>
    <n v="732"/>
    <n v="221"/>
    <x v="11"/>
    <x v="9"/>
    <x v="11"/>
    <x v="1"/>
    <x v="10"/>
    <m/>
  </r>
  <r>
    <d v="2025-12-10T00:00:00"/>
    <x v="3"/>
    <s v="Containers"/>
    <s v="1L"/>
    <x v="202"/>
    <x v="3"/>
    <x v="986"/>
    <n v="3"/>
    <n v="1335"/>
    <x v="780"/>
    <x v="1"/>
    <x v="1"/>
    <x v="2"/>
    <s v="Returned"/>
    <n v="829"/>
    <n v="445"/>
    <x v="13"/>
    <x v="2"/>
    <x v="12"/>
    <x v="2"/>
    <x v="3"/>
    <m/>
  </r>
  <r>
    <d v="2025-12-11T00:00:00"/>
    <x v="0"/>
    <s v="Takeaway Boxes"/>
    <s v="Large"/>
    <x v="96"/>
    <x v="0"/>
    <x v="530"/>
    <n v="5"/>
    <n v="1470"/>
    <x v="901"/>
    <x v="1"/>
    <x v="0"/>
    <x v="1"/>
    <s v="Delayed"/>
    <n v="718"/>
    <n v="294"/>
    <x v="9"/>
    <x v="7"/>
    <x v="9"/>
    <x v="2"/>
    <x v="10"/>
    <m/>
  </r>
  <r>
    <d v="2025-12-12T00:00:00"/>
    <x v="2"/>
    <s v="Housekeeping Items"/>
    <s v="Standard"/>
    <x v="181"/>
    <x v="2"/>
    <x v="909"/>
    <n v="100"/>
    <n v="32300"/>
    <x v="824"/>
    <x v="2"/>
    <x v="1"/>
    <x v="2"/>
    <s v="Delivered"/>
    <n v="545"/>
    <n v="323"/>
    <x v="9"/>
    <x v="7"/>
    <x v="9"/>
    <x v="1"/>
    <x v="9"/>
    <m/>
  </r>
  <r>
    <d v="2025-12-13T00:00:00"/>
    <x v="0"/>
    <s v="Takeaway Boxes"/>
    <s v="Large"/>
    <x v="285"/>
    <x v="0"/>
    <x v="346"/>
    <n v="5"/>
    <n v="575"/>
    <x v="430"/>
    <x v="1"/>
    <x v="3"/>
    <x v="0"/>
    <s v="Returned"/>
    <n v="538"/>
    <n v="115"/>
    <x v="0"/>
    <x v="0"/>
    <x v="0"/>
    <x v="4"/>
    <x v="3"/>
    <m/>
  </r>
  <r>
    <d v="2025-12-14T00:00:00"/>
    <x v="2"/>
    <s v="Housekeeping Items"/>
    <s v="Standard"/>
    <x v="466"/>
    <x v="2"/>
    <x v="1006"/>
    <n v="100"/>
    <n v="15100"/>
    <x v="902"/>
    <x v="0"/>
    <x v="2"/>
    <x v="0"/>
    <s v="Delivered"/>
    <n v="996"/>
    <n v="151"/>
    <x v="14"/>
    <x v="6"/>
    <x v="13"/>
    <x v="2"/>
    <x v="9"/>
    <m/>
  </r>
  <r>
    <d v="2025-12-15T00:00:00"/>
    <x v="5"/>
    <s v="Cutlery"/>
    <s v="3pcs"/>
    <x v="226"/>
    <x v="5"/>
    <x v="714"/>
    <n v="4"/>
    <n v="444"/>
    <x v="234"/>
    <x v="2"/>
    <x v="3"/>
    <x v="2"/>
    <s v="Delivered"/>
    <n v="514"/>
    <n v="111"/>
    <x v="3"/>
    <x v="2"/>
    <x v="3"/>
    <x v="0"/>
    <x v="5"/>
    <m/>
  </r>
  <r>
    <d v="2025-12-16T00:00:00"/>
    <x v="5"/>
    <s v="Cutlery"/>
    <s v="3pcs"/>
    <x v="206"/>
    <x v="5"/>
    <x v="1007"/>
    <n v="4"/>
    <n v="968"/>
    <x v="803"/>
    <x v="1"/>
    <x v="1"/>
    <x v="2"/>
    <s v="Delayed"/>
    <n v="551"/>
    <n v="242"/>
    <x v="16"/>
    <x v="4"/>
    <x v="15"/>
    <x v="4"/>
    <x v="7"/>
    <m/>
  </r>
  <r>
    <d v="2025-12-17T00:00:00"/>
    <x v="0"/>
    <s v="Takeaway Boxes"/>
    <s v="Large"/>
    <x v="79"/>
    <x v="0"/>
    <x v="83"/>
    <n v="5"/>
    <n v="65"/>
    <x v="81"/>
    <x v="1"/>
    <x v="0"/>
    <x v="0"/>
    <s v="Returned"/>
    <n v="944"/>
    <n v="13"/>
    <x v="19"/>
    <x v="13"/>
    <x v="18"/>
    <x v="4"/>
    <x v="7"/>
    <m/>
  </r>
  <r>
    <d v="2025-12-18T00:00:00"/>
    <x v="3"/>
    <s v="Containers"/>
    <s v="1L"/>
    <x v="151"/>
    <x v="3"/>
    <x v="33"/>
    <n v="3"/>
    <n v="498"/>
    <x v="32"/>
    <x v="1"/>
    <x v="1"/>
    <x v="1"/>
    <s v="Returned"/>
    <n v="580"/>
    <n v="166"/>
    <x v="6"/>
    <x v="4"/>
    <x v="6"/>
    <x v="0"/>
    <x v="11"/>
    <m/>
  </r>
  <r>
    <d v="2025-12-19T00:00:00"/>
    <x v="5"/>
    <s v="Cutlery"/>
    <s v="3pcs"/>
    <x v="5"/>
    <x v="5"/>
    <x v="980"/>
    <n v="4"/>
    <n v="808"/>
    <x v="5"/>
    <x v="2"/>
    <x v="1"/>
    <x v="0"/>
    <s v="Delayed"/>
    <n v="765"/>
    <n v="202"/>
    <x v="13"/>
    <x v="2"/>
    <x v="12"/>
    <x v="2"/>
    <x v="4"/>
    <m/>
  </r>
  <r>
    <d v="2025-12-20T00:00:00"/>
    <x v="0"/>
    <s v="Takeaway Boxes"/>
    <s v="Large"/>
    <x v="160"/>
    <x v="0"/>
    <x v="961"/>
    <n v="5"/>
    <n v="1185"/>
    <x v="866"/>
    <x v="2"/>
    <x v="2"/>
    <x v="1"/>
    <s v="Returned"/>
    <n v="683"/>
    <n v="237"/>
    <x v="17"/>
    <x v="11"/>
    <x v="16"/>
    <x v="2"/>
    <x v="6"/>
    <m/>
  </r>
  <r>
    <d v="2025-12-21T00:00:00"/>
    <x v="5"/>
    <s v="Cutlery"/>
    <s v="3pcs"/>
    <x v="69"/>
    <x v="5"/>
    <x v="1008"/>
    <n v="4"/>
    <n v="1488"/>
    <x v="568"/>
    <x v="0"/>
    <x v="3"/>
    <x v="2"/>
    <s v="Returned"/>
    <n v="854"/>
    <n v="372"/>
    <x v="17"/>
    <x v="11"/>
    <x v="16"/>
    <x v="2"/>
    <x v="8"/>
    <m/>
  </r>
  <r>
    <d v="2025-12-22T00:00:00"/>
    <x v="5"/>
    <s v="Cutlery"/>
    <s v="3pcs"/>
    <x v="197"/>
    <x v="5"/>
    <x v="1009"/>
    <n v="4"/>
    <n v="648"/>
    <x v="221"/>
    <x v="1"/>
    <x v="1"/>
    <x v="1"/>
    <s v="Returned"/>
    <n v="581"/>
    <n v="162"/>
    <x v="18"/>
    <x v="12"/>
    <x v="17"/>
    <x v="1"/>
    <x v="11"/>
    <m/>
  </r>
  <r>
    <d v="2025-12-23T00:00:00"/>
    <x v="2"/>
    <s v="Housekeeping Items"/>
    <s v="Standard"/>
    <x v="181"/>
    <x v="2"/>
    <x v="909"/>
    <n v="100"/>
    <n v="32300"/>
    <x v="824"/>
    <x v="2"/>
    <x v="2"/>
    <x v="2"/>
    <s v="Delayed"/>
    <n v="783"/>
    <n v="323"/>
    <x v="13"/>
    <x v="2"/>
    <x v="12"/>
    <x v="2"/>
    <x v="0"/>
    <m/>
  </r>
  <r>
    <d v="2025-12-24T00:00:00"/>
    <x v="3"/>
    <s v="Containers"/>
    <s v="1L"/>
    <x v="466"/>
    <x v="3"/>
    <x v="1010"/>
    <n v="3"/>
    <n v="453"/>
    <x v="903"/>
    <x v="2"/>
    <x v="2"/>
    <x v="2"/>
    <s v="Delivered"/>
    <n v="935"/>
    <n v="151"/>
    <x v="12"/>
    <x v="3"/>
    <x v="10"/>
    <x v="2"/>
    <x v="4"/>
    <m/>
  </r>
  <r>
    <d v="2025-12-25T00:00:00"/>
    <x v="3"/>
    <s v="Containers"/>
    <s v="1L"/>
    <x v="260"/>
    <x v="3"/>
    <x v="1011"/>
    <n v="3"/>
    <n v="1230"/>
    <x v="312"/>
    <x v="0"/>
    <x v="3"/>
    <x v="1"/>
    <s v="Delivered"/>
    <n v="711"/>
    <n v="410"/>
    <x v="15"/>
    <x v="10"/>
    <x v="14"/>
    <x v="3"/>
    <x v="7"/>
    <m/>
  </r>
  <r>
    <d v="2025-12-26T00:00:00"/>
    <x v="4"/>
    <s v="Plates &amp; Bowls"/>
    <s v="500ml"/>
    <x v="467"/>
    <x v="4"/>
    <x v="1012"/>
    <n v="1.5"/>
    <n v="225"/>
    <x v="140"/>
    <x v="2"/>
    <x v="1"/>
    <x v="1"/>
    <s v="Delivered"/>
    <n v="940"/>
    <n v="150"/>
    <x v="12"/>
    <x v="3"/>
    <x v="10"/>
    <x v="1"/>
    <x v="2"/>
    <m/>
  </r>
  <r>
    <d v="2025-12-27T00:00:00"/>
    <x v="3"/>
    <s v="Containers"/>
    <s v="1L"/>
    <x v="256"/>
    <x v="3"/>
    <x v="372"/>
    <n v="3"/>
    <n v="612"/>
    <x v="354"/>
    <x v="1"/>
    <x v="3"/>
    <x v="1"/>
    <s v="Delivered"/>
    <n v="983"/>
    <n v="204"/>
    <x v="0"/>
    <x v="0"/>
    <x v="0"/>
    <x v="3"/>
    <x v="10"/>
    <m/>
  </r>
  <r>
    <d v="2025-12-28T00:00:00"/>
    <x v="3"/>
    <s v="Containers"/>
    <s v="1L"/>
    <x v="12"/>
    <x v="3"/>
    <x v="470"/>
    <n v="3"/>
    <n v="504"/>
    <x v="287"/>
    <x v="2"/>
    <x v="0"/>
    <x v="0"/>
    <s v="Delivered"/>
    <n v="934"/>
    <n v="168"/>
    <x v="13"/>
    <x v="2"/>
    <x v="12"/>
    <x v="0"/>
    <x v="8"/>
    <m/>
  </r>
  <r>
    <d v="2025-12-29T00:00:00"/>
    <x v="2"/>
    <s v="Housekeeping Items"/>
    <s v="Standard"/>
    <x v="239"/>
    <x v="2"/>
    <x v="1013"/>
    <n v="100"/>
    <n v="41200"/>
    <x v="904"/>
    <x v="1"/>
    <x v="2"/>
    <x v="2"/>
    <s v="Returned"/>
    <n v="843"/>
    <n v="412"/>
    <x v="1"/>
    <x v="1"/>
    <x v="1"/>
    <x v="1"/>
    <x v="0"/>
    <m/>
  </r>
  <r>
    <d v="2025-12-30T00:00:00"/>
    <x v="0"/>
    <s v="Takeaway Boxes"/>
    <s v="Large"/>
    <x v="231"/>
    <x v="0"/>
    <x v="1014"/>
    <n v="5"/>
    <n v="885"/>
    <x v="905"/>
    <x v="0"/>
    <x v="1"/>
    <x v="2"/>
    <s v="Delayed"/>
    <n v="719"/>
    <n v="177"/>
    <x v="4"/>
    <x v="3"/>
    <x v="4"/>
    <x v="3"/>
    <x v="2"/>
    <m/>
  </r>
  <r>
    <d v="2025-12-31T00:00:00"/>
    <x v="4"/>
    <s v="Plates &amp; Bowls"/>
    <s v="500ml"/>
    <x v="468"/>
    <x v="4"/>
    <x v="1015"/>
    <n v="1.5"/>
    <n v="447"/>
    <x v="906"/>
    <x v="2"/>
    <x v="1"/>
    <x v="0"/>
    <s v="Delivered"/>
    <n v="959"/>
    <n v="298"/>
    <x v="13"/>
    <x v="2"/>
    <x v="12"/>
    <x v="4"/>
    <x v="9"/>
    <m/>
  </r>
  <r>
    <d v="2026-01-01T00:00:00"/>
    <x v="5"/>
    <s v="Cutlery"/>
    <s v="3pcs"/>
    <x v="279"/>
    <x v="5"/>
    <x v="357"/>
    <n v="4"/>
    <n v="844"/>
    <x v="338"/>
    <x v="2"/>
    <x v="3"/>
    <x v="2"/>
    <s v="Delivered"/>
    <n v="904"/>
    <n v="211"/>
    <x v="17"/>
    <x v="11"/>
    <x v="16"/>
    <x v="0"/>
    <x v="5"/>
    <m/>
  </r>
  <r>
    <d v="2026-01-02T00:00:00"/>
    <x v="5"/>
    <s v="Cutlery"/>
    <s v="3pcs"/>
    <x v="337"/>
    <x v="5"/>
    <x v="1016"/>
    <n v="4"/>
    <n v="244"/>
    <x v="726"/>
    <x v="2"/>
    <x v="0"/>
    <x v="1"/>
    <s v="Returned"/>
    <n v="847"/>
    <n v="61"/>
    <x v="10"/>
    <x v="8"/>
    <x v="10"/>
    <x v="3"/>
    <x v="2"/>
    <m/>
  </r>
  <r>
    <d v="2026-01-03T00:00:00"/>
    <x v="4"/>
    <s v="Plates &amp; Bowls"/>
    <s v="500ml"/>
    <x v="294"/>
    <x v="4"/>
    <x v="1017"/>
    <n v="1.5"/>
    <n v="258"/>
    <x v="539"/>
    <x v="0"/>
    <x v="1"/>
    <x v="0"/>
    <s v="Delayed"/>
    <n v="899"/>
    <n v="172"/>
    <x v="7"/>
    <x v="5"/>
    <x v="7"/>
    <x v="0"/>
    <x v="10"/>
    <m/>
  </r>
  <r>
    <d v="2026-01-04T00:00:00"/>
    <x v="0"/>
    <s v="Takeaway Boxes"/>
    <s v="Large"/>
    <x v="424"/>
    <x v="0"/>
    <x v="117"/>
    <n v="5"/>
    <n v="135"/>
    <x v="907"/>
    <x v="0"/>
    <x v="0"/>
    <x v="1"/>
    <s v="Returned"/>
    <n v="912"/>
    <n v="27"/>
    <x v="15"/>
    <x v="10"/>
    <x v="14"/>
    <x v="2"/>
    <x v="8"/>
    <m/>
  </r>
  <r>
    <d v="2026-01-05T00:00:00"/>
    <x v="4"/>
    <s v="Plates &amp; Bowls"/>
    <s v="500ml"/>
    <x v="469"/>
    <x v="4"/>
    <x v="1018"/>
    <n v="1.5"/>
    <n v="738"/>
    <x v="908"/>
    <x v="1"/>
    <x v="2"/>
    <x v="2"/>
    <s v="Delivered"/>
    <n v="509"/>
    <n v="492"/>
    <x v="3"/>
    <x v="2"/>
    <x v="3"/>
    <x v="0"/>
    <x v="11"/>
    <m/>
  </r>
  <r>
    <d v="2026-01-06T00:00:00"/>
    <x v="4"/>
    <s v="Plates &amp; Bowls"/>
    <s v="500ml"/>
    <x v="164"/>
    <x v="4"/>
    <x v="84"/>
    <n v="1.5"/>
    <n v="564"/>
    <x v="82"/>
    <x v="0"/>
    <x v="1"/>
    <x v="1"/>
    <s v="Delivered"/>
    <n v="564"/>
    <n v="376"/>
    <x v="19"/>
    <x v="13"/>
    <x v="18"/>
    <x v="2"/>
    <x v="8"/>
    <m/>
  </r>
  <r>
    <d v="2026-01-07T00:00:00"/>
    <x v="2"/>
    <s v="Housekeeping Items"/>
    <s v="Standard"/>
    <x v="130"/>
    <x v="2"/>
    <x v="383"/>
    <n v="100"/>
    <n v="33100"/>
    <x v="365"/>
    <x v="0"/>
    <x v="0"/>
    <x v="0"/>
    <s v="Delayed"/>
    <n v="847"/>
    <n v="331"/>
    <x v="14"/>
    <x v="6"/>
    <x v="13"/>
    <x v="0"/>
    <x v="10"/>
    <m/>
  </r>
  <r>
    <d v="2026-01-08T00:00:00"/>
    <x v="2"/>
    <s v="Housekeeping Items"/>
    <s v="Standard"/>
    <x v="265"/>
    <x v="2"/>
    <x v="336"/>
    <n v="100"/>
    <n v="44600"/>
    <x v="318"/>
    <x v="2"/>
    <x v="2"/>
    <x v="0"/>
    <s v="Delivered"/>
    <n v="745"/>
    <n v="446"/>
    <x v="2"/>
    <x v="2"/>
    <x v="2"/>
    <x v="3"/>
    <x v="6"/>
    <m/>
  </r>
  <r>
    <d v="2026-01-09T00:00:00"/>
    <x v="2"/>
    <s v="Housekeeping Items"/>
    <s v="Standard"/>
    <x v="390"/>
    <x v="2"/>
    <x v="1019"/>
    <n v="100"/>
    <n v="24900"/>
    <x v="909"/>
    <x v="2"/>
    <x v="1"/>
    <x v="0"/>
    <s v="Delivered"/>
    <n v="831"/>
    <n v="249"/>
    <x v="3"/>
    <x v="2"/>
    <x v="3"/>
    <x v="0"/>
    <x v="11"/>
    <m/>
  </r>
  <r>
    <d v="2026-01-10T00:00:00"/>
    <x v="0"/>
    <s v="Takeaway Boxes"/>
    <s v="Large"/>
    <x v="172"/>
    <x v="0"/>
    <x v="1020"/>
    <n v="5"/>
    <n v="370"/>
    <x v="234"/>
    <x v="0"/>
    <x v="3"/>
    <x v="0"/>
    <s v="Returned"/>
    <n v="657"/>
    <n v="74"/>
    <x v="7"/>
    <x v="5"/>
    <x v="7"/>
    <x v="0"/>
    <x v="4"/>
    <m/>
  </r>
  <r>
    <d v="2026-01-11T00:00:00"/>
    <x v="4"/>
    <s v="Plates &amp; Bowls"/>
    <s v="500ml"/>
    <x v="220"/>
    <x v="4"/>
    <x v="260"/>
    <n v="1.5"/>
    <n v="46.5"/>
    <x v="253"/>
    <x v="1"/>
    <x v="0"/>
    <x v="0"/>
    <s v="Returned"/>
    <n v="930"/>
    <n v="31"/>
    <x v="8"/>
    <x v="6"/>
    <x v="8"/>
    <x v="1"/>
    <x v="4"/>
    <m/>
  </r>
  <r>
    <d v="2026-01-12T00:00:00"/>
    <x v="2"/>
    <s v="Housekeeping Items"/>
    <s v="Standard"/>
    <x v="124"/>
    <x v="2"/>
    <x v="1021"/>
    <n v="100"/>
    <n v="11400"/>
    <x v="910"/>
    <x v="1"/>
    <x v="1"/>
    <x v="2"/>
    <s v="Delivered"/>
    <n v="976"/>
    <n v="114"/>
    <x v="9"/>
    <x v="7"/>
    <x v="9"/>
    <x v="2"/>
    <x v="7"/>
    <m/>
  </r>
  <r>
    <d v="2026-01-13T00:00:00"/>
    <x v="2"/>
    <s v="Housekeeping Items"/>
    <s v="Standard"/>
    <x v="198"/>
    <x v="2"/>
    <x v="1022"/>
    <n v="100"/>
    <n v="12100"/>
    <x v="911"/>
    <x v="2"/>
    <x v="0"/>
    <x v="0"/>
    <s v="Delivered"/>
    <n v="618"/>
    <n v="121"/>
    <x v="19"/>
    <x v="13"/>
    <x v="18"/>
    <x v="4"/>
    <x v="7"/>
    <m/>
  </r>
  <r>
    <d v="2026-01-14T00:00:00"/>
    <x v="4"/>
    <s v="Plates &amp; Bowls"/>
    <s v="500ml"/>
    <x v="296"/>
    <x v="4"/>
    <x v="408"/>
    <n v="1.5"/>
    <n v="556.5"/>
    <x v="385"/>
    <x v="0"/>
    <x v="1"/>
    <x v="0"/>
    <s v="Delayed"/>
    <n v="798"/>
    <n v="371"/>
    <x v="7"/>
    <x v="5"/>
    <x v="7"/>
    <x v="2"/>
    <x v="1"/>
    <m/>
  </r>
  <r>
    <d v="2026-01-15T00:00:00"/>
    <x v="4"/>
    <s v="Plates &amp; Bowls"/>
    <s v="500ml"/>
    <x v="235"/>
    <x v="4"/>
    <x v="915"/>
    <n v="1.5"/>
    <n v="592.5"/>
    <x v="830"/>
    <x v="0"/>
    <x v="2"/>
    <x v="0"/>
    <s v="Returned"/>
    <n v="664"/>
    <n v="395"/>
    <x v="8"/>
    <x v="6"/>
    <x v="8"/>
    <x v="4"/>
    <x v="2"/>
    <m/>
  </r>
  <r>
    <d v="2026-01-16T00:00:00"/>
    <x v="3"/>
    <s v="Containers"/>
    <s v="1L"/>
    <x v="71"/>
    <x v="3"/>
    <x v="416"/>
    <n v="3"/>
    <n v="189"/>
    <x v="268"/>
    <x v="2"/>
    <x v="3"/>
    <x v="1"/>
    <s v="Delayed"/>
    <n v="933"/>
    <n v="63"/>
    <x v="3"/>
    <x v="2"/>
    <x v="3"/>
    <x v="2"/>
    <x v="1"/>
    <m/>
  </r>
  <r>
    <d v="2026-01-17T00:00:00"/>
    <x v="5"/>
    <s v="Cutlery"/>
    <s v="3pcs"/>
    <x v="32"/>
    <x v="5"/>
    <x v="976"/>
    <n v="4"/>
    <n v="1328"/>
    <x v="912"/>
    <x v="2"/>
    <x v="0"/>
    <x v="1"/>
    <s v="Delayed"/>
    <n v="704"/>
    <n v="332"/>
    <x v="12"/>
    <x v="3"/>
    <x v="10"/>
    <x v="4"/>
    <x v="9"/>
    <m/>
  </r>
  <r>
    <d v="2026-01-18T00:00:00"/>
    <x v="4"/>
    <s v="Plates &amp; Bowls"/>
    <s v="500ml"/>
    <x v="326"/>
    <x v="4"/>
    <x v="480"/>
    <n v="1.5"/>
    <n v="304.5"/>
    <x v="452"/>
    <x v="2"/>
    <x v="1"/>
    <x v="1"/>
    <s v="Returned"/>
    <n v="584"/>
    <n v="203"/>
    <x v="9"/>
    <x v="7"/>
    <x v="9"/>
    <x v="3"/>
    <x v="10"/>
    <m/>
  </r>
  <r>
    <d v="2026-01-19T00:00:00"/>
    <x v="0"/>
    <s v="Takeaway Boxes"/>
    <s v="Large"/>
    <x v="185"/>
    <x v="0"/>
    <x v="213"/>
    <n v="5"/>
    <n v="215"/>
    <x v="208"/>
    <x v="0"/>
    <x v="3"/>
    <x v="1"/>
    <s v="Delivered"/>
    <n v="680"/>
    <n v="43"/>
    <x v="12"/>
    <x v="3"/>
    <x v="10"/>
    <x v="2"/>
    <x v="8"/>
    <m/>
  </r>
  <r>
    <d v="2026-01-20T00:00:00"/>
    <x v="4"/>
    <s v="Plates &amp; Bowls"/>
    <s v="500ml"/>
    <x v="41"/>
    <x v="4"/>
    <x v="1023"/>
    <n v="1.5"/>
    <n v="106.5"/>
    <x v="913"/>
    <x v="2"/>
    <x v="0"/>
    <x v="0"/>
    <s v="Returned"/>
    <n v="951"/>
    <n v="71"/>
    <x v="6"/>
    <x v="4"/>
    <x v="6"/>
    <x v="1"/>
    <x v="10"/>
    <m/>
  </r>
  <r>
    <d v="2026-01-21T00:00:00"/>
    <x v="1"/>
    <s v="Glass &amp; Bottles"/>
    <s v="750ml"/>
    <x v="211"/>
    <x v="1"/>
    <x v="724"/>
    <n v="12"/>
    <n v="1020"/>
    <x v="169"/>
    <x v="1"/>
    <x v="2"/>
    <x v="1"/>
    <s v="Delayed"/>
    <n v="905"/>
    <n v="85"/>
    <x v="15"/>
    <x v="10"/>
    <x v="14"/>
    <x v="0"/>
    <x v="3"/>
    <m/>
  </r>
  <r>
    <d v="2026-01-22T00:00:00"/>
    <x v="3"/>
    <s v="Containers"/>
    <s v="1L"/>
    <x v="442"/>
    <x v="3"/>
    <x v="245"/>
    <n v="3"/>
    <n v="36"/>
    <x v="238"/>
    <x v="2"/>
    <x v="0"/>
    <x v="2"/>
    <s v="Returned"/>
    <n v="941"/>
    <n v="12"/>
    <x v="19"/>
    <x v="13"/>
    <x v="18"/>
    <x v="2"/>
    <x v="8"/>
    <m/>
  </r>
  <r>
    <d v="2026-01-23T00:00:00"/>
    <x v="2"/>
    <s v="Housekeeping Items"/>
    <s v="Standard"/>
    <x v="350"/>
    <x v="2"/>
    <x v="1024"/>
    <n v="100"/>
    <n v="32800"/>
    <x v="914"/>
    <x v="1"/>
    <x v="3"/>
    <x v="0"/>
    <s v="Delayed"/>
    <n v="699"/>
    <n v="328"/>
    <x v="5"/>
    <x v="0"/>
    <x v="5"/>
    <x v="1"/>
    <x v="8"/>
    <m/>
  </r>
  <r>
    <d v="2026-01-24T00:00:00"/>
    <x v="2"/>
    <s v="Housekeeping Items"/>
    <s v="Standard"/>
    <x v="454"/>
    <x v="2"/>
    <x v="903"/>
    <n v="100"/>
    <n v="23400"/>
    <x v="818"/>
    <x v="1"/>
    <x v="2"/>
    <x v="1"/>
    <s v="Delayed"/>
    <n v="840"/>
    <n v="234"/>
    <x v="7"/>
    <x v="5"/>
    <x v="7"/>
    <x v="4"/>
    <x v="4"/>
    <m/>
  </r>
  <r>
    <d v="2026-01-25T00:00:00"/>
    <x v="0"/>
    <s v="Takeaway Boxes"/>
    <s v="Large"/>
    <x v="142"/>
    <x v="0"/>
    <x v="1025"/>
    <n v="5"/>
    <n v="2070"/>
    <x v="915"/>
    <x v="0"/>
    <x v="3"/>
    <x v="1"/>
    <s v="Delivered"/>
    <n v="600"/>
    <n v="414"/>
    <x v="5"/>
    <x v="0"/>
    <x v="5"/>
    <x v="2"/>
    <x v="2"/>
    <m/>
  </r>
  <r>
    <d v="2026-01-26T00:00:00"/>
    <x v="0"/>
    <s v="Takeaway Boxes"/>
    <s v="Large"/>
    <x v="73"/>
    <x v="0"/>
    <x v="856"/>
    <n v="5"/>
    <n v="450"/>
    <x v="916"/>
    <x v="2"/>
    <x v="3"/>
    <x v="1"/>
    <s v="Delayed"/>
    <n v="551"/>
    <n v="90"/>
    <x v="6"/>
    <x v="4"/>
    <x v="6"/>
    <x v="3"/>
    <x v="7"/>
    <m/>
  </r>
  <r>
    <d v="2026-01-27T00:00:00"/>
    <x v="4"/>
    <s v="Plates &amp; Bowls"/>
    <s v="500ml"/>
    <x v="389"/>
    <x v="4"/>
    <x v="293"/>
    <n v="1.5"/>
    <n v="663"/>
    <x v="284"/>
    <x v="2"/>
    <x v="3"/>
    <x v="1"/>
    <s v="Delayed"/>
    <n v="925"/>
    <n v="442"/>
    <x v="5"/>
    <x v="0"/>
    <x v="5"/>
    <x v="3"/>
    <x v="11"/>
    <m/>
  </r>
  <r>
    <d v="2026-01-28T00:00:00"/>
    <x v="2"/>
    <s v="Housekeeping Items"/>
    <s v="Standard"/>
    <x v="354"/>
    <x v="2"/>
    <x v="792"/>
    <n v="100"/>
    <n v="28200"/>
    <x v="734"/>
    <x v="1"/>
    <x v="3"/>
    <x v="1"/>
    <s v="Returned"/>
    <n v="709"/>
    <n v="282"/>
    <x v="2"/>
    <x v="2"/>
    <x v="2"/>
    <x v="3"/>
    <x v="6"/>
    <m/>
  </r>
  <r>
    <d v="2026-01-29T00:00:00"/>
    <x v="4"/>
    <s v="Plates &amp; Bowls"/>
    <s v="500ml"/>
    <x v="154"/>
    <x v="4"/>
    <x v="941"/>
    <n v="1.5"/>
    <n v="711"/>
    <x v="851"/>
    <x v="1"/>
    <x v="3"/>
    <x v="2"/>
    <s v="Delivered"/>
    <n v="781"/>
    <n v="474"/>
    <x v="10"/>
    <x v="8"/>
    <x v="10"/>
    <x v="1"/>
    <x v="6"/>
    <m/>
  </r>
  <r>
    <d v="2026-01-30T00:00:00"/>
    <x v="0"/>
    <s v="Takeaway Boxes"/>
    <s v="Large"/>
    <x v="145"/>
    <x v="0"/>
    <x v="216"/>
    <n v="5"/>
    <n v="1000"/>
    <x v="530"/>
    <x v="0"/>
    <x v="3"/>
    <x v="1"/>
    <s v="Delivered"/>
    <n v="611"/>
    <n v="200"/>
    <x v="1"/>
    <x v="1"/>
    <x v="1"/>
    <x v="3"/>
    <x v="9"/>
    <m/>
  </r>
  <r>
    <d v="2026-01-31T00:00:00"/>
    <x v="3"/>
    <s v="Containers"/>
    <s v="1L"/>
    <x v="239"/>
    <x v="3"/>
    <x v="289"/>
    <n v="3"/>
    <n v="1236"/>
    <x v="280"/>
    <x v="1"/>
    <x v="2"/>
    <x v="0"/>
    <s v="Delayed"/>
    <n v="925"/>
    <n v="412"/>
    <x v="5"/>
    <x v="0"/>
    <x v="5"/>
    <x v="3"/>
    <x v="5"/>
    <m/>
  </r>
  <r>
    <d v="2026-02-01T00:00:00"/>
    <x v="5"/>
    <s v="Cutlery"/>
    <s v="3pcs"/>
    <x v="294"/>
    <x v="5"/>
    <x v="931"/>
    <n v="4"/>
    <n v="688"/>
    <x v="378"/>
    <x v="2"/>
    <x v="2"/>
    <x v="2"/>
    <s v="Delayed"/>
    <n v="697"/>
    <n v="172"/>
    <x v="4"/>
    <x v="3"/>
    <x v="4"/>
    <x v="4"/>
    <x v="11"/>
    <m/>
  </r>
  <r>
    <d v="2026-02-02T00:00:00"/>
    <x v="1"/>
    <s v="Glass &amp; Bottles"/>
    <s v="750ml"/>
    <x v="1"/>
    <x v="1"/>
    <x v="1"/>
    <n v="12"/>
    <n v="2352"/>
    <x v="1"/>
    <x v="0"/>
    <x v="1"/>
    <x v="0"/>
    <s v="Delivered"/>
    <n v="907"/>
    <n v="196"/>
    <x v="8"/>
    <x v="6"/>
    <x v="8"/>
    <x v="1"/>
    <x v="3"/>
    <m/>
  </r>
  <r>
    <d v="2026-02-03T00:00:00"/>
    <x v="3"/>
    <s v="Containers"/>
    <s v="1L"/>
    <x v="436"/>
    <x v="3"/>
    <x v="734"/>
    <n v="3"/>
    <n v="1104"/>
    <x v="680"/>
    <x v="2"/>
    <x v="1"/>
    <x v="1"/>
    <s v="Delayed"/>
    <n v="766"/>
    <n v="368"/>
    <x v="14"/>
    <x v="6"/>
    <x v="13"/>
    <x v="2"/>
    <x v="10"/>
    <m/>
  </r>
  <r>
    <d v="2026-02-04T00:00:00"/>
    <x v="4"/>
    <s v="Plates &amp; Bowls"/>
    <s v="500ml"/>
    <x v="325"/>
    <x v="4"/>
    <x v="1026"/>
    <n v="1.5"/>
    <n v="319.5"/>
    <x v="917"/>
    <x v="2"/>
    <x v="3"/>
    <x v="1"/>
    <s v="Returned"/>
    <n v="650"/>
    <n v="213"/>
    <x v="0"/>
    <x v="0"/>
    <x v="0"/>
    <x v="4"/>
    <x v="7"/>
    <m/>
  </r>
  <r>
    <d v="2026-02-05T00:00:00"/>
    <x v="1"/>
    <s v="Glass &amp; Bottles"/>
    <s v="750ml"/>
    <x v="408"/>
    <x v="1"/>
    <x v="1027"/>
    <n v="12"/>
    <n v="3684"/>
    <x v="918"/>
    <x v="1"/>
    <x v="3"/>
    <x v="1"/>
    <s v="Returned"/>
    <n v="617"/>
    <n v="307"/>
    <x v="11"/>
    <x v="9"/>
    <x v="11"/>
    <x v="2"/>
    <x v="0"/>
    <m/>
  </r>
  <r>
    <d v="2026-02-06T00:00:00"/>
    <x v="3"/>
    <s v="Containers"/>
    <s v="1L"/>
    <x v="243"/>
    <x v="3"/>
    <x v="1028"/>
    <n v="3"/>
    <n v="786"/>
    <x v="919"/>
    <x v="2"/>
    <x v="0"/>
    <x v="1"/>
    <s v="Delayed"/>
    <n v="968"/>
    <n v="262"/>
    <x v="10"/>
    <x v="8"/>
    <x v="10"/>
    <x v="1"/>
    <x v="11"/>
    <m/>
  </r>
  <r>
    <d v="2026-02-07T00:00:00"/>
    <x v="0"/>
    <s v="Takeaway Boxes"/>
    <s v="Large"/>
    <x v="5"/>
    <x v="0"/>
    <x v="1029"/>
    <n v="5"/>
    <n v="1010"/>
    <x v="920"/>
    <x v="0"/>
    <x v="3"/>
    <x v="1"/>
    <s v="Delayed"/>
    <n v="949"/>
    <n v="202"/>
    <x v="0"/>
    <x v="0"/>
    <x v="0"/>
    <x v="3"/>
    <x v="0"/>
    <m/>
  </r>
  <r>
    <d v="2026-02-08T00:00:00"/>
    <x v="3"/>
    <s v="Containers"/>
    <s v="1L"/>
    <x v="235"/>
    <x v="3"/>
    <x v="283"/>
    <n v="3"/>
    <n v="1185"/>
    <x v="274"/>
    <x v="0"/>
    <x v="2"/>
    <x v="0"/>
    <s v="Delayed"/>
    <n v="696"/>
    <n v="395"/>
    <x v="9"/>
    <x v="7"/>
    <x v="9"/>
    <x v="0"/>
    <x v="9"/>
    <m/>
  </r>
  <r>
    <d v="2026-02-09T00:00:00"/>
    <x v="2"/>
    <s v="Housekeeping Items"/>
    <s v="Standard"/>
    <x v="254"/>
    <x v="2"/>
    <x v="355"/>
    <n v="100"/>
    <n v="36200"/>
    <x v="335"/>
    <x v="1"/>
    <x v="0"/>
    <x v="1"/>
    <s v="Returned"/>
    <n v="676"/>
    <n v="362"/>
    <x v="8"/>
    <x v="6"/>
    <x v="8"/>
    <x v="0"/>
    <x v="9"/>
    <m/>
  </r>
  <r>
    <d v="2026-02-10T00:00:00"/>
    <x v="5"/>
    <s v="Cutlery"/>
    <s v="3pcs"/>
    <x v="118"/>
    <x v="5"/>
    <x v="123"/>
    <n v="4"/>
    <n v="1064"/>
    <x v="120"/>
    <x v="2"/>
    <x v="3"/>
    <x v="0"/>
    <s v="Returned"/>
    <n v="730"/>
    <n v="266"/>
    <x v="9"/>
    <x v="7"/>
    <x v="9"/>
    <x v="1"/>
    <x v="9"/>
    <m/>
  </r>
  <r>
    <d v="2026-02-11T00:00:00"/>
    <x v="5"/>
    <s v="Cutlery"/>
    <s v="3pcs"/>
    <x v="316"/>
    <x v="5"/>
    <x v="1030"/>
    <n v="4"/>
    <n v="1436"/>
    <x v="921"/>
    <x v="0"/>
    <x v="2"/>
    <x v="1"/>
    <s v="Delivered"/>
    <n v="500"/>
    <n v="359"/>
    <x v="4"/>
    <x v="3"/>
    <x v="4"/>
    <x v="3"/>
    <x v="1"/>
    <m/>
  </r>
  <r>
    <d v="2026-02-12T00:00:00"/>
    <x v="0"/>
    <s v="Takeaway Boxes"/>
    <s v="Large"/>
    <x v="181"/>
    <x v="0"/>
    <x v="1031"/>
    <n v="5"/>
    <n v="1615"/>
    <x v="922"/>
    <x v="1"/>
    <x v="1"/>
    <x v="2"/>
    <s v="Delayed"/>
    <n v="737"/>
    <n v="323"/>
    <x v="19"/>
    <x v="13"/>
    <x v="18"/>
    <x v="0"/>
    <x v="2"/>
    <m/>
  </r>
  <r>
    <d v="2026-02-13T00:00:00"/>
    <x v="5"/>
    <s v="Cutlery"/>
    <s v="3pcs"/>
    <x v="22"/>
    <x v="5"/>
    <x v="23"/>
    <n v="4"/>
    <n v="276"/>
    <x v="23"/>
    <x v="1"/>
    <x v="3"/>
    <x v="0"/>
    <s v="Delayed"/>
    <n v="854"/>
    <n v="69"/>
    <x v="12"/>
    <x v="3"/>
    <x v="10"/>
    <x v="1"/>
    <x v="2"/>
    <m/>
  </r>
  <r>
    <d v="2026-02-14T00:00:00"/>
    <x v="1"/>
    <s v="Glass &amp; Bottles"/>
    <s v="750ml"/>
    <x v="389"/>
    <x v="1"/>
    <x v="747"/>
    <n v="12"/>
    <n v="5304"/>
    <x v="692"/>
    <x v="1"/>
    <x v="3"/>
    <x v="2"/>
    <s v="Delayed"/>
    <n v="722"/>
    <n v="442"/>
    <x v="7"/>
    <x v="5"/>
    <x v="7"/>
    <x v="2"/>
    <x v="5"/>
    <m/>
  </r>
  <r>
    <d v="2026-02-15T00:00:00"/>
    <x v="2"/>
    <s v="Housekeeping Items"/>
    <s v="Standard"/>
    <x v="172"/>
    <x v="2"/>
    <x v="374"/>
    <n v="100"/>
    <n v="7400"/>
    <x v="356"/>
    <x v="2"/>
    <x v="1"/>
    <x v="1"/>
    <s v="Delayed"/>
    <n v="580"/>
    <n v="74"/>
    <x v="3"/>
    <x v="2"/>
    <x v="3"/>
    <x v="1"/>
    <x v="0"/>
    <m/>
  </r>
  <r>
    <d v="2026-02-16T00:00:00"/>
    <x v="5"/>
    <s v="Cutlery"/>
    <s v="3pcs"/>
    <x v="334"/>
    <x v="5"/>
    <x v="496"/>
    <n v="4"/>
    <n v="264"/>
    <x v="470"/>
    <x v="1"/>
    <x v="0"/>
    <x v="0"/>
    <s v="Delayed"/>
    <n v="549"/>
    <n v="66"/>
    <x v="5"/>
    <x v="0"/>
    <x v="5"/>
    <x v="2"/>
    <x v="10"/>
    <m/>
  </r>
  <r>
    <d v="2026-02-17T00:00:00"/>
    <x v="0"/>
    <s v="Takeaway Boxes"/>
    <s v="Large"/>
    <x v="435"/>
    <x v="0"/>
    <x v="508"/>
    <n v="5"/>
    <n v="775"/>
    <x v="749"/>
    <x v="2"/>
    <x v="0"/>
    <x v="2"/>
    <s v="Returned"/>
    <n v="507"/>
    <n v="155"/>
    <x v="17"/>
    <x v="11"/>
    <x v="16"/>
    <x v="0"/>
    <x v="7"/>
    <m/>
  </r>
  <r>
    <d v="2026-02-18T00:00:00"/>
    <x v="3"/>
    <s v="Containers"/>
    <s v="1L"/>
    <x v="246"/>
    <x v="3"/>
    <x v="1032"/>
    <n v="3"/>
    <n v="1377"/>
    <x v="923"/>
    <x v="1"/>
    <x v="0"/>
    <x v="0"/>
    <s v="Delayed"/>
    <n v="810"/>
    <n v="459"/>
    <x v="8"/>
    <x v="6"/>
    <x v="8"/>
    <x v="2"/>
    <x v="1"/>
    <m/>
  </r>
  <r>
    <d v="2026-02-19T00:00:00"/>
    <x v="5"/>
    <s v="Cutlery"/>
    <s v="3pcs"/>
    <x v="177"/>
    <x v="5"/>
    <x v="1033"/>
    <n v="4"/>
    <n v="1356"/>
    <x v="350"/>
    <x v="1"/>
    <x v="3"/>
    <x v="0"/>
    <s v="Returned"/>
    <n v="906"/>
    <n v="339"/>
    <x v="8"/>
    <x v="6"/>
    <x v="8"/>
    <x v="3"/>
    <x v="5"/>
    <m/>
  </r>
  <r>
    <d v="2026-02-20T00:00:00"/>
    <x v="2"/>
    <s v="Housekeeping Items"/>
    <s v="Standard"/>
    <x v="385"/>
    <x v="2"/>
    <x v="1034"/>
    <n v="100"/>
    <n v="29000"/>
    <x v="924"/>
    <x v="2"/>
    <x v="2"/>
    <x v="2"/>
    <s v="Delayed"/>
    <n v="995"/>
    <n v="290"/>
    <x v="13"/>
    <x v="2"/>
    <x v="12"/>
    <x v="0"/>
    <x v="9"/>
    <m/>
  </r>
  <r>
    <d v="2026-02-21T00:00:00"/>
    <x v="3"/>
    <s v="Containers"/>
    <s v="1L"/>
    <x v="65"/>
    <x v="3"/>
    <x v="111"/>
    <n v="3"/>
    <n v="156"/>
    <x v="108"/>
    <x v="2"/>
    <x v="2"/>
    <x v="0"/>
    <s v="Returned"/>
    <n v="653"/>
    <n v="52"/>
    <x v="16"/>
    <x v="4"/>
    <x v="15"/>
    <x v="1"/>
    <x v="7"/>
    <m/>
  </r>
  <r>
    <d v="2026-02-22T00:00:00"/>
    <x v="5"/>
    <s v="Cutlery"/>
    <s v="3pcs"/>
    <x v="342"/>
    <x v="5"/>
    <x v="1035"/>
    <n v="4"/>
    <n v="1492"/>
    <x v="925"/>
    <x v="0"/>
    <x v="0"/>
    <x v="1"/>
    <s v="Delivered"/>
    <n v="902"/>
    <n v="373"/>
    <x v="15"/>
    <x v="10"/>
    <x v="14"/>
    <x v="4"/>
    <x v="0"/>
    <m/>
  </r>
  <r>
    <d v="2026-02-23T00:00:00"/>
    <x v="4"/>
    <s v="Plates &amp; Bowls"/>
    <s v="500ml"/>
    <x v="20"/>
    <x v="4"/>
    <x v="846"/>
    <n v="1.5"/>
    <n v="153"/>
    <x v="647"/>
    <x v="2"/>
    <x v="0"/>
    <x v="1"/>
    <s v="Delayed"/>
    <n v="910"/>
    <n v="102"/>
    <x v="8"/>
    <x v="6"/>
    <x v="8"/>
    <x v="4"/>
    <x v="3"/>
    <m/>
  </r>
  <r>
    <d v="2026-02-24T00:00:00"/>
    <x v="5"/>
    <s v="Cutlery"/>
    <s v="3pcs"/>
    <x v="470"/>
    <x v="5"/>
    <x v="935"/>
    <n v="4"/>
    <n v="432"/>
    <x v="926"/>
    <x v="2"/>
    <x v="0"/>
    <x v="1"/>
    <s v="Delayed"/>
    <n v="907"/>
    <n v="108"/>
    <x v="18"/>
    <x v="12"/>
    <x v="17"/>
    <x v="0"/>
    <x v="1"/>
    <m/>
  </r>
  <r>
    <d v="2026-02-25T00:00:00"/>
    <x v="1"/>
    <s v="Glass &amp; Bottles"/>
    <s v="750ml"/>
    <x v="317"/>
    <x v="1"/>
    <x v="0"/>
    <n v="12"/>
    <n v="1008"/>
    <x v="927"/>
    <x v="0"/>
    <x v="1"/>
    <x v="1"/>
    <s v="Delayed"/>
    <n v="527"/>
    <n v="84"/>
    <x v="16"/>
    <x v="4"/>
    <x v="15"/>
    <x v="2"/>
    <x v="11"/>
    <m/>
  </r>
  <r>
    <d v="2026-02-26T00:00:00"/>
    <x v="4"/>
    <s v="Plates &amp; Bowls"/>
    <s v="500ml"/>
    <x v="471"/>
    <x v="4"/>
    <x v="1036"/>
    <n v="1.5"/>
    <n v="223.5"/>
    <x v="928"/>
    <x v="1"/>
    <x v="0"/>
    <x v="1"/>
    <s v="Delivered"/>
    <n v="755"/>
    <n v="149"/>
    <x v="8"/>
    <x v="6"/>
    <x v="8"/>
    <x v="1"/>
    <x v="7"/>
    <m/>
  </r>
  <r>
    <d v="2026-02-27T00:00:00"/>
    <x v="3"/>
    <s v="Containers"/>
    <s v="1L"/>
    <x v="183"/>
    <x v="3"/>
    <x v="1037"/>
    <n v="3"/>
    <n v="591"/>
    <x v="552"/>
    <x v="1"/>
    <x v="0"/>
    <x v="0"/>
    <s v="Delivered"/>
    <n v="645"/>
    <n v="197"/>
    <x v="6"/>
    <x v="4"/>
    <x v="6"/>
    <x v="1"/>
    <x v="9"/>
    <m/>
  </r>
  <r>
    <d v="2026-02-28T00:00:00"/>
    <x v="2"/>
    <s v="Housekeeping Items"/>
    <s v="Standard"/>
    <x v="238"/>
    <x v="2"/>
    <x v="288"/>
    <n v="100"/>
    <n v="5300"/>
    <x v="279"/>
    <x v="0"/>
    <x v="2"/>
    <x v="0"/>
    <s v="Delivered"/>
    <n v="731"/>
    <n v="53"/>
    <x v="10"/>
    <x v="8"/>
    <x v="10"/>
    <x v="3"/>
    <x v="10"/>
    <m/>
  </r>
  <r>
    <d v="2026-03-01T00:00:00"/>
    <x v="3"/>
    <s v="Containers"/>
    <s v="1L"/>
    <x v="297"/>
    <x v="3"/>
    <x v="286"/>
    <n v="3"/>
    <n v="912"/>
    <x v="277"/>
    <x v="0"/>
    <x v="3"/>
    <x v="0"/>
    <s v="Returned"/>
    <n v="585"/>
    <n v="304"/>
    <x v="3"/>
    <x v="2"/>
    <x v="3"/>
    <x v="0"/>
    <x v="7"/>
    <m/>
  </r>
  <r>
    <d v="2026-03-02T00:00:00"/>
    <x v="3"/>
    <s v="Containers"/>
    <s v="1L"/>
    <x v="100"/>
    <x v="3"/>
    <x v="163"/>
    <n v="3"/>
    <n v="1428"/>
    <x v="158"/>
    <x v="0"/>
    <x v="1"/>
    <x v="2"/>
    <s v="Delivered"/>
    <n v="691"/>
    <n v="476"/>
    <x v="10"/>
    <x v="8"/>
    <x v="10"/>
    <x v="2"/>
    <x v="5"/>
    <m/>
  </r>
  <r>
    <d v="2026-03-03T00:00:00"/>
    <x v="2"/>
    <s v="Housekeeping Items"/>
    <s v="Standard"/>
    <x v="458"/>
    <x v="2"/>
    <x v="1038"/>
    <n v="100"/>
    <n v="31500"/>
    <x v="929"/>
    <x v="0"/>
    <x v="2"/>
    <x v="1"/>
    <s v="Delayed"/>
    <n v="659"/>
    <n v="315"/>
    <x v="6"/>
    <x v="4"/>
    <x v="6"/>
    <x v="1"/>
    <x v="10"/>
    <m/>
  </r>
  <r>
    <d v="2026-03-04T00:00:00"/>
    <x v="3"/>
    <s v="Containers"/>
    <s v="1L"/>
    <x v="280"/>
    <x v="3"/>
    <x v="733"/>
    <n v="3"/>
    <n v="540"/>
    <x v="679"/>
    <x v="1"/>
    <x v="2"/>
    <x v="2"/>
    <s v="Delayed"/>
    <n v="611"/>
    <n v="180"/>
    <x v="6"/>
    <x v="4"/>
    <x v="6"/>
    <x v="2"/>
    <x v="11"/>
    <m/>
  </r>
  <r>
    <d v="2026-03-05T00:00:00"/>
    <x v="3"/>
    <s v="Containers"/>
    <s v="1L"/>
    <x v="180"/>
    <x v="3"/>
    <x v="516"/>
    <n v="3"/>
    <n v="444"/>
    <x v="488"/>
    <x v="2"/>
    <x v="3"/>
    <x v="1"/>
    <s v="Delivered"/>
    <n v="717"/>
    <n v="148"/>
    <x v="12"/>
    <x v="3"/>
    <x v="10"/>
    <x v="2"/>
    <x v="1"/>
    <m/>
  </r>
  <r>
    <d v="2026-03-06T00:00:00"/>
    <x v="2"/>
    <s v="Housekeeping Items"/>
    <s v="Standard"/>
    <x v="105"/>
    <x v="2"/>
    <x v="487"/>
    <n v="100"/>
    <n v="31700"/>
    <x v="459"/>
    <x v="2"/>
    <x v="1"/>
    <x v="0"/>
    <s v="Delayed"/>
    <n v="541"/>
    <n v="317"/>
    <x v="8"/>
    <x v="6"/>
    <x v="8"/>
    <x v="1"/>
    <x v="9"/>
    <m/>
  </r>
  <r>
    <d v="2026-03-07T00:00:00"/>
    <x v="3"/>
    <s v="Containers"/>
    <s v="1L"/>
    <x v="240"/>
    <x v="3"/>
    <x v="550"/>
    <n v="3"/>
    <n v="1212"/>
    <x v="523"/>
    <x v="1"/>
    <x v="3"/>
    <x v="1"/>
    <s v="Delivered"/>
    <n v="736"/>
    <n v="404"/>
    <x v="1"/>
    <x v="1"/>
    <x v="1"/>
    <x v="4"/>
    <x v="6"/>
    <m/>
  </r>
  <r>
    <d v="2026-03-08T00:00:00"/>
    <x v="5"/>
    <s v="Cutlery"/>
    <s v="3pcs"/>
    <x v="80"/>
    <x v="5"/>
    <x v="66"/>
    <n v="4"/>
    <n v="752"/>
    <x v="82"/>
    <x v="2"/>
    <x v="2"/>
    <x v="0"/>
    <s v="Delivered"/>
    <n v="850"/>
    <n v="188"/>
    <x v="19"/>
    <x v="13"/>
    <x v="18"/>
    <x v="3"/>
    <x v="11"/>
    <m/>
  </r>
  <r>
    <d v="2026-03-09T00:00:00"/>
    <x v="2"/>
    <s v="Housekeeping Items"/>
    <s v="Standard"/>
    <x v="401"/>
    <x v="2"/>
    <x v="1039"/>
    <n v="100"/>
    <n v="28600"/>
    <x v="930"/>
    <x v="1"/>
    <x v="3"/>
    <x v="0"/>
    <s v="Delivered"/>
    <n v="590"/>
    <n v="286"/>
    <x v="10"/>
    <x v="8"/>
    <x v="10"/>
    <x v="0"/>
    <x v="2"/>
    <m/>
  </r>
  <r>
    <d v="2026-03-10T00:00:00"/>
    <x v="3"/>
    <s v="Containers"/>
    <s v="1L"/>
    <x v="273"/>
    <x v="3"/>
    <x v="126"/>
    <n v="3"/>
    <n v="33"/>
    <x v="123"/>
    <x v="2"/>
    <x v="1"/>
    <x v="2"/>
    <s v="Delayed"/>
    <n v="954"/>
    <n v="11"/>
    <x v="2"/>
    <x v="2"/>
    <x v="2"/>
    <x v="0"/>
    <x v="8"/>
    <m/>
  </r>
  <r>
    <d v="2026-03-11T00:00:00"/>
    <x v="2"/>
    <s v="Housekeeping Items"/>
    <s v="Standard"/>
    <x v="446"/>
    <x v="2"/>
    <x v="868"/>
    <n v="100"/>
    <n v="42200"/>
    <x v="788"/>
    <x v="2"/>
    <x v="2"/>
    <x v="0"/>
    <s v="Delayed"/>
    <n v="962"/>
    <n v="422"/>
    <x v="8"/>
    <x v="6"/>
    <x v="8"/>
    <x v="2"/>
    <x v="5"/>
    <m/>
  </r>
  <r>
    <d v="2026-03-12T00:00:00"/>
    <x v="5"/>
    <s v="Cutlery"/>
    <s v="3pcs"/>
    <x v="220"/>
    <x v="5"/>
    <x v="1040"/>
    <n v="4"/>
    <n v="124"/>
    <x v="317"/>
    <x v="2"/>
    <x v="0"/>
    <x v="1"/>
    <s v="Returned"/>
    <n v="642"/>
    <n v="31"/>
    <x v="6"/>
    <x v="4"/>
    <x v="6"/>
    <x v="1"/>
    <x v="6"/>
    <m/>
  </r>
  <r>
    <d v="2026-03-13T00:00:00"/>
    <x v="3"/>
    <s v="Containers"/>
    <s v="1L"/>
    <x v="267"/>
    <x v="3"/>
    <x v="1041"/>
    <n v="3"/>
    <n v="1257"/>
    <x v="931"/>
    <x v="2"/>
    <x v="2"/>
    <x v="1"/>
    <s v="Delayed"/>
    <n v="509"/>
    <n v="419"/>
    <x v="16"/>
    <x v="4"/>
    <x v="15"/>
    <x v="3"/>
    <x v="10"/>
    <m/>
  </r>
  <r>
    <d v="2026-03-14T00:00:00"/>
    <x v="4"/>
    <s v="Plates &amp; Bowls"/>
    <s v="500ml"/>
    <x v="173"/>
    <x v="4"/>
    <x v="908"/>
    <n v="1.5"/>
    <n v="369"/>
    <x v="823"/>
    <x v="2"/>
    <x v="3"/>
    <x v="1"/>
    <s v="Delivered"/>
    <n v="630"/>
    <n v="246"/>
    <x v="11"/>
    <x v="9"/>
    <x v="11"/>
    <x v="1"/>
    <x v="1"/>
    <m/>
  </r>
  <r>
    <d v="2026-03-15T00:00:00"/>
    <x v="2"/>
    <s v="Housekeeping Items"/>
    <s v="Standard"/>
    <x v="472"/>
    <x v="2"/>
    <x v="1042"/>
    <n v="100"/>
    <n v="28700"/>
    <x v="932"/>
    <x v="2"/>
    <x v="0"/>
    <x v="2"/>
    <s v="Delayed"/>
    <n v="514"/>
    <n v="287"/>
    <x v="0"/>
    <x v="0"/>
    <x v="0"/>
    <x v="2"/>
    <x v="1"/>
    <m/>
  </r>
  <r>
    <d v="2026-03-16T00:00:00"/>
    <x v="5"/>
    <s v="Cutlery"/>
    <s v="3pcs"/>
    <x v="156"/>
    <x v="5"/>
    <x v="1043"/>
    <n v="4"/>
    <n v="896"/>
    <x v="762"/>
    <x v="0"/>
    <x v="0"/>
    <x v="1"/>
    <s v="Delivered"/>
    <n v="842"/>
    <n v="224"/>
    <x v="10"/>
    <x v="8"/>
    <x v="10"/>
    <x v="2"/>
    <x v="5"/>
    <m/>
  </r>
  <r>
    <d v="2026-03-17T00:00:00"/>
    <x v="4"/>
    <s v="Plates &amp; Bowls"/>
    <s v="500ml"/>
    <x v="428"/>
    <x v="4"/>
    <x v="1044"/>
    <n v="1.5"/>
    <n v="705"/>
    <x v="438"/>
    <x v="0"/>
    <x v="2"/>
    <x v="1"/>
    <s v="Delivered"/>
    <n v="958"/>
    <n v="470"/>
    <x v="4"/>
    <x v="3"/>
    <x v="4"/>
    <x v="2"/>
    <x v="0"/>
    <m/>
  </r>
  <r>
    <d v="2026-03-18T00:00:00"/>
    <x v="3"/>
    <s v="Containers"/>
    <s v="1L"/>
    <x v="194"/>
    <x v="3"/>
    <x v="1045"/>
    <n v="3"/>
    <n v="1182"/>
    <x v="451"/>
    <x v="2"/>
    <x v="3"/>
    <x v="0"/>
    <s v="Returned"/>
    <n v="655"/>
    <n v="394"/>
    <x v="1"/>
    <x v="1"/>
    <x v="1"/>
    <x v="0"/>
    <x v="1"/>
    <m/>
  </r>
  <r>
    <d v="2026-03-19T00:00:00"/>
    <x v="4"/>
    <s v="Plates &amp; Bowls"/>
    <s v="500ml"/>
    <x v="244"/>
    <x v="4"/>
    <x v="296"/>
    <n v="1.5"/>
    <n v="145.5"/>
    <x v="286"/>
    <x v="0"/>
    <x v="3"/>
    <x v="1"/>
    <s v="Delivered"/>
    <n v="839"/>
    <n v="97"/>
    <x v="16"/>
    <x v="4"/>
    <x v="15"/>
    <x v="3"/>
    <x v="9"/>
    <m/>
  </r>
  <r>
    <d v="2026-03-20T00:00:00"/>
    <x v="0"/>
    <s v="Takeaway Boxes"/>
    <s v="Large"/>
    <x v="401"/>
    <x v="0"/>
    <x v="1046"/>
    <n v="5"/>
    <n v="1430"/>
    <x v="869"/>
    <x v="2"/>
    <x v="0"/>
    <x v="2"/>
    <s v="Delivered"/>
    <n v="562"/>
    <n v="286"/>
    <x v="17"/>
    <x v="11"/>
    <x v="16"/>
    <x v="3"/>
    <x v="8"/>
    <m/>
  </r>
  <r>
    <d v="2026-03-21T00:00:00"/>
    <x v="4"/>
    <s v="Plates &amp; Bowls"/>
    <s v="500ml"/>
    <x v="410"/>
    <x v="4"/>
    <x v="888"/>
    <n v="1.5"/>
    <n v="268.5"/>
    <x v="804"/>
    <x v="0"/>
    <x v="3"/>
    <x v="0"/>
    <s v="Delayed"/>
    <n v="680"/>
    <n v="179"/>
    <x v="10"/>
    <x v="8"/>
    <x v="10"/>
    <x v="1"/>
    <x v="5"/>
    <m/>
  </r>
  <r>
    <d v="2026-03-22T00:00:00"/>
    <x v="4"/>
    <s v="Plates &amp; Bowls"/>
    <s v="500ml"/>
    <x v="444"/>
    <x v="4"/>
    <x v="865"/>
    <n v="1.5"/>
    <n v="577.5"/>
    <x v="787"/>
    <x v="1"/>
    <x v="1"/>
    <x v="0"/>
    <s v="Returned"/>
    <n v="833"/>
    <n v="385"/>
    <x v="18"/>
    <x v="12"/>
    <x v="17"/>
    <x v="1"/>
    <x v="9"/>
    <m/>
  </r>
  <r>
    <d v="2026-03-23T00:00:00"/>
    <x v="1"/>
    <s v="Glass &amp; Bottles"/>
    <s v="750ml"/>
    <x v="434"/>
    <x v="1"/>
    <x v="1047"/>
    <n v="12"/>
    <n v="5532"/>
    <x v="933"/>
    <x v="2"/>
    <x v="2"/>
    <x v="0"/>
    <s v="Returned"/>
    <n v="641"/>
    <n v="461"/>
    <x v="4"/>
    <x v="3"/>
    <x v="4"/>
    <x v="3"/>
    <x v="8"/>
    <m/>
  </r>
  <r>
    <d v="2026-03-24T00:00:00"/>
    <x v="1"/>
    <s v="Glass &amp; Bottles"/>
    <s v="750ml"/>
    <x v="153"/>
    <x v="1"/>
    <x v="627"/>
    <n v="12"/>
    <n v="3888"/>
    <x v="593"/>
    <x v="2"/>
    <x v="1"/>
    <x v="1"/>
    <s v="Delayed"/>
    <n v="979"/>
    <n v="324"/>
    <x v="10"/>
    <x v="8"/>
    <x v="10"/>
    <x v="4"/>
    <x v="3"/>
    <m/>
  </r>
  <r>
    <d v="2026-03-25T00:00:00"/>
    <x v="1"/>
    <s v="Glass &amp; Bottles"/>
    <s v="750ml"/>
    <x v="414"/>
    <x v="1"/>
    <x v="191"/>
    <n v="12"/>
    <n v="456"/>
    <x v="774"/>
    <x v="2"/>
    <x v="0"/>
    <x v="0"/>
    <s v="Delayed"/>
    <n v="643"/>
    <n v="38"/>
    <x v="17"/>
    <x v="11"/>
    <x v="16"/>
    <x v="3"/>
    <x v="11"/>
    <m/>
  </r>
  <r>
    <d v="2026-03-26T00:00:00"/>
    <x v="0"/>
    <s v="Takeaway Boxes"/>
    <s v="Large"/>
    <x v="291"/>
    <x v="0"/>
    <x v="1048"/>
    <n v="5"/>
    <n v="560"/>
    <x v="287"/>
    <x v="1"/>
    <x v="2"/>
    <x v="2"/>
    <s v="Delayed"/>
    <n v="537"/>
    <n v="112"/>
    <x v="7"/>
    <x v="5"/>
    <x v="7"/>
    <x v="3"/>
    <x v="2"/>
    <m/>
  </r>
  <r>
    <d v="2026-03-27T00:00:00"/>
    <x v="4"/>
    <s v="Plates &amp; Bowls"/>
    <s v="500ml"/>
    <x v="380"/>
    <x v="4"/>
    <x v="67"/>
    <n v="1.5"/>
    <n v="624"/>
    <x v="66"/>
    <x v="1"/>
    <x v="0"/>
    <x v="2"/>
    <s v="Delivered"/>
    <n v="676"/>
    <n v="416"/>
    <x v="16"/>
    <x v="4"/>
    <x v="15"/>
    <x v="3"/>
    <x v="5"/>
    <m/>
  </r>
  <r>
    <d v="2026-03-28T00:00:00"/>
    <x v="1"/>
    <s v="Glass &amp; Bottles"/>
    <s v="750ml"/>
    <x v="279"/>
    <x v="1"/>
    <x v="930"/>
    <n v="12"/>
    <n v="2532"/>
    <x v="843"/>
    <x v="2"/>
    <x v="2"/>
    <x v="2"/>
    <s v="Delivered"/>
    <n v="657"/>
    <n v="211"/>
    <x v="8"/>
    <x v="6"/>
    <x v="8"/>
    <x v="4"/>
    <x v="9"/>
    <m/>
  </r>
  <r>
    <d v="2026-03-29T00:00:00"/>
    <x v="3"/>
    <s v="Containers"/>
    <s v="1L"/>
    <x v="306"/>
    <x v="3"/>
    <x v="997"/>
    <n v="3"/>
    <n v="849"/>
    <x v="895"/>
    <x v="1"/>
    <x v="1"/>
    <x v="1"/>
    <s v="Delayed"/>
    <n v="616"/>
    <n v="283"/>
    <x v="17"/>
    <x v="11"/>
    <x v="16"/>
    <x v="0"/>
    <x v="10"/>
    <m/>
  </r>
  <r>
    <d v="2026-03-30T00:00:00"/>
    <x v="4"/>
    <s v="Plates &amp; Bowls"/>
    <s v="500ml"/>
    <x v="381"/>
    <x v="4"/>
    <x v="1049"/>
    <n v="1.5"/>
    <n v="309"/>
    <x v="367"/>
    <x v="2"/>
    <x v="2"/>
    <x v="2"/>
    <s v="Delayed"/>
    <n v="878"/>
    <n v="206"/>
    <x v="1"/>
    <x v="1"/>
    <x v="1"/>
    <x v="4"/>
    <x v="7"/>
    <m/>
  </r>
  <r>
    <d v="2026-03-31T00:00:00"/>
    <x v="5"/>
    <s v="Cutlery"/>
    <s v="3pcs"/>
    <x v="391"/>
    <x v="5"/>
    <x v="1050"/>
    <n v="4"/>
    <n v="1912"/>
    <x v="934"/>
    <x v="2"/>
    <x v="2"/>
    <x v="1"/>
    <s v="Delayed"/>
    <n v="515"/>
    <n v="478"/>
    <x v="18"/>
    <x v="12"/>
    <x v="17"/>
    <x v="0"/>
    <x v="5"/>
    <m/>
  </r>
  <r>
    <d v="2026-04-01T00:00:00"/>
    <x v="5"/>
    <s v="Cutlery"/>
    <s v="3pcs"/>
    <x v="473"/>
    <x v="5"/>
    <x v="1051"/>
    <n v="4"/>
    <n v="1196"/>
    <x v="935"/>
    <x v="2"/>
    <x v="0"/>
    <x v="2"/>
    <s v="Returned"/>
    <n v="706"/>
    <n v="299"/>
    <x v="4"/>
    <x v="3"/>
    <x v="4"/>
    <x v="4"/>
    <x v="9"/>
    <m/>
  </r>
  <r>
    <d v="2026-04-02T00:00:00"/>
    <x v="2"/>
    <s v="Housekeeping Items"/>
    <s v="Standard"/>
    <x v="318"/>
    <x v="2"/>
    <x v="459"/>
    <n v="100"/>
    <n v="24400"/>
    <x v="434"/>
    <x v="1"/>
    <x v="3"/>
    <x v="1"/>
    <s v="Delayed"/>
    <n v="874"/>
    <n v="244"/>
    <x v="6"/>
    <x v="4"/>
    <x v="6"/>
    <x v="1"/>
    <x v="10"/>
    <m/>
  </r>
  <r>
    <d v="2026-04-03T00:00:00"/>
    <x v="0"/>
    <s v="Takeaway Boxes"/>
    <s v="Large"/>
    <x v="123"/>
    <x v="0"/>
    <x v="1052"/>
    <n v="5"/>
    <n v="2150"/>
    <x v="936"/>
    <x v="0"/>
    <x v="2"/>
    <x v="0"/>
    <s v="Delayed"/>
    <n v="539"/>
    <n v="430"/>
    <x v="8"/>
    <x v="6"/>
    <x v="8"/>
    <x v="4"/>
    <x v="3"/>
    <m/>
  </r>
  <r>
    <d v="2026-04-04T00:00:00"/>
    <x v="1"/>
    <s v="Glass &amp; Bottles"/>
    <s v="750ml"/>
    <x v="292"/>
    <x v="1"/>
    <x v="1053"/>
    <n v="12"/>
    <n v="5784"/>
    <x v="937"/>
    <x v="2"/>
    <x v="1"/>
    <x v="0"/>
    <s v="Returned"/>
    <n v="557"/>
    <n v="482"/>
    <x v="3"/>
    <x v="2"/>
    <x v="3"/>
    <x v="0"/>
    <x v="0"/>
    <m/>
  </r>
  <r>
    <d v="2026-04-05T00:00:00"/>
    <x v="1"/>
    <s v="Glass &amp; Bottles"/>
    <s v="750ml"/>
    <x v="116"/>
    <x v="1"/>
    <x v="635"/>
    <n v="12"/>
    <n v="1656"/>
    <x v="599"/>
    <x v="0"/>
    <x v="1"/>
    <x v="2"/>
    <s v="Delayed"/>
    <n v="972"/>
    <n v="138"/>
    <x v="10"/>
    <x v="8"/>
    <x v="10"/>
    <x v="3"/>
    <x v="1"/>
    <m/>
  </r>
  <r>
    <d v="2026-04-06T00:00:00"/>
    <x v="2"/>
    <s v="Housekeeping Items"/>
    <s v="Standard"/>
    <x v="213"/>
    <x v="2"/>
    <x v="1054"/>
    <n v="100"/>
    <n v="14300"/>
    <x v="938"/>
    <x v="1"/>
    <x v="0"/>
    <x v="0"/>
    <s v="Delayed"/>
    <n v="600"/>
    <n v="143"/>
    <x v="5"/>
    <x v="0"/>
    <x v="5"/>
    <x v="0"/>
    <x v="3"/>
    <m/>
  </r>
  <r>
    <d v="2026-04-07T00:00:00"/>
    <x v="2"/>
    <s v="Housekeeping Items"/>
    <s v="Standard"/>
    <x v="188"/>
    <x v="2"/>
    <x v="1055"/>
    <n v="100"/>
    <n v="2400"/>
    <x v="939"/>
    <x v="2"/>
    <x v="2"/>
    <x v="1"/>
    <s v="Delayed"/>
    <n v="840"/>
    <n v="24"/>
    <x v="0"/>
    <x v="0"/>
    <x v="0"/>
    <x v="0"/>
    <x v="0"/>
    <m/>
  </r>
  <r>
    <d v="2026-04-08T00:00:00"/>
    <x v="3"/>
    <s v="Containers"/>
    <s v="1L"/>
    <x v="65"/>
    <x v="3"/>
    <x v="111"/>
    <n v="3"/>
    <n v="156"/>
    <x v="108"/>
    <x v="1"/>
    <x v="0"/>
    <x v="0"/>
    <s v="Delayed"/>
    <n v="854"/>
    <n v="52"/>
    <x v="7"/>
    <x v="5"/>
    <x v="7"/>
    <x v="0"/>
    <x v="3"/>
    <m/>
  </r>
  <r>
    <d v="2026-04-09T00:00:00"/>
    <x v="0"/>
    <s v="Takeaway Boxes"/>
    <s v="Large"/>
    <x v="474"/>
    <x v="0"/>
    <x v="1056"/>
    <n v="5"/>
    <n v="80"/>
    <x v="211"/>
    <x v="1"/>
    <x v="2"/>
    <x v="1"/>
    <s v="Returned"/>
    <n v="946"/>
    <n v="16"/>
    <x v="6"/>
    <x v="4"/>
    <x v="6"/>
    <x v="4"/>
    <x v="7"/>
    <m/>
  </r>
  <r>
    <d v="2026-04-10T00:00:00"/>
    <x v="0"/>
    <s v="Takeaway Boxes"/>
    <s v="Large"/>
    <x v="205"/>
    <x v="0"/>
    <x v="1057"/>
    <n v="5"/>
    <n v="1270"/>
    <x v="694"/>
    <x v="2"/>
    <x v="2"/>
    <x v="2"/>
    <s v="Delayed"/>
    <n v="941"/>
    <n v="254"/>
    <x v="14"/>
    <x v="6"/>
    <x v="13"/>
    <x v="4"/>
    <x v="4"/>
    <m/>
  </r>
  <r>
    <d v="2026-04-11T00:00:00"/>
    <x v="3"/>
    <s v="Containers"/>
    <s v="1L"/>
    <x v="332"/>
    <x v="3"/>
    <x v="491"/>
    <n v="3"/>
    <n v="84"/>
    <x v="464"/>
    <x v="2"/>
    <x v="2"/>
    <x v="0"/>
    <s v="Returned"/>
    <n v="838"/>
    <n v="28"/>
    <x v="17"/>
    <x v="11"/>
    <x v="16"/>
    <x v="4"/>
    <x v="8"/>
    <m/>
  </r>
  <r>
    <d v="2026-04-12T00:00:00"/>
    <x v="4"/>
    <s v="Plates &amp; Bowls"/>
    <s v="500ml"/>
    <x v="471"/>
    <x v="4"/>
    <x v="1036"/>
    <n v="1.5"/>
    <n v="223.5"/>
    <x v="928"/>
    <x v="0"/>
    <x v="1"/>
    <x v="1"/>
    <s v="Delivered"/>
    <n v="510"/>
    <n v="149"/>
    <x v="8"/>
    <x v="6"/>
    <x v="8"/>
    <x v="2"/>
    <x v="5"/>
    <m/>
  </r>
  <r>
    <d v="2026-04-13T00:00:00"/>
    <x v="2"/>
    <s v="Housekeeping Items"/>
    <s v="Standard"/>
    <x v="141"/>
    <x v="2"/>
    <x v="1058"/>
    <n v="100"/>
    <n v="1900"/>
    <x v="173"/>
    <x v="0"/>
    <x v="2"/>
    <x v="1"/>
    <s v="Returned"/>
    <n v="750"/>
    <n v="19"/>
    <x v="12"/>
    <x v="3"/>
    <x v="10"/>
    <x v="3"/>
    <x v="3"/>
    <m/>
  </r>
  <r>
    <d v="2026-04-14T00:00:00"/>
    <x v="3"/>
    <s v="Containers"/>
    <s v="1L"/>
    <x v="266"/>
    <x v="3"/>
    <x v="1059"/>
    <n v="3"/>
    <n v="579"/>
    <x v="940"/>
    <x v="1"/>
    <x v="0"/>
    <x v="1"/>
    <s v="Delayed"/>
    <n v="761"/>
    <n v="193"/>
    <x v="1"/>
    <x v="1"/>
    <x v="1"/>
    <x v="4"/>
    <x v="11"/>
    <m/>
  </r>
  <r>
    <d v="2026-04-15T00:00:00"/>
    <x v="4"/>
    <s v="Plates &amp; Bowls"/>
    <s v="500ml"/>
    <x v="46"/>
    <x v="4"/>
    <x v="1060"/>
    <n v="1.5"/>
    <n v="640.5"/>
    <x v="941"/>
    <x v="0"/>
    <x v="1"/>
    <x v="2"/>
    <s v="Delivered"/>
    <n v="805"/>
    <n v="427"/>
    <x v="4"/>
    <x v="3"/>
    <x v="4"/>
    <x v="2"/>
    <x v="9"/>
    <m/>
  </r>
  <r>
    <d v="2026-04-16T00:00:00"/>
    <x v="2"/>
    <s v="Housekeeping Items"/>
    <s v="Standard"/>
    <x v="73"/>
    <x v="2"/>
    <x v="617"/>
    <n v="100"/>
    <n v="9000"/>
    <x v="584"/>
    <x v="0"/>
    <x v="0"/>
    <x v="1"/>
    <s v="Returned"/>
    <n v="766"/>
    <n v="90"/>
    <x v="15"/>
    <x v="10"/>
    <x v="14"/>
    <x v="4"/>
    <x v="3"/>
    <m/>
  </r>
  <r>
    <d v="2026-04-17T00:00:00"/>
    <x v="2"/>
    <s v="Housekeeping Items"/>
    <s v="Standard"/>
    <x v="203"/>
    <x v="2"/>
    <x v="233"/>
    <n v="100"/>
    <n v="33700"/>
    <x v="227"/>
    <x v="0"/>
    <x v="1"/>
    <x v="1"/>
    <s v="Returned"/>
    <n v="582"/>
    <n v="337"/>
    <x v="3"/>
    <x v="2"/>
    <x v="3"/>
    <x v="3"/>
    <x v="0"/>
    <m/>
  </r>
  <r>
    <d v="2026-04-18T00:00:00"/>
    <x v="4"/>
    <s v="Plates &amp; Bowls"/>
    <s v="500ml"/>
    <x v="162"/>
    <x v="4"/>
    <x v="1061"/>
    <n v="1.5"/>
    <n v="541.5"/>
    <x v="942"/>
    <x v="0"/>
    <x v="0"/>
    <x v="2"/>
    <s v="Delayed"/>
    <n v="633"/>
    <n v="361"/>
    <x v="7"/>
    <x v="5"/>
    <x v="7"/>
    <x v="3"/>
    <x v="7"/>
    <m/>
  </r>
  <r>
    <d v="2026-04-19T00:00:00"/>
    <x v="2"/>
    <s v="Housekeeping Items"/>
    <s v="Standard"/>
    <x v="40"/>
    <x v="2"/>
    <x v="41"/>
    <n v="100"/>
    <n v="30300"/>
    <x v="40"/>
    <x v="2"/>
    <x v="2"/>
    <x v="0"/>
    <s v="Delayed"/>
    <n v="898"/>
    <n v="303"/>
    <x v="4"/>
    <x v="3"/>
    <x v="4"/>
    <x v="4"/>
    <x v="9"/>
    <m/>
  </r>
  <r>
    <d v="2026-04-20T00:00:00"/>
    <x v="0"/>
    <s v="Takeaway Boxes"/>
    <s v="Large"/>
    <x v="62"/>
    <x v="0"/>
    <x v="1062"/>
    <n v="5"/>
    <n v="725"/>
    <x v="871"/>
    <x v="1"/>
    <x v="1"/>
    <x v="2"/>
    <s v="Delayed"/>
    <n v="672"/>
    <n v="145"/>
    <x v="0"/>
    <x v="0"/>
    <x v="0"/>
    <x v="3"/>
    <x v="2"/>
    <m/>
  </r>
  <r>
    <d v="2026-04-21T00:00:00"/>
    <x v="0"/>
    <s v="Takeaway Boxes"/>
    <s v="Large"/>
    <x v="43"/>
    <x v="0"/>
    <x v="539"/>
    <n v="5"/>
    <n v="2090"/>
    <x v="512"/>
    <x v="2"/>
    <x v="1"/>
    <x v="2"/>
    <s v="Returned"/>
    <n v="554"/>
    <n v="418"/>
    <x v="2"/>
    <x v="2"/>
    <x v="2"/>
    <x v="4"/>
    <x v="6"/>
    <m/>
  </r>
  <r>
    <d v="2026-04-22T00:00:00"/>
    <x v="4"/>
    <s v="Plates &amp; Bowls"/>
    <s v="500ml"/>
    <x v="462"/>
    <x v="4"/>
    <x v="1063"/>
    <n v="1.5"/>
    <n v="67.5"/>
    <x v="943"/>
    <x v="0"/>
    <x v="2"/>
    <x v="2"/>
    <s v="Returned"/>
    <n v="655"/>
    <n v="45"/>
    <x v="17"/>
    <x v="11"/>
    <x v="16"/>
    <x v="2"/>
    <x v="6"/>
    <m/>
  </r>
  <r>
    <d v="2026-04-23T00:00:00"/>
    <x v="5"/>
    <s v="Cutlery"/>
    <s v="3pcs"/>
    <x v="425"/>
    <x v="5"/>
    <x v="1064"/>
    <n v="4"/>
    <n v="548"/>
    <x v="944"/>
    <x v="2"/>
    <x v="0"/>
    <x v="2"/>
    <s v="Delivered"/>
    <n v="925"/>
    <n v="137"/>
    <x v="13"/>
    <x v="2"/>
    <x v="12"/>
    <x v="2"/>
    <x v="11"/>
    <m/>
  </r>
  <r>
    <d v="2026-04-24T00:00:00"/>
    <x v="1"/>
    <s v="Glass &amp; Bottles"/>
    <s v="750ml"/>
    <x v="41"/>
    <x v="1"/>
    <x v="569"/>
    <n v="12"/>
    <n v="852"/>
    <x v="541"/>
    <x v="0"/>
    <x v="2"/>
    <x v="1"/>
    <s v="Delivered"/>
    <n v="592"/>
    <n v="71"/>
    <x v="7"/>
    <x v="5"/>
    <x v="7"/>
    <x v="3"/>
    <x v="7"/>
    <m/>
  </r>
  <r>
    <d v="2026-04-25T00:00:00"/>
    <x v="1"/>
    <s v="Glass &amp; Bottles"/>
    <s v="750ml"/>
    <x v="239"/>
    <x v="1"/>
    <x v="1065"/>
    <n v="12"/>
    <n v="4944"/>
    <x v="945"/>
    <x v="0"/>
    <x v="0"/>
    <x v="1"/>
    <s v="Delayed"/>
    <n v="924"/>
    <n v="412"/>
    <x v="9"/>
    <x v="7"/>
    <x v="9"/>
    <x v="3"/>
    <x v="0"/>
    <m/>
  </r>
  <r>
    <d v="2026-04-26T00:00:00"/>
    <x v="0"/>
    <s v="Takeaway Boxes"/>
    <s v="Large"/>
    <x v="345"/>
    <x v="0"/>
    <x v="581"/>
    <n v="5"/>
    <n v="905"/>
    <x v="550"/>
    <x v="2"/>
    <x v="0"/>
    <x v="1"/>
    <s v="Returned"/>
    <n v="795"/>
    <n v="181"/>
    <x v="16"/>
    <x v="4"/>
    <x v="15"/>
    <x v="0"/>
    <x v="8"/>
    <m/>
  </r>
  <r>
    <d v="2026-04-27T00:00:00"/>
    <x v="3"/>
    <s v="Containers"/>
    <s v="1L"/>
    <x v="446"/>
    <x v="3"/>
    <x v="1066"/>
    <n v="3"/>
    <n v="1266"/>
    <x v="946"/>
    <x v="0"/>
    <x v="1"/>
    <x v="0"/>
    <s v="Returned"/>
    <n v="803"/>
    <n v="422"/>
    <x v="7"/>
    <x v="5"/>
    <x v="7"/>
    <x v="4"/>
    <x v="8"/>
    <m/>
  </r>
  <r>
    <d v="2026-04-28T00:00:00"/>
    <x v="1"/>
    <s v="Glass &amp; Bottles"/>
    <s v="750ml"/>
    <x v="460"/>
    <x v="1"/>
    <x v="1067"/>
    <n v="12"/>
    <n v="2616"/>
    <x v="947"/>
    <x v="2"/>
    <x v="0"/>
    <x v="0"/>
    <s v="Delayed"/>
    <n v="549"/>
    <n v="218"/>
    <x v="5"/>
    <x v="0"/>
    <x v="5"/>
    <x v="0"/>
    <x v="2"/>
    <m/>
  </r>
  <r>
    <d v="2026-04-29T00:00:00"/>
    <x v="5"/>
    <s v="Cutlery"/>
    <s v="3pcs"/>
    <x v="369"/>
    <x v="5"/>
    <x v="568"/>
    <n v="4"/>
    <n v="2000"/>
    <x v="540"/>
    <x v="2"/>
    <x v="3"/>
    <x v="0"/>
    <s v="Returned"/>
    <n v="878"/>
    <n v="500"/>
    <x v="3"/>
    <x v="2"/>
    <x v="3"/>
    <x v="0"/>
    <x v="0"/>
    <m/>
  </r>
  <r>
    <d v="2026-04-30T00:00:00"/>
    <x v="3"/>
    <s v="Containers"/>
    <s v="1L"/>
    <x v="262"/>
    <x v="3"/>
    <x v="826"/>
    <n v="3"/>
    <n v="1455"/>
    <x v="314"/>
    <x v="2"/>
    <x v="2"/>
    <x v="2"/>
    <s v="Delivered"/>
    <n v="955"/>
    <n v="485"/>
    <x v="19"/>
    <x v="13"/>
    <x v="18"/>
    <x v="1"/>
    <x v="3"/>
    <m/>
  </r>
  <r>
    <d v="2026-05-01T00:00:00"/>
    <x v="0"/>
    <s v="Takeaway Boxes"/>
    <s v="Large"/>
    <x v="100"/>
    <x v="0"/>
    <x v="104"/>
    <n v="5"/>
    <n v="2380"/>
    <x v="101"/>
    <x v="2"/>
    <x v="1"/>
    <x v="1"/>
    <s v="Delayed"/>
    <n v="751"/>
    <n v="476"/>
    <x v="8"/>
    <x v="6"/>
    <x v="8"/>
    <x v="3"/>
    <x v="2"/>
    <m/>
  </r>
  <r>
    <d v="2026-05-02T00:00:00"/>
    <x v="0"/>
    <s v="Takeaway Boxes"/>
    <s v="Large"/>
    <x v="105"/>
    <x v="0"/>
    <x v="109"/>
    <n v="5"/>
    <n v="1585"/>
    <x v="106"/>
    <x v="1"/>
    <x v="0"/>
    <x v="1"/>
    <s v="Returned"/>
    <n v="695"/>
    <n v="317"/>
    <x v="8"/>
    <x v="6"/>
    <x v="8"/>
    <x v="2"/>
    <x v="6"/>
    <m/>
  </r>
  <r>
    <d v="2026-05-03T00:00:00"/>
    <x v="5"/>
    <s v="Cutlery"/>
    <s v="3pcs"/>
    <x v="219"/>
    <x v="5"/>
    <x v="1068"/>
    <n v="4"/>
    <n v="892"/>
    <x v="948"/>
    <x v="2"/>
    <x v="1"/>
    <x v="1"/>
    <s v="Delayed"/>
    <n v="792"/>
    <n v="223"/>
    <x v="6"/>
    <x v="4"/>
    <x v="6"/>
    <x v="1"/>
    <x v="10"/>
    <m/>
  </r>
  <r>
    <d v="2026-05-04T00:00:00"/>
    <x v="5"/>
    <s v="Cutlery"/>
    <s v="3pcs"/>
    <x v="60"/>
    <x v="5"/>
    <x v="851"/>
    <n v="4"/>
    <n v="256"/>
    <x v="36"/>
    <x v="1"/>
    <x v="3"/>
    <x v="0"/>
    <s v="Delivered"/>
    <n v="803"/>
    <n v="64"/>
    <x v="1"/>
    <x v="1"/>
    <x v="1"/>
    <x v="1"/>
    <x v="9"/>
    <m/>
  </r>
  <r>
    <d v="2026-05-05T00:00:00"/>
    <x v="0"/>
    <s v="Takeaway Boxes"/>
    <s v="Large"/>
    <x v="422"/>
    <x v="0"/>
    <x v="815"/>
    <n v="5"/>
    <n v="130"/>
    <x v="668"/>
    <x v="2"/>
    <x v="0"/>
    <x v="1"/>
    <s v="Returned"/>
    <n v="647"/>
    <n v="26"/>
    <x v="5"/>
    <x v="0"/>
    <x v="5"/>
    <x v="0"/>
    <x v="10"/>
    <m/>
  </r>
  <r>
    <d v="2026-05-06T00:00:00"/>
    <x v="3"/>
    <s v="Containers"/>
    <s v="1L"/>
    <x v="98"/>
    <x v="3"/>
    <x v="413"/>
    <n v="3"/>
    <n v="438"/>
    <x v="389"/>
    <x v="1"/>
    <x v="0"/>
    <x v="1"/>
    <s v="Delivered"/>
    <n v="863"/>
    <n v="146"/>
    <x v="0"/>
    <x v="0"/>
    <x v="0"/>
    <x v="3"/>
    <x v="10"/>
    <m/>
  </r>
  <r>
    <d v="2026-05-07T00:00:00"/>
    <x v="2"/>
    <s v="Housekeeping Items"/>
    <s v="Standard"/>
    <x v="220"/>
    <x v="2"/>
    <x v="608"/>
    <n v="100"/>
    <n v="3100"/>
    <x v="574"/>
    <x v="2"/>
    <x v="3"/>
    <x v="1"/>
    <s v="Delivered"/>
    <n v="632"/>
    <n v="31"/>
    <x v="3"/>
    <x v="2"/>
    <x v="3"/>
    <x v="0"/>
    <x v="4"/>
    <m/>
  </r>
  <r>
    <d v="2026-05-08T00:00:00"/>
    <x v="3"/>
    <s v="Containers"/>
    <s v="1L"/>
    <x v="321"/>
    <x v="3"/>
    <x v="922"/>
    <n v="3"/>
    <n v="147"/>
    <x v="838"/>
    <x v="0"/>
    <x v="0"/>
    <x v="2"/>
    <s v="Delivered"/>
    <n v="730"/>
    <n v="49"/>
    <x v="13"/>
    <x v="2"/>
    <x v="12"/>
    <x v="1"/>
    <x v="11"/>
    <m/>
  </r>
  <r>
    <d v="2026-05-09T00:00:00"/>
    <x v="4"/>
    <s v="Plates &amp; Bowls"/>
    <s v="500ml"/>
    <x v="173"/>
    <x v="4"/>
    <x v="908"/>
    <n v="1.5"/>
    <n v="369"/>
    <x v="823"/>
    <x v="0"/>
    <x v="1"/>
    <x v="2"/>
    <s v="Delayed"/>
    <n v="775"/>
    <n v="246"/>
    <x v="9"/>
    <x v="7"/>
    <x v="9"/>
    <x v="3"/>
    <x v="3"/>
    <m/>
  </r>
  <r>
    <d v="2026-05-10T00:00:00"/>
    <x v="3"/>
    <s v="Containers"/>
    <s v="1L"/>
    <x v="70"/>
    <x v="3"/>
    <x v="72"/>
    <n v="3"/>
    <n v="1461"/>
    <x v="71"/>
    <x v="1"/>
    <x v="0"/>
    <x v="2"/>
    <s v="Returned"/>
    <n v="815"/>
    <n v="487"/>
    <x v="0"/>
    <x v="0"/>
    <x v="0"/>
    <x v="4"/>
    <x v="5"/>
    <m/>
  </r>
  <r>
    <d v="2026-05-11T00:00:00"/>
    <x v="3"/>
    <s v="Containers"/>
    <s v="1L"/>
    <x v="409"/>
    <x v="3"/>
    <x v="542"/>
    <n v="3"/>
    <n v="1206"/>
    <x v="296"/>
    <x v="1"/>
    <x v="0"/>
    <x v="1"/>
    <s v="Returned"/>
    <n v="622"/>
    <n v="402"/>
    <x v="16"/>
    <x v="4"/>
    <x v="15"/>
    <x v="0"/>
    <x v="1"/>
    <m/>
  </r>
  <r>
    <d v="2026-05-12T00:00:00"/>
    <x v="1"/>
    <s v="Glass &amp; Bottles"/>
    <s v="750ml"/>
    <x v="384"/>
    <x v="1"/>
    <x v="30"/>
    <n v="12"/>
    <n v="1416"/>
    <x v="816"/>
    <x v="2"/>
    <x v="2"/>
    <x v="1"/>
    <s v="Returned"/>
    <n v="582"/>
    <n v="118"/>
    <x v="6"/>
    <x v="4"/>
    <x v="6"/>
    <x v="2"/>
    <x v="5"/>
    <m/>
  </r>
  <r>
    <d v="2026-05-13T00:00:00"/>
    <x v="0"/>
    <s v="Takeaway Boxes"/>
    <s v="Large"/>
    <x v="118"/>
    <x v="0"/>
    <x v="1069"/>
    <n v="5"/>
    <n v="1330"/>
    <x v="949"/>
    <x v="0"/>
    <x v="2"/>
    <x v="0"/>
    <s v="Delayed"/>
    <n v="744"/>
    <n v="266"/>
    <x v="7"/>
    <x v="5"/>
    <x v="7"/>
    <x v="4"/>
    <x v="8"/>
    <m/>
  </r>
  <r>
    <d v="2026-05-14T00:00:00"/>
    <x v="5"/>
    <s v="Cutlery"/>
    <s v="3pcs"/>
    <x v="440"/>
    <x v="5"/>
    <x v="1070"/>
    <n v="4"/>
    <n v="516"/>
    <x v="364"/>
    <x v="2"/>
    <x v="0"/>
    <x v="1"/>
    <s v="Delayed"/>
    <n v="641"/>
    <n v="129"/>
    <x v="6"/>
    <x v="4"/>
    <x v="6"/>
    <x v="0"/>
    <x v="11"/>
    <m/>
  </r>
  <r>
    <d v="2026-05-15T00:00:00"/>
    <x v="3"/>
    <s v="Containers"/>
    <s v="1L"/>
    <x v="140"/>
    <x v="3"/>
    <x v="1071"/>
    <n v="3"/>
    <n v="1098"/>
    <x v="950"/>
    <x v="0"/>
    <x v="0"/>
    <x v="0"/>
    <s v="Delivered"/>
    <n v="636"/>
    <n v="366"/>
    <x v="6"/>
    <x v="4"/>
    <x v="6"/>
    <x v="3"/>
    <x v="6"/>
    <m/>
  </r>
  <r>
    <d v="2026-05-16T00:00:00"/>
    <x v="5"/>
    <s v="Cutlery"/>
    <s v="3pcs"/>
    <x v="290"/>
    <x v="5"/>
    <x v="1072"/>
    <n v="4"/>
    <n v="1552"/>
    <x v="737"/>
    <x v="2"/>
    <x v="1"/>
    <x v="2"/>
    <s v="Delayed"/>
    <n v="779"/>
    <n v="388"/>
    <x v="5"/>
    <x v="0"/>
    <x v="5"/>
    <x v="2"/>
    <x v="0"/>
    <m/>
  </r>
  <r>
    <d v="2026-05-17T00:00:00"/>
    <x v="2"/>
    <s v="Housekeeping Items"/>
    <s v="Standard"/>
    <x v="297"/>
    <x v="2"/>
    <x v="1073"/>
    <n v="100"/>
    <n v="30400"/>
    <x v="951"/>
    <x v="1"/>
    <x v="0"/>
    <x v="2"/>
    <s v="Delivered"/>
    <n v="748"/>
    <n v="304"/>
    <x v="2"/>
    <x v="2"/>
    <x v="2"/>
    <x v="0"/>
    <x v="1"/>
    <m/>
  </r>
  <r>
    <d v="2026-05-18T00:00:00"/>
    <x v="5"/>
    <s v="Cutlery"/>
    <s v="3pcs"/>
    <x v="48"/>
    <x v="5"/>
    <x v="1071"/>
    <n v="4"/>
    <n v="1220"/>
    <x v="952"/>
    <x v="2"/>
    <x v="1"/>
    <x v="1"/>
    <s v="Delivered"/>
    <n v="865"/>
    <n v="305"/>
    <x v="7"/>
    <x v="5"/>
    <x v="7"/>
    <x v="3"/>
    <x v="7"/>
    <m/>
  </r>
  <r>
    <d v="2026-05-19T00:00:00"/>
    <x v="2"/>
    <s v="Housekeeping Items"/>
    <s v="Standard"/>
    <x v="238"/>
    <x v="2"/>
    <x v="288"/>
    <n v="100"/>
    <n v="5300"/>
    <x v="279"/>
    <x v="0"/>
    <x v="0"/>
    <x v="1"/>
    <s v="Returned"/>
    <n v="838"/>
    <n v="53"/>
    <x v="7"/>
    <x v="5"/>
    <x v="7"/>
    <x v="0"/>
    <x v="2"/>
    <m/>
  </r>
  <r>
    <d v="2026-05-20T00:00:00"/>
    <x v="3"/>
    <s v="Containers"/>
    <s v="1L"/>
    <x v="434"/>
    <x v="3"/>
    <x v="949"/>
    <n v="3"/>
    <n v="1383"/>
    <x v="858"/>
    <x v="2"/>
    <x v="1"/>
    <x v="0"/>
    <s v="Delayed"/>
    <n v="893"/>
    <n v="461"/>
    <x v="11"/>
    <x v="9"/>
    <x v="11"/>
    <x v="0"/>
    <x v="1"/>
    <m/>
  </r>
  <r>
    <d v="2026-05-21T00:00:00"/>
    <x v="3"/>
    <s v="Containers"/>
    <s v="1L"/>
    <x v="338"/>
    <x v="3"/>
    <x v="1074"/>
    <n v="3"/>
    <n v="426"/>
    <x v="953"/>
    <x v="0"/>
    <x v="2"/>
    <x v="0"/>
    <s v="Delayed"/>
    <n v="623"/>
    <n v="142"/>
    <x v="14"/>
    <x v="6"/>
    <x v="13"/>
    <x v="2"/>
    <x v="9"/>
    <m/>
  </r>
  <r>
    <d v="2026-05-22T00:00:00"/>
    <x v="4"/>
    <s v="Plates &amp; Bowls"/>
    <s v="500ml"/>
    <x v="54"/>
    <x v="4"/>
    <x v="1075"/>
    <n v="1.5"/>
    <n v="256.5"/>
    <x v="954"/>
    <x v="2"/>
    <x v="3"/>
    <x v="1"/>
    <s v="Delayed"/>
    <n v="852"/>
    <n v="171"/>
    <x v="16"/>
    <x v="4"/>
    <x v="15"/>
    <x v="0"/>
    <x v="4"/>
    <m/>
  </r>
  <r>
    <d v="2026-05-23T00:00:00"/>
    <x v="3"/>
    <s v="Containers"/>
    <s v="1L"/>
    <x v="382"/>
    <x v="3"/>
    <x v="600"/>
    <n v="3"/>
    <n v="471"/>
    <x v="567"/>
    <x v="0"/>
    <x v="1"/>
    <x v="1"/>
    <s v="Delayed"/>
    <n v="929"/>
    <n v="157"/>
    <x v="11"/>
    <x v="9"/>
    <x v="11"/>
    <x v="0"/>
    <x v="9"/>
    <m/>
  </r>
  <r>
    <d v="2026-05-24T00:00:00"/>
    <x v="0"/>
    <s v="Takeaway Boxes"/>
    <s v="Large"/>
    <x v="273"/>
    <x v="0"/>
    <x v="1076"/>
    <n v="5"/>
    <n v="55"/>
    <x v="454"/>
    <x v="2"/>
    <x v="1"/>
    <x v="1"/>
    <s v="Delayed"/>
    <n v="637"/>
    <n v="11"/>
    <x v="0"/>
    <x v="0"/>
    <x v="0"/>
    <x v="4"/>
    <x v="5"/>
    <m/>
  </r>
  <r>
    <d v="2026-05-25T00:00:00"/>
    <x v="5"/>
    <s v="Cutlery"/>
    <s v="3pcs"/>
    <x v="341"/>
    <x v="5"/>
    <x v="514"/>
    <n v="4"/>
    <n v="828"/>
    <x v="487"/>
    <x v="1"/>
    <x v="0"/>
    <x v="0"/>
    <s v="Delivered"/>
    <n v="770"/>
    <n v="207"/>
    <x v="4"/>
    <x v="3"/>
    <x v="4"/>
    <x v="4"/>
    <x v="7"/>
    <m/>
  </r>
  <r>
    <d v="2026-05-26T00:00:00"/>
    <x v="1"/>
    <s v="Glass &amp; Bottles"/>
    <s v="750ml"/>
    <x v="193"/>
    <x v="1"/>
    <x v="135"/>
    <n v="12"/>
    <n v="1116"/>
    <x v="568"/>
    <x v="2"/>
    <x v="3"/>
    <x v="2"/>
    <s v="Returned"/>
    <n v="551"/>
    <n v="93"/>
    <x v="11"/>
    <x v="9"/>
    <x v="11"/>
    <x v="3"/>
    <x v="6"/>
    <m/>
  </r>
  <r>
    <d v="2026-05-27T00:00:00"/>
    <x v="3"/>
    <s v="Containers"/>
    <s v="1L"/>
    <x v="252"/>
    <x v="3"/>
    <x v="450"/>
    <n v="3"/>
    <n v="204"/>
    <x v="425"/>
    <x v="1"/>
    <x v="3"/>
    <x v="0"/>
    <s v="Returned"/>
    <n v="877"/>
    <n v="68"/>
    <x v="11"/>
    <x v="9"/>
    <x v="11"/>
    <x v="2"/>
    <x v="3"/>
    <m/>
  </r>
  <r>
    <d v="2026-05-28T00:00:00"/>
    <x v="0"/>
    <s v="Takeaway Boxes"/>
    <s v="Large"/>
    <x v="82"/>
    <x v="0"/>
    <x v="1077"/>
    <n v="5"/>
    <n v="870"/>
    <x v="955"/>
    <x v="0"/>
    <x v="0"/>
    <x v="1"/>
    <s v="Delayed"/>
    <n v="568"/>
    <n v="174"/>
    <x v="1"/>
    <x v="1"/>
    <x v="1"/>
    <x v="4"/>
    <x v="2"/>
    <m/>
  </r>
  <r>
    <d v="2026-05-29T00:00:00"/>
    <x v="1"/>
    <s v="Glass &amp; Bottles"/>
    <s v="750ml"/>
    <x v="286"/>
    <x v="1"/>
    <x v="1078"/>
    <n v="12"/>
    <n v="360"/>
    <x v="956"/>
    <x v="1"/>
    <x v="1"/>
    <x v="2"/>
    <s v="Delivered"/>
    <n v="936"/>
    <n v="30"/>
    <x v="18"/>
    <x v="12"/>
    <x v="17"/>
    <x v="4"/>
    <x v="2"/>
    <m/>
  </r>
  <r>
    <d v="2026-05-30T00:00:00"/>
    <x v="1"/>
    <s v="Glass &amp; Bottles"/>
    <s v="750ml"/>
    <x v="221"/>
    <x v="1"/>
    <x v="216"/>
    <n v="12"/>
    <n v="960"/>
    <x v="210"/>
    <x v="1"/>
    <x v="1"/>
    <x v="0"/>
    <s v="Delayed"/>
    <n v="913"/>
    <n v="80"/>
    <x v="2"/>
    <x v="2"/>
    <x v="2"/>
    <x v="3"/>
    <x v="2"/>
    <m/>
  </r>
  <r>
    <d v="2026-05-31T00:00:00"/>
    <x v="4"/>
    <s v="Plates &amp; Bowls"/>
    <s v="500ml"/>
    <x v="17"/>
    <x v="4"/>
    <x v="1079"/>
    <n v="1.5"/>
    <n v="598.5"/>
    <x v="372"/>
    <x v="1"/>
    <x v="0"/>
    <x v="0"/>
    <s v="Returned"/>
    <n v="849"/>
    <n v="399"/>
    <x v="16"/>
    <x v="4"/>
    <x v="15"/>
    <x v="1"/>
    <x v="3"/>
    <m/>
  </r>
  <r>
    <d v="2026-06-01T00:00:00"/>
    <x v="4"/>
    <s v="Plates &amp; Bowls"/>
    <s v="500ml"/>
    <x v="475"/>
    <x v="4"/>
    <x v="1080"/>
    <n v="1.5"/>
    <n v="27"/>
    <x v="957"/>
    <x v="2"/>
    <x v="0"/>
    <x v="2"/>
    <s v="Delivered"/>
    <n v="695"/>
    <n v="18"/>
    <x v="4"/>
    <x v="3"/>
    <x v="4"/>
    <x v="4"/>
    <x v="5"/>
    <m/>
  </r>
  <r>
    <d v="2026-06-02T00:00:00"/>
    <x v="5"/>
    <s v="Cutlery"/>
    <s v="3pcs"/>
    <x v="418"/>
    <x v="5"/>
    <x v="744"/>
    <n v="4"/>
    <n v="356"/>
    <x v="689"/>
    <x v="0"/>
    <x v="0"/>
    <x v="2"/>
    <s v="Returned"/>
    <n v="768"/>
    <n v="89"/>
    <x v="9"/>
    <x v="7"/>
    <x v="9"/>
    <x v="3"/>
    <x v="4"/>
    <m/>
  </r>
  <r>
    <d v="2026-06-03T00:00:00"/>
    <x v="1"/>
    <s v="Glass &amp; Bottles"/>
    <s v="750ml"/>
    <x v="300"/>
    <x v="1"/>
    <x v="1081"/>
    <n v="12"/>
    <n v="5520"/>
    <x v="958"/>
    <x v="2"/>
    <x v="0"/>
    <x v="1"/>
    <s v="Returned"/>
    <n v="622"/>
    <n v="460"/>
    <x v="15"/>
    <x v="10"/>
    <x v="14"/>
    <x v="2"/>
    <x v="10"/>
    <m/>
  </r>
  <r>
    <d v="2026-06-04T00:00:00"/>
    <x v="1"/>
    <s v="Glass &amp; Bottles"/>
    <s v="750ml"/>
    <x v="152"/>
    <x v="1"/>
    <x v="450"/>
    <n v="12"/>
    <n v="204"/>
    <x v="425"/>
    <x v="0"/>
    <x v="1"/>
    <x v="2"/>
    <s v="Delivered"/>
    <n v="637"/>
    <n v="17"/>
    <x v="14"/>
    <x v="6"/>
    <x v="13"/>
    <x v="2"/>
    <x v="9"/>
    <m/>
  </r>
  <r>
    <d v="2026-06-05T00:00:00"/>
    <x v="0"/>
    <s v="Takeaway Boxes"/>
    <s v="Large"/>
    <x v="39"/>
    <x v="0"/>
    <x v="1082"/>
    <n v="5"/>
    <n v="2215"/>
    <x v="959"/>
    <x v="2"/>
    <x v="0"/>
    <x v="2"/>
    <s v="Delivered"/>
    <n v="743"/>
    <n v="443"/>
    <x v="2"/>
    <x v="2"/>
    <x v="2"/>
    <x v="1"/>
    <x v="10"/>
    <m/>
  </r>
  <r>
    <d v="2026-06-06T00:00:00"/>
    <x v="2"/>
    <s v="Housekeeping Items"/>
    <s v="Standard"/>
    <x v="419"/>
    <x v="2"/>
    <x v="1083"/>
    <n v="100"/>
    <n v="10100"/>
    <x v="960"/>
    <x v="0"/>
    <x v="3"/>
    <x v="0"/>
    <s v="Delayed"/>
    <n v="525"/>
    <n v="101"/>
    <x v="3"/>
    <x v="2"/>
    <x v="3"/>
    <x v="2"/>
    <x v="10"/>
    <m/>
  </r>
  <r>
    <d v="2026-06-07T00:00:00"/>
    <x v="3"/>
    <s v="Containers"/>
    <s v="1L"/>
    <x v="416"/>
    <x v="3"/>
    <x v="1084"/>
    <n v="3"/>
    <n v="1356"/>
    <x v="685"/>
    <x v="2"/>
    <x v="3"/>
    <x v="2"/>
    <s v="Delivered"/>
    <n v="625"/>
    <n v="452"/>
    <x v="3"/>
    <x v="2"/>
    <x v="3"/>
    <x v="2"/>
    <x v="4"/>
    <m/>
  </r>
  <r>
    <d v="2026-06-08T00:00:00"/>
    <x v="4"/>
    <s v="Plates &amp; Bowls"/>
    <s v="500ml"/>
    <x v="147"/>
    <x v="4"/>
    <x v="736"/>
    <n v="1.5"/>
    <n v="733.5"/>
    <x v="682"/>
    <x v="0"/>
    <x v="0"/>
    <x v="0"/>
    <s v="Returned"/>
    <n v="737"/>
    <n v="489"/>
    <x v="5"/>
    <x v="0"/>
    <x v="5"/>
    <x v="0"/>
    <x v="2"/>
    <m/>
  </r>
  <r>
    <d v="2026-06-09T00:00:00"/>
    <x v="1"/>
    <s v="Glass &amp; Bottles"/>
    <s v="750ml"/>
    <x v="445"/>
    <x v="1"/>
    <x v="1085"/>
    <n v="12"/>
    <n v="5076"/>
    <x v="961"/>
    <x v="2"/>
    <x v="1"/>
    <x v="1"/>
    <s v="Delayed"/>
    <n v="667"/>
    <n v="423"/>
    <x v="6"/>
    <x v="4"/>
    <x v="6"/>
    <x v="2"/>
    <x v="8"/>
    <m/>
  </r>
  <r>
    <d v="2026-06-10T00:00:00"/>
    <x v="5"/>
    <s v="Cutlery"/>
    <s v="3pcs"/>
    <x v="436"/>
    <x v="5"/>
    <x v="894"/>
    <n v="4"/>
    <n v="1472"/>
    <x v="680"/>
    <x v="0"/>
    <x v="2"/>
    <x v="1"/>
    <s v="Returned"/>
    <n v="723"/>
    <n v="368"/>
    <x v="8"/>
    <x v="6"/>
    <x v="8"/>
    <x v="0"/>
    <x v="9"/>
    <m/>
  </r>
  <r>
    <d v="2026-06-11T00:00:00"/>
    <x v="2"/>
    <s v="Housekeeping Items"/>
    <s v="Standard"/>
    <x v="264"/>
    <x v="2"/>
    <x v="1086"/>
    <n v="100"/>
    <n v="6200"/>
    <x v="962"/>
    <x v="2"/>
    <x v="0"/>
    <x v="1"/>
    <s v="Delayed"/>
    <n v="794"/>
    <n v="62"/>
    <x v="15"/>
    <x v="10"/>
    <x v="14"/>
    <x v="2"/>
    <x v="3"/>
    <m/>
  </r>
  <r>
    <d v="2026-06-12T00:00:00"/>
    <x v="0"/>
    <s v="Takeaway Boxes"/>
    <s v="Large"/>
    <x v="79"/>
    <x v="0"/>
    <x v="83"/>
    <n v="5"/>
    <n v="65"/>
    <x v="81"/>
    <x v="2"/>
    <x v="3"/>
    <x v="1"/>
    <s v="Delayed"/>
    <n v="924"/>
    <n v="13"/>
    <x v="13"/>
    <x v="2"/>
    <x v="12"/>
    <x v="4"/>
    <x v="1"/>
    <m/>
  </r>
  <r>
    <d v="2026-06-13T00:00:00"/>
    <x v="5"/>
    <s v="Cutlery"/>
    <s v="3pcs"/>
    <x v="296"/>
    <x v="5"/>
    <x v="1087"/>
    <n v="4"/>
    <n v="1484"/>
    <x v="860"/>
    <x v="2"/>
    <x v="1"/>
    <x v="0"/>
    <s v="Delivered"/>
    <n v="651"/>
    <n v="371"/>
    <x v="6"/>
    <x v="4"/>
    <x v="6"/>
    <x v="4"/>
    <x v="2"/>
    <m/>
  </r>
  <r>
    <d v="2026-06-14T00:00:00"/>
    <x v="5"/>
    <s v="Cutlery"/>
    <s v="3pcs"/>
    <x v="223"/>
    <x v="5"/>
    <x v="818"/>
    <n v="4"/>
    <n v="1612"/>
    <x v="752"/>
    <x v="1"/>
    <x v="2"/>
    <x v="1"/>
    <s v="Delayed"/>
    <n v="636"/>
    <n v="403"/>
    <x v="13"/>
    <x v="2"/>
    <x v="12"/>
    <x v="0"/>
    <x v="11"/>
    <m/>
  </r>
  <r>
    <d v="2026-06-15T00:00:00"/>
    <x v="4"/>
    <s v="Plates &amp; Bowls"/>
    <s v="500ml"/>
    <x v="215"/>
    <x v="4"/>
    <x v="578"/>
    <n v="1.5"/>
    <n v="735"/>
    <x v="547"/>
    <x v="2"/>
    <x v="1"/>
    <x v="1"/>
    <s v="Delivered"/>
    <n v="539"/>
    <n v="490"/>
    <x v="2"/>
    <x v="2"/>
    <x v="2"/>
    <x v="4"/>
    <x v="0"/>
    <m/>
  </r>
  <r>
    <d v="2026-06-16T00:00:00"/>
    <x v="0"/>
    <s v="Takeaway Boxes"/>
    <s v="Large"/>
    <x v="420"/>
    <x v="0"/>
    <x v="1088"/>
    <n v="5"/>
    <n v="2315"/>
    <x v="963"/>
    <x v="2"/>
    <x v="0"/>
    <x v="1"/>
    <s v="Delayed"/>
    <n v="872"/>
    <n v="463"/>
    <x v="10"/>
    <x v="8"/>
    <x v="10"/>
    <x v="3"/>
    <x v="8"/>
    <m/>
  </r>
  <r>
    <d v="2026-06-17T00:00:00"/>
    <x v="5"/>
    <s v="Cutlery"/>
    <s v="3pcs"/>
    <x v="286"/>
    <x v="5"/>
    <x v="409"/>
    <n v="4"/>
    <n v="120"/>
    <x v="366"/>
    <x v="2"/>
    <x v="1"/>
    <x v="2"/>
    <s v="Delivered"/>
    <n v="594"/>
    <n v="30"/>
    <x v="12"/>
    <x v="3"/>
    <x v="10"/>
    <x v="3"/>
    <x v="2"/>
    <m/>
  </r>
  <r>
    <d v="2026-06-18T00:00:00"/>
    <x v="0"/>
    <s v="Takeaway Boxes"/>
    <s v="Large"/>
    <x v="60"/>
    <x v="0"/>
    <x v="1089"/>
    <n v="5"/>
    <n v="320"/>
    <x v="516"/>
    <x v="0"/>
    <x v="3"/>
    <x v="0"/>
    <s v="Delayed"/>
    <n v="888"/>
    <n v="64"/>
    <x v="3"/>
    <x v="2"/>
    <x v="3"/>
    <x v="4"/>
    <x v="10"/>
    <m/>
  </r>
  <r>
    <d v="2026-06-19T00:00:00"/>
    <x v="2"/>
    <s v="Housekeeping Items"/>
    <s v="Standard"/>
    <x v="457"/>
    <x v="2"/>
    <x v="1090"/>
    <n v="100"/>
    <n v="28500"/>
    <x v="964"/>
    <x v="0"/>
    <x v="2"/>
    <x v="0"/>
    <s v="Delivered"/>
    <n v="710"/>
    <n v="285"/>
    <x v="1"/>
    <x v="1"/>
    <x v="1"/>
    <x v="3"/>
    <x v="11"/>
    <m/>
  </r>
  <r>
    <d v="2026-06-20T00:00:00"/>
    <x v="3"/>
    <s v="Containers"/>
    <s v="1L"/>
    <x v="130"/>
    <x v="3"/>
    <x v="137"/>
    <n v="3"/>
    <n v="993"/>
    <x v="133"/>
    <x v="1"/>
    <x v="1"/>
    <x v="1"/>
    <s v="Delivered"/>
    <n v="675"/>
    <n v="331"/>
    <x v="8"/>
    <x v="6"/>
    <x v="8"/>
    <x v="0"/>
    <x v="8"/>
    <m/>
  </r>
  <r>
    <d v="2026-06-21T00:00:00"/>
    <x v="4"/>
    <s v="Plates &amp; Bowls"/>
    <s v="500ml"/>
    <x v="20"/>
    <x v="4"/>
    <x v="846"/>
    <n v="1.5"/>
    <n v="153"/>
    <x v="647"/>
    <x v="1"/>
    <x v="1"/>
    <x v="0"/>
    <s v="Delivered"/>
    <n v="770"/>
    <n v="102"/>
    <x v="0"/>
    <x v="0"/>
    <x v="0"/>
    <x v="1"/>
    <x v="3"/>
    <m/>
  </r>
  <r>
    <d v="2026-06-22T00:00:00"/>
    <x v="4"/>
    <s v="Plates &amp; Bowls"/>
    <s v="500ml"/>
    <x v="296"/>
    <x v="4"/>
    <x v="408"/>
    <n v="1.5"/>
    <n v="556.5"/>
    <x v="385"/>
    <x v="1"/>
    <x v="2"/>
    <x v="0"/>
    <s v="Delivered"/>
    <n v="936"/>
    <n v="371"/>
    <x v="5"/>
    <x v="0"/>
    <x v="5"/>
    <x v="2"/>
    <x v="11"/>
    <m/>
  </r>
  <r>
    <d v="2026-06-23T00:00:00"/>
    <x v="5"/>
    <s v="Cutlery"/>
    <s v="3pcs"/>
    <x v="449"/>
    <x v="5"/>
    <x v="876"/>
    <n v="4"/>
    <n v="712"/>
    <x v="793"/>
    <x v="0"/>
    <x v="2"/>
    <x v="1"/>
    <s v="Returned"/>
    <n v="750"/>
    <n v="178"/>
    <x v="3"/>
    <x v="2"/>
    <x v="3"/>
    <x v="3"/>
    <x v="6"/>
    <m/>
  </r>
  <r>
    <d v="2026-06-24T00:00:00"/>
    <x v="4"/>
    <s v="Plates &amp; Bowls"/>
    <s v="500ml"/>
    <x v="93"/>
    <x v="4"/>
    <x v="1091"/>
    <n v="1.5"/>
    <n v="643.5"/>
    <x v="835"/>
    <x v="0"/>
    <x v="1"/>
    <x v="1"/>
    <s v="Delayed"/>
    <n v="902"/>
    <n v="429"/>
    <x v="5"/>
    <x v="0"/>
    <x v="5"/>
    <x v="2"/>
    <x v="9"/>
    <m/>
  </r>
  <r>
    <d v="2026-06-25T00:00:00"/>
    <x v="3"/>
    <s v="Containers"/>
    <s v="1L"/>
    <x v="374"/>
    <x v="3"/>
    <x v="1092"/>
    <n v="3"/>
    <n v="1245"/>
    <x v="965"/>
    <x v="2"/>
    <x v="3"/>
    <x v="0"/>
    <s v="Delivered"/>
    <n v="737"/>
    <n v="415"/>
    <x v="9"/>
    <x v="7"/>
    <x v="9"/>
    <x v="1"/>
    <x v="2"/>
    <m/>
  </r>
  <r>
    <d v="2026-06-26T00:00:00"/>
    <x v="3"/>
    <s v="Containers"/>
    <s v="1L"/>
    <x v="393"/>
    <x v="3"/>
    <x v="1093"/>
    <n v="3"/>
    <n v="1368"/>
    <x v="966"/>
    <x v="2"/>
    <x v="0"/>
    <x v="1"/>
    <s v="Returned"/>
    <n v="694"/>
    <n v="456"/>
    <x v="15"/>
    <x v="10"/>
    <x v="14"/>
    <x v="1"/>
    <x v="10"/>
    <m/>
  </r>
  <r>
    <d v="2026-06-27T00:00:00"/>
    <x v="4"/>
    <s v="Plates &amp; Bowls"/>
    <s v="500ml"/>
    <x v="191"/>
    <x v="4"/>
    <x v="946"/>
    <n v="1.5"/>
    <n v="637.5"/>
    <x v="855"/>
    <x v="0"/>
    <x v="2"/>
    <x v="1"/>
    <s v="Delayed"/>
    <n v="713"/>
    <n v="425"/>
    <x v="3"/>
    <x v="2"/>
    <x v="3"/>
    <x v="1"/>
    <x v="2"/>
    <m/>
  </r>
  <r>
    <d v="2026-06-28T00:00:00"/>
    <x v="0"/>
    <s v="Takeaway Boxes"/>
    <s v="Large"/>
    <x v="135"/>
    <x v="0"/>
    <x v="420"/>
    <n v="5"/>
    <n v="735"/>
    <x v="249"/>
    <x v="2"/>
    <x v="3"/>
    <x v="2"/>
    <s v="Delivered"/>
    <n v="912"/>
    <n v="147"/>
    <x v="14"/>
    <x v="6"/>
    <x v="13"/>
    <x v="1"/>
    <x v="7"/>
    <m/>
  </r>
  <r>
    <d v="2026-06-29T00:00:00"/>
    <x v="3"/>
    <s v="Containers"/>
    <s v="1L"/>
    <x v="11"/>
    <x v="3"/>
    <x v="1094"/>
    <n v="3"/>
    <n v="1167"/>
    <x v="810"/>
    <x v="2"/>
    <x v="1"/>
    <x v="0"/>
    <s v="Delivered"/>
    <n v="996"/>
    <n v="389"/>
    <x v="9"/>
    <x v="7"/>
    <x v="9"/>
    <x v="3"/>
    <x v="9"/>
    <m/>
  </r>
  <r>
    <d v="2026-06-30T00:00:00"/>
    <x v="0"/>
    <s v="Takeaway Boxes"/>
    <s v="Large"/>
    <x v="204"/>
    <x v="0"/>
    <x v="1095"/>
    <n v="5"/>
    <n v="1365"/>
    <x v="967"/>
    <x v="2"/>
    <x v="1"/>
    <x v="2"/>
    <s v="Delayed"/>
    <n v="942"/>
    <n v="273"/>
    <x v="3"/>
    <x v="2"/>
    <x v="3"/>
    <x v="1"/>
    <x v="0"/>
    <m/>
  </r>
  <r>
    <d v="2026-07-01T00:00:00"/>
    <x v="5"/>
    <s v="Cutlery"/>
    <s v="3pcs"/>
    <x v="444"/>
    <x v="5"/>
    <x v="1096"/>
    <n v="4"/>
    <n v="1540"/>
    <x v="968"/>
    <x v="0"/>
    <x v="2"/>
    <x v="1"/>
    <s v="Delivered"/>
    <n v="932"/>
    <n v="385"/>
    <x v="17"/>
    <x v="11"/>
    <x v="16"/>
    <x v="0"/>
    <x v="11"/>
    <m/>
  </r>
  <r>
    <d v="2026-07-02T00:00:00"/>
    <x v="4"/>
    <s v="Plates &amp; Bowls"/>
    <s v="500ml"/>
    <x v="355"/>
    <x v="4"/>
    <x v="314"/>
    <n v="1.5"/>
    <n v="63"/>
    <x v="299"/>
    <x v="0"/>
    <x v="1"/>
    <x v="0"/>
    <s v="Delayed"/>
    <n v="756"/>
    <n v="42"/>
    <x v="16"/>
    <x v="4"/>
    <x v="15"/>
    <x v="4"/>
    <x v="2"/>
    <m/>
  </r>
  <r>
    <d v="2026-07-03T00:00:00"/>
    <x v="4"/>
    <s v="Plates &amp; Bowls"/>
    <s v="500ml"/>
    <x v="332"/>
    <x v="4"/>
    <x v="822"/>
    <n v="1.5"/>
    <n v="42"/>
    <x v="755"/>
    <x v="0"/>
    <x v="2"/>
    <x v="1"/>
    <s v="Delayed"/>
    <n v="752"/>
    <n v="28"/>
    <x v="19"/>
    <x v="13"/>
    <x v="18"/>
    <x v="1"/>
    <x v="7"/>
    <m/>
  </r>
  <r>
    <d v="2026-07-04T00:00:00"/>
    <x v="4"/>
    <s v="Plates &amp; Bowls"/>
    <s v="500ml"/>
    <x v="423"/>
    <x v="4"/>
    <x v="1097"/>
    <n v="1.5"/>
    <n v="550.5"/>
    <x v="969"/>
    <x v="1"/>
    <x v="0"/>
    <x v="1"/>
    <s v="Delivered"/>
    <n v="680"/>
    <n v="367"/>
    <x v="17"/>
    <x v="11"/>
    <x v="16"/>
    <x v="1"/>
    <x v="0"/>
    <m/>
  </r>
  <r>
    <d v="2026-07-05T00:00:00"/>
    <x v="1"/>
    <s v="Glass &amp; Bottles"/>
    <s v="750ml"/>
    <x v="156"/>
    <x v="1"/>
    <x v="841"/>
    <n v="12"/>
    <n v="2688"/>
    <x v="768"/>
    <x v="0"/>
    <x v="1"/>
    <x v="1"/>
    <s v="Delivered"/>
    <n v="885"/>
    <n v="224"/>
    <x v="16"/>
    <x v="4"/>
    <x v="15"/>
    <x v="1"/>
    <x v="9"/>
    <m/>
  </r>
  <r>
    <d v="2026-07-06T00:00:00"/>
    <x v="2"/>
    <s v="Housekeeping Items"/>
    <s v="Standard"/>
    <x v="250"/>
    <x v="2"/>
    <x v="308"/>
    <n v="100"/>
    <n v="38300"/>
    <x v="294"/>
    <x v="1"/>
    <x v="3"/>
    <x v="1"/>
    <s v="Delayed"/>
    <n v="667"/>
    <n v="383"/>
    <x v="1"/>
    <x v="1"/>
    <x v="1"/>
    <x v="2"/>
    <x v="7"/>
    <m/>
  </r>
  <r>
    <d v="2026-07-07T00:00:00"/>
    <x v="5"/>
    <s v="Cutlery"/>
    <s v="3pcs"/>
    <x v="154"/>
    <x v="5"/>
    <x v="172"/>
    <n v="4"/>
    <n v="1896"/>
    <x v="167"/>
    <x v="0"/>
    <x v="3"/>
    <x v="1"/>
    <s v="Returned"/>
    <n v="839"/>
    <n v="474"/>
    <x v="12"/>
    <x v="3"/>
    <x v="10"/>
    <x v="1"/>
    <x v="2"/>
    <m/>
  </r>
  <r>
    <d v="2026-07-08T00:00:00"/>
    <x v="3"/>
    <s v="Containers"/>
    <s v="1L"/>
    <x v="34"/>
    <x v="3"/>
    <x v="1098"/>
    <n v="3"/>
    <n v="1014"/>
    <x v="970"/>
    <x v="1"/>
    <x v="0"/>
    <x v="2"/>
    <s v="Delivered"/>
    <n v="944"/>
    <n v="338"/>
    <x v="4"/>
    <x v="3"/>
    <x v="4"/>
    <x v="4"/>
    <x v="7"/>
    <m/>
  </r>
  <r>
    <d v="2026-07-09T00:00:00"/>
    <x v="5"/>
    <s v="Cutlery"/>
    <s v="3pcs"/>
    <x v="17"/>
    <x v="5"/>
    <x v="1099"/>
    <n v="4"/>
    <n v="1596"/>
    <x v="949"/>
    <x v="2"/>
    <x v="3"/>
    <x v="2"/>
    <s v="Delayed"/>
    <n v="654"/>
    <n v="399"/>
    <x v="2"/>
    <x v="2"/>
    <x v="2"/>
    <x v="1"/>
    <x v="5"/>
    <m/>
  </r>
  <r>
    <d v="2026-07-10T00:00:00"/>
    <x v="5"/>
    <s v="Cutlery"/>
    <s v="3pcs"/>
    <x v="21"/>
    <x v="5"/>
    <x v="241"/>
    <n v="4"/>
    <n v="916"/>
    <x v="22"/>
    <x v="2"/>
    <x v="2"/>
    <x v="2"/>
    <s v="Delivered"/>
    <n v="582"/>
    <n v="229"/>
    <x v="6"/>
    <x v="4"/>
    <x v="6"/>
    <x v="4"/>
    <x v="4"/>
    <m/>
  </r>
  <r>
    <d v="2026-07-11T00:00:00"/>
    <x v="2"/>
    <s v="Housekeeping Items"/>
    <s v="Standard"/>
    <x v="313"/>
    <x v="2"/>
    <x v="1100"/>
    <n v="100"/>
    <n v="11300"/>
    <x v="971"/>
    <x v="1"/>
    <x v="0"/>
    <x v="0"/>
    <s v="Delivered"/>
    <n v="572"/>
    <n v="113"/>
    <x v="11"/>
    <x v="9"/>
    <x v="11"/>
    <x v="1"/>
    <x v="8"/>
    <m/>
  </r>
  <r>
    <d v="2026-07-12T00:00:00"/>
    <x v="2"/>
    <s v="Housekeeping Items"/>
    <s v="Standard"/>
    <x v="347"/>
    <x v="2"/>
    <x v="1101"/>
    <n v="100"/>
    <n v="16400"/>
    <x v="972"/>
    <x v="0"/>
    <x v="1"/>
    <x v="2"/>
    <s v="Delivered"/>
    <n v="511"/>
    <n v="164"/>
    <x v="3"/>
    <x v="2"/>
    <x v="3"/>
    <x v="4"/>
    <x v="8"/>
    <m/>
  </r>
  <r>
    <d v="2026-07-13T00:00:00"/>
    <x v="5"/>
    <s v="Cutlery"/>
    <s v="3pcs"/>
    <x v="147"/>
    <x v="5"/>
    <x v="161"/>
    <n v="4"/>
    <n v="1956"/>
    <x v="156"/>
    <x v="2"/>
    <x v="0"/>
    <x v="2"/>
    <s v="Delayed"/>
    <n v="692"/>
    <n v="489"/>
    <x v="3"/>
    <x v="2"/>
    <x v="3"/>
    <x v="0"/>
    <x v="6"/>
    <m/>
  </r>
  <r>
    <d v="2026-07-14T00:00:00"/>
    <x v="1"/>
    <s v="Glass &amp; Bottles"/>
    <s v="750ml"/>
    <x v="317"/>
    <x v="1"/>
    <x v="0"/>
    <n v="12"/>
    <n v="1008"/>
    <x v="927"/>
    <x v="0"/>
    <x v="0"/>
    <x v="2"/>
    <s v="Delivered"/>
    <n v="860"/>
    <n v="84"/>
    <x v="9"/>
    <x v="7"/>
    <x v="9"/>
    <x v="0"/>
    <x v="11"/>
    <m/>
  </r>
  <r>
    <d v="2026-07-15T00:00:00"/>
    <x v="0"/>
    <s v="Takeaway Boxes"/>
    <s v="Large"/>
    <x v="405"/>
    <x v="0"/>
    <x v="1102"/>
    <n v="5"/>
    <n v="2400"/>
    <x v="973"/>
    <x v="2"/>
    <x v="3"/>
    <x v="0"/>
    <s v="Delivered"/>
    <n v="875"/>
    <n v="480"/>
    <x v="1"/>
    <x v="1"/>
    <x v="1"/>
    <x v="3"/>
    <x v="11"/>
    <m/>
  </r>
  <r>
    <d v="2026-07-16T00:00:00"/>
    <x v="3"/>
    <s v="Containers"/>
    <s v="1L"/>
    <x v="411"/>
    <x v="3"/>
    <x v="1103"/>
    <n v="3"/>
    <n v="729"/>
    <x v="974"/>
    <x v="2"/>
    <x v="0"/>
    <x v="1"/>
    <s v="Delivered"/>
    <n v="981"/>
    <n v="243"/>
    <x v="11"/>
    <x v="9"/>
    <x v="11"/>
    <x v="3"/>
    <x v="0"/>
    <m/>
  </r>
  <r>
    <d v="2026-07-17T00:00:00"/>
    <x v="5"/>
    <s v="Cutlery"/>
    <s v="3pcs"/>
    <x v="352"/>
    <x v="5"/>
    <x v="1104"/>
    <n v="4"/>
    <n v="1172"/>
    <x v="506"/>
    <x v="1"/>
    <x v="1"/>
    <x v="1"/>
    <s v="Delayed"/>
    <n v="585"/>
    <n v="293"/>
    <x v="8"/>
    <x v="6"/>
    <x v="8"/>
    <x v="3"/>
    <x v="9"/>
    <m/>
  </r>
  <r>
    <d v="2026-07-18T00:00:00"/>
    <x v="4"/>
    <s v="Plates &amp; Bowls"/>
    <s v="500ml"/>
    <x v="380"/>
    <x v="4"/>
    <x v="67"/>
    <n v="1.5"/>
    <n v="624"/>
    <x v="66"/>
    <x v="0"/>
    <x v="0"/>
    <x v="0"/>
    <s v="Returned"/>
    <n v="737"/>
    <n v="416"/>
    <x v="18"/>
    <x v="12"/>
    <x v="17"/>
    <x v="4"/>
    <x v="11"/>
    <m/>
  </r>
  <r>
    <d v="2026-07-19T00:00:00"/>
    <x v="0"/>
    <s v="Takeaway Boxes"/>
    <s v="Large"/>
    <x v="89"/>
    <x v="0"/>
    <x v="1105"/>
    <n v="5"/>
    <n v="535"/>
    <x v="414"/>
    <x v="1"/>
    <x v="1"/>
    <x v="1"/>
    <s v="Delivered"/>
    <n v="828"/>
    <n v="107"/>
    <x v="6"/>
    <x v="4"/>
    <x v="6"/>
    <x v="0"/>
    <x v="0"/>
    <m/>
  </r>
  <r>
    <d v="2026-07-20T00:00:00"/>
    <x v="0"/>
    <s v="Takeaway Boxes"/>
    <s v="Large"/>
    <x v="141"/>
    <x v="0"/>
    <x v="1106"/>
    <n v="5"/>
    <n v="95"/>
    <x v="975"/>
    <x v="0"/>
    <x v="2"/>
    <x v="2"/>
    <s v="Delayed"/>
    <n v="944"/>
    <n v="19"/>
    <x v="0"/>
    <x v="0"/>
    <x v="0"/>
    <x v="4"/>
    <x v="10"/>
    <m/>
  </r>
  <r>
    <d v="2026-07-21T00:00:00"/>
    <x v="1"/>
    <s v="Glass &amp; Bottles"/>
    <s v="750ml"/>
    <x v="42"/>
    <x v="1"/>
    <x v="656"/>
    <n v="12"/>
    <n v="1092"/>
    <x v="617"/>
    <x v="0"/>
    <x v="1"/>
    <x v="0"/>
    <s v="Delayed"/>
    <n v="925"/>
    <n v="91"/>
    <x v="1"/>
    <x v="1"/>
    <x v="1"/>
    <x v="2"/>
    <x v="8"/>
    <m/>
  </r>
  <r>
    <d v="2026-07-22T00:00:00"/>
    <x v="4"/>
    <s v="Plates &amp; Bowls"/>
    <s v="500ml"/>
    <x v="304"/>
    <x v="4"/>
    <x v="831"/>
    <n v="1.5"/>
    <n v="672"/>
    <x v="762"/>
    <x v="0"/>
    <x v="3"/>
    <x v="2"/>
    <s v="Returned"/>
    <n v="520"/>
    <n v="448"/>
    <x v="4"/>
    <x v="3"/>
    <x v="4"/>
    <x v="2"/>
    <x v="4"/>
    <m/>
  </r>
  <r>
    <d v="2026-07-23T00:00:00"/>
    <x v="3"/>
    <s v="Containers"/>
    <s v="1L"/>
    <x v="183"/>
    <x v="3"/>
    <x v="1037"/>
    <n v="3"/>
    <n v="591"/>
    <x v="552"/>
    <x v="2"/>
    <x v="3"/>
    <x v="1"/>
    <s v="Returned"/>
    <n v="799"/>
    <n v="197"/>
    <x v="9"/>
    <x v="7"/>
    <x v="9"/>
    <x v="1"/>
    <x v="0"/>
    <m/>
  </r>
  <r>
    <d v="2026-07-24T00:00:00"/>
    <x v="2"/>
    <s v="Housekeeping Items"/>
    <s v="Standard"/>
    <x v="107"/>
    <x v="2"/>
    <x v="1107"/>
    <n v="100"/>
    <n v="10400"/>
    <x v="976"/>
    <x v="2"/>
    <x v="3"/>
    <x v="0"/>
    <s v="Returned"/>
    <n v="853"/>
    <n v="104"/>
    <x v="10"/>
    <x v="8"/>
    <x v="10"/>
    <x v="1"/>
    <x v="1"/>
    <m/>
  </r>
  <r>
    <d v="2026-07-25T00:00:00"/>
    <x v="5"/>
    <s v="Cutlery"/>
    <s v="3pcs"/>
    <x v="449"/>
    <x v="5"/>
    <x v="876"/>
    <n v="4"/>
    <n v="712"/>
    <x v="793"/>
    <x v="2"/>
    <x v="0"/>
    <x v="1"/>
    <s v="Delayed"/>
    <n v="569"/>
    <n v="178"/>
    <x v="5"/>
    <x v="0"/>
    <x v="5"/>
    <x v="1"/>
    <x v="7"/>
    <m/>
  </r>
  <r>
    <d v="2026-07-26T00:00:00"/>
    <x v="0"/>
    <s v="Takeaway Boxes"/>
    <s v="Large"/>
    <x v="234"/>
    <x v="0"/>
    <x v="573"/>
    <n v="5"/>
    <n v="2045"/>
    <x v="544"/>
    <x v="1"/>
    <x v="0"/>
    <x v="0"/>
    <s v="Delivered"/>
    <n v="709"/>
    <n v="409"/>
    <x v="6"/>
    <x v="4"/>
    <x v="6"/>
    <x v="2"/>
    <x v="10"/>
    <m/>
  </r>
  <r>
    <d v="2026-07-27T00:00:00"/>
    <x v="1"/>
    <s v="Glass &amp; Bottles"/>
    <s v="750ml"/>
    <x v="11"/>
    <x v="1"/>
    <x v="685"/>
    <n v="12"/>
    <n v="4668"/>
    <x v="642"/>
    <x v="0"/>
    <x v="3"/>
    <x v="2"/>
    <s v="Delayed"/>
    <n v="575"/>
    <n v="389"/>
    <x v="4"/>
    <x v="3"/>
    <x v="4"/>
    <x v="1"/>
    <x v="6"/>
    <m/>
  </r>
  <r>
    <d v="2026-07-28T00:00:00"/>
    <x v="0"/>
    <s v="Takeaway Boxes"/>
    <s v="Large"/>
    <x v="73"/>
    <x v="0"/>
    <x v="856"/>
    <n v="5"/>
    <n v="450"/>
    <x v="916"/>
    <x v="1"/>
    <x v="3"/>
    <x v="0"/>
    <s v="Delayed"/>
    <n v="876"/>
    <n v="90"/>
    <x v="16"/>
    <x v="4"/>
    <x v="15"/>
    <x v="3"/>
    <x v="9"/>
    <m/>
  </r>
  <r>
    <d v="2026-07-29T00:00:00"/>
    <x v="2"/>
    <s v="Housekeeping Items"/>
    <s v="Standard"/>
    <x v="208"/>
    <x v="2"/>
    <x v="1108"/>
    <n v="100"/>
    <n v="19800"/>
    <x v="977"/>
    <x v="2"/>
    <x v="3"/>
    <x v="2"/>
    <s v="Delayed"/>
    <n v="710"/>
    <n v="198"/>
    <x v="0"/>
    <x v="0"/>
    <x v="0"/>
    <x v="3"/>
    <x v="7"/>
    <m/>
  </r>
  <r>
    <d v="2026-07-30T00:00:00"/>
    <x v="3"/>
    <s v="Containers"/>
    <s v="1L"/>
    <x v="422"/>
    <x v="3"/>
    <x v="1109"/>
    <n v="3"/>
    <n v="78"/>
    <x v="978"/>
    <x v="1"/>
    <x v="1"/>
    <x v="2"/>
    <s v="Returned"/>
    <n v="945"/>
    <n v="26"/>
    <x v="0"/>
    <x v="0"/>
    <x v="0"/>
    <x v="0"/>
    <x v="0"/>
    <m/>
  </r>
  <r>
    <d v="2026-07-31T00:00:00"/>
    <x v="4"/>
    <s v="Plates &amp; Bowls"/>
    <s v="500ml"/>
    <x v="389"/>
    <x v="4"/>
    <x v="293"/>
    <n v="1.5"/>
    <n v="663"/>
    <x v="284"/>
    <x v="2"/>
    <x v="0"/>
    <x v="0"/>
    <s v="Returned"/>
    <n v="606"/>
    <n v="442"/>
    <x v="8"/>
    <x v="6"/>
    <x v="8"/>
    <x v="3"/>
    <x v="2"/>
    <m/>
  </r>
  <r>
    <d v="2026-08-01T00:00:00"/>
    <x v="3"/>
    <s v="Containers"/>
    <s v="1L"/>
    <x v="237"/>
    <x v="3"/>
    <x v="858"/>
    <n v="3"/>
    <n v="372"/>
    <x v="781"/>
    <x v="1"/>
    <x v="1"/>
    <x v="1"/>
    <s v="Returned"/>
    <n v="608"/>
    <n v="124"/>
    <x v="10"/>
    <x v="8"/>
    <x v="10"/>
    <x v="1"/>
    <x v="10"/>
    <m/>
  </r>
  <r>
    <d v="2026-08-02T00:00:00"/>
    <x v="0"/>
    <s v="Takeaway Boxes"/>
    <s v="Large"/>
    <x v="11"/>
    <x v="0"/>
    <x v="1110"/>
    <n v="5"/>
    <n v="1945"/>
    <x v="979"/>
    <x v="1"/>
    <x v="1"/>
    <x v="1"/>
    <s v="Returned"/>
    <n v="855"/>
    <n v="389"/>
    <x v="8"/>
    <x v="6"/>
    <x v="8"/>
    <x v="0"/>
    <x v="11"/>
    <m/>
  </r>
  <r>
    <d v="2026-08-03T00:00:00"/>
    <x v="4"/>
    <s v="Plates &amp; Bowls"/>
    <s v="500ml"/>
    <x v="17"/>
    <x v="4"/>
    <x v="1079"/>
    <n v="1.5"/>
    <n v="598.5"/>
    <x v="372"/>
    <x v="2"/>
    <x v="2"/>
    <x v="1"/>
    <s v="Delayed"/>
    <n v="633"/>
    <n v="399"/>
    <x v="5"/>
    <x v="0"/>
    <x v="5"/>
    <x v="2"/>
    <x v="10"/>
    <m/>
  </r>
  <r>
    <d v="2026-08-04T00:00:00"/>
    <x v="1"/>
    <s v="Glass &amp; Bottles"/>
    <s v="750ml"/>
    <x v="281"/>
    <x v="1"/>
    <x v="1111"/>
    <n v="12"/>
    <n v="2796"/>
    <x v="980"/>
    <x v="2"/>
    <x v="1"/>
    <x v="1"/>
    <s v="Returned"/>
    <n v="881"/>
    <n v="233"/>
    <x v="8"/>
    <x v="6"/>
    <x v="8"/>
    <x v="0"/>
    <x v="0"/>
    <m/>
  </r>
  <r>
    <d v="2026-08-05T00:00:00"/>
    <x v="5"/>
    <s v="Cutlery"/>
    <s v="3pcs"/>
    <x v="274"/>
    <x v="5"/>
    <x v="348"/>
    <n v="4"/>
    <n v="476"/>
    <x v="329"/>
    <x v="0"/>
    <x v="3"/>
    <x v="1"/>
    <s v="Delayed"/>
    <n v="981"/>
    <n v="119"/>
    <x v="5"/>
    <x v="0"/>
    <x v="5"/>
    <x v="4"/>
    <x v="6"/>
    <m/>
  </r>
  <r>
    <d v="2026-08-06T00:00:00"/>
    <x v="4"/>
    <s v="Plates &amp; Bowls"/>
    <s v="500ml"/>
    <x v="273"/>
    <x v="4"/>
    <x v="1112"/>
    <n v="1.5"/>
    <n v="16.5"/>
    <x v="981"/>
    <x v="1"/>
    <x v="3"/>
    <x v="2"/>
    <s v="Returned"/>
    <n v="553"/>
    <n v="11"/>
    <x v="11"/>
    <x v="9"/>
    <x v="11"/>
    <x v="1"/>
    <x v="1"/>
    <m/>
  </r>
  <r>
    <d v="2026-08-07T00:00:00"/>
    <x v="1"/>
    <s v="Glass &amp; Bottles"/>
    <s v="750ml"/>
    <x v="207"/>
    <x v="1"/>
    <x v="238"/>
    <n v="12"/>
    <n v="5448"/>
    <x v="232"/>
    <x v="2"/>
    <x v="0"/>
    <x v="0"/>
    <s v="Returned"/>
    <n v="796"/>
    <n v="454"/>
    <x v="14"/>
    <x v="6"/>
    <x v="13"/>
    <x v="1"/>
    <x v="10"/>
    <m/>
  </r>
  <r>
    <d v="2026-08-08T00:00:00"/>
    <x v="2"/>
    <s v="Housekeeping Items"/>
    <s v="Standard"/>
    <x v="223"/>
    <x v="2"/>
    <x v="497"/>
    <n v="100"/>
    <n v="40300"/>
    <x v="471"/>
    <x v="1"/>
    <x v="1"/>
    <x v="0"/>
    <s v="Returned"/>
    <n v="927"/>
    <n v="403"/>
    <x v="3"/>
    <x v="2"/>
    <x v="3"/>
    <x v="3"/>
    <x v="1"/>
    <m/>
  </r>
  <r>
    <d v="2026-08-09T00:00:00"/>
    <x v="1"/>
    <s v="Glass &amp; Bottles"/>
    <s v="750ml"/>
    <x v="116"/>
    <x v="1"/>
    <x v="635"/>
    <n v="12"/>
    <n v="1656"/>
    <x v="599"/>
    <x v="0"/>
    <x v="3"/>
    <x v="1"/>
    <s v="Returned"/>
    <n v="943"/>
    <n v="138"/>
    <x v="6"/>
    <x v="4"/>
    <x v="6"/>
    <x v="1"/>
    <x v="10"/>
    <m/>
  </r>
  <r>
    <d v="2026-08-10T00:00:00"/>
    <x v="4"/>
    <s v="Plates &amp; Bowls"/>
    <s v="500ml"/>
    <x v="448"/>
    <x v="4"/>
    <x v="516"/>
    <n v="1.5"/>
    <n v="444"/>
    <x v="488"/>
    <x v="1"/>
    <x v="2"/>
    <x v="0"/>
    <s v="Delivered"/>
    <n v="718"/>
    <n v="296"/>
    <x v="1"/>
    <x v="1"/>
    <x v="1"/>
    <x v="2"/>
    <x v="4"/>
    <m/>
  </r>
  <r>
    <d v="2026-08-11T00:00:00"/>
    <x v="5"/>
    <s v="Cutlery"/>
    <s v="3pcs"/>
    <x v="430"/>
    <x v="5"/>
    <x v="616"/>
    <n v="4"/>
    <n v="1800"/>
    <x v="982"/>
    <x v="2"/>
    <x v="0"/>
    <x v="1"/>
    <s v="Delivered"/>
    <n v="672"/>
    <n v="450"/>
    <x v="16"/>
    <x v="4"/>
    <x v="15"/>
    <x v="3"/>
    <x v="9"/>
    <m/>
  </r>
  <r>
    <d v="2026-08-12T00:00:00"/>
    <x v="1"/>
    <s v="Glass &amp; Bottles"/>
    <s v="750ml"/>
    <x v="417"/>
    <x v="1"/>
    <x v="1113"/>
    <n v="12"/>
    <n v="3180"/>
    <x v="983"/>
    <x v="0"/>
    <x v="2"/>
    <x v="2"/>
    <s v="Delayed"/>
    <n v="957"/>
    <n v="265"/>
    <x v="15"/>
    <x v="10"/>
    <x v="14"/>
    <x v="4"/>
    <x v="7"/>
    <m/>
  </r>
  <r>
    <d v="2026-08-13T00:00:00"/>
    <x v="1"/>
    <s v="Glass &amp; Bottles"/>
    <s v="750ml"/>
    <x v="47"/>
    <x v="1"/>
    <x v="1062"/>
    <n v="12"/>
    <n v="696"/>
    <x v="984"/>
    <x v="0"/>
    <x v="2"/>
    <x v="0"/>
    <s v="Delayed"/>
    <n v="807"/>
    <n v="58"/>
    <x v="16"/>
    <x v="4"/>
    <x v="15"/>
    <x v="4"/>
    <x v="4"/>
    <m/>
  </r>
  <r>
    <d v="2026-08-14T00:00:00"/>
    <x v="0"/>
    <s v="Takeaway Boxes"/>
    <s v="Large"/>
    <x v="57"/>
    <x v="0"/>
    <x v="1114"/>
    <n v="5"/>
    <n v="2170"/>
    <x v="985"/>
    <x v="1"/>
    <x v="3"/>
    <x v="2"/>
    <s v="Returned"/>
    <n v="904"/>
    <n v="434"/>
    <x v="11"/>
    <x v="9"/>
    <x v="11"/>
    <x v="2"/>
    <x v="3"/>
    <m/>
  </r>
  <r>
    <d v="2026-08-15T00:00:00"/>
    <x v="5"/>
    <s v="Cutlery"/>
    <s v="3pcs"/>
    <x v="367"/>
    <x v="5"/>
    <x v="793"/>
    <n v="4"/>
    <n v="424"/>
    <x v="735"/>
    <x v="1"/>
    <x v="1"/>
    <x v="1"/>
    <s v="Delayed"/>
    <n v="519"/>
    <n v="106"/>
    <x v="12"/>
    <x v="3"/>
    <x v="10"/>
    <x v="4"/>
    <x v="9"/>
    <m/>
  </r>
  <r>
    <d v="2026-08-16T00:00:00"/>
    <x v="3"/>
    <s v="Containers"/>
    <s v="1L"/>
    <x v="405"/>
    <x v="3"/>
    <x v="220"/>
    <n v="3"/>
    <n v="1440"/>
    <x v="214"/>
    <x v="1"/>
    <x v="2"/>
    <x v="2"/>
    <s v="Returned"/>
    <n v="761"/>
    <n v="480"/>
    <x v="0"/>
    <x v="0"/>
    <x v="0"/>
    <x v="1"/>
    <x v="4"/>
    <m/>
  </r>
  <r>
    <d v="2026-08-17T00:00:00"/>
    <x v="4"/>
    <s v="Plates &amp; Bowls"/>
    <s v="500ml"/>
    <x v="80"/>
    <x v="4"/>
    <x v="1115"/>
    <n v="1.5"/>
    <n v="282"/>
    <x v="986"/>
    <x v="0"/>
    <x v="3"/>
    <x v="1"/>
    <s v="Delivered"/>
    <n v="848"/>
    <n v="188"/>
    <x v="12"/>
    <x v="3"/>
    <x v="10"/>
    <x v="4"/>
    <x v="2"/>
    <m/>
  </r>
  <r>
    <d v="2026-08-18T00:00:00"/>
    <x v="5"/>
    <s v="Cutlery"/>
    <s v="3pcs"/>
    <x v="455"/>
    <x v="5"/>
    <x v="1116"/>
    <n v="4"/>
    <n v="1624"/>
    <x v="987"/>
    <x v="1"/>
    <x v="1"/>
    <x v="0"/>
    <s v="Delivered"/>
    <n v="508"/>
    <n v="406"/>
    <x v="7"/>
    <x v="5"/>
    <x v="7"/>
    <x v="0"/>
    <x v="5"/>
    <m/>
  </r>
  <r>
    <d v="2026-08-19T00:00:00"/>
    <x v="5"/>
    <s v="Cutlery"/>
    <s v="3pcs"/>
    <x v="284"/>
    <x v="5"/>
    <x v="1117"/>
    <n v="4"/>
    <n v="556"/>
    <x v="418"/>
    <x v="2"/>
    <x v="0"/>
    <x v="2"/>
    <s v="Delayed"/>
    <n v="620"/>
    <n v="139"/>
    <x v="16"/>
    <x v="4"/>
    <x v="15"/>
    <x v="2"/>
    <x v="7"/>
    <m/>
  </r>
  <r>
    <d v="2026-08-20T00:00:00"/>
    <x v="0"/>
    <s v="Takeaway Boxes"/>
    <s v="Large"/>
    <x v="434"/>
    <x v="0"/>
    <x v="814"/>
    <n v="5"/>
    <n v="2305"/>
    <x v="748"/>
    <x v="1"/>
    <x v="0"/>
    <x v="0"/>
    <s v="Delivered"/>
    <n v="749"/>
    <n v="461"/>
    <x v="14"/>
    <x v="6"/>
    <x v="13"/>
    <x v="3"/>
    <x v="7"/>
    <m/>
  </r>
  <r>
    <d v="2026-08-21T00:00:00"/>
    <x v="2"/>
    <s v="Housekeeping Items"/>
    <s v="Standard"/>
    <x v="19"/>
    <x v="2"/>
    <x v="1118"/>
    <n v="100"/>
    <n v="8600"/>
    <x v="988"/>
    <x v="0"/>
    <x v="1"/>
    <x v="1"/>
    <s v="Delivered"/>
    <n v="633"/>
    <n v="86"/>
    <x v="13"/>
    <x v="2"/>
    <x v="12"/>
    <x v="4"/>
    <x v="1"/>
    <m/>
  </r>
  <r>
    <d v="2026-08-22T00:00:00"/>
    <x v="3"/>
    <s v="Containers"/>
    <s v="1L"/>
    <x v="142"/>
    <x v="3"/>
    <x v="180"/>
    <n v="3"/>
    <n v="1242"/>
    <x v="175"/>
    <x v="2"/>
    <x v="3"/>
    <x v="1"/>
    <s v="Returned"/>
    <n v="662"/>
    <n v="414"/>
    <x v="2"/>
    <x v="2"/>
    <x v="2"/>
    <x v="2"/>
    <x v="6"/>
    <m/>
  </r>
  <r>
    <d v="2026-08-23T00:00:00"/>
    <x v="4"/>
    <s v="Plates &amp; Bowls"/>
    <s v="500ml"/>
    <x v="109"/>
    <x v="4"/>
    <x v="1119"/>
    <n v="1.5"/>
    <n v="534"/>
    <x v="793"/>
    <x v="1"/>
    <x v="3"/>
    <x v="0"/>
    <s v="Delayed"/>
    <n v="799"/>
    <n v="356"/>
    <x v="15"/>
    <x v="10"/>
    <x v="14"/>
    <x v="3"/>
    <x v="3"/>
    <m/>
  </r>
  <r>
    <d v="2026-08-24T00:00:00"/>
    <x v="0"/>
    <s v="Takeaway Boxes"/>
    <s v="Large"/>
    <x v="194"/>
    <x v="0"/>
    <x v="1120"/>
    <n v="5"/>
    <n v="1970"/>
    <x v="989"/>
    <x v="2"/>
    <x v="3"/>
    <x v="1"/>
    <s v="Returned"/>
    <n v="758"/>
    <n v="394"/>
    <x v="6"/>
    <x v="4"/>
    <x v="6"/>
    <x v="3"/>
    <x v="5"/>
    <m/>
  </r>
  <r>
    <d v="2026-08-25T00:00:00"/>
    <x v="3"/>
    <s v="Containers"/>
    <s v="1L"/>
    <x v="206"/>
    <x v="3"/>
    <x v="886"/>
    <n v="3"/>
    <n v="726"/>
    <x v="803"/>
    <x v="0"/>
    <x v="1"/>
    <x v="0"/>
    <s v="Delivered"/>
    <n v="684"/>
    <n v="242"/>
    <x v="3"/>
    <x v="2"/>
    <x v="3"/>
    <x v="2"/>
    <x v="7"/>
    <m/>
  </r>
  <r>
    <d v="2026-08-26T00:00:00"/>
    <x v="4"/>
    <s v="Plates &amp; Bowls"/>
    <s v="500ml"/>
    <x v="54"/>
    <x v="4"/>
    <x v="1075"/>
    <n v="1.5"/>
    <n v="256.5"/>
    <x v="954"/>
    <x v="1"/>
    <x v="1"/>
    <x v="1"/>
    <s v="Delayed"/>
    <n v="670"/>
    <n v="171"/>
    <x v="7"/>
    <x v="5"/>
    <x v="7"/>
    <x v="2"/>
    <x v="1"/>
    <m/>
  </r>
  <r>
    <d v="2026-08-27T00:00:00"/>
    <x v="0"/>
    <s v="Takeaway Boxes"/>
    <s v="Large"/>
    <x v="52"/>
    <x v="0"/>
    <x v="1121"/>
    <n v="5"/>
    <n v="2275"/>
    <x v="990"/>
    <x v="1"/>
    <x v="1"/>
    <x v="1"/>
    <s v="Returned"/>
    <n v="849"/>
    <n v="455"/>
    <x v="9"/>
    <x v="7"/>
    <x v="9"/>
    <x v="2"/>
    <x v="2"/>
    <m/>
  </r>
  <r>
    <d v="2026-08-28T00:00:00"/>
    <x v="2"/>
    <s v="Housekeeping Items"/>
    <s v="Standard"/>
    <x v="197"/>
    <x v="2"/>
    <x v="659"/>
    <n v="100"/>
    <n v="16200"/>
    <x v="620"/>
    <x v="0"/>
    <x v="3"/>
    <x v="1"/>
    <s v="Delivered"/>
    <n v="608"/>
    <n v="162"/>
    <x v="12"/>
    <x v="3"/>
    <x v="10"/>
    <x v="4"/>
    <x v="9"/>
    <m/>
  </r>
  <r>
    <d v="2026-08-29T00:00:00"/>
    <x v="5"/>
    <s v="Cutlery"/>
    <s v="3pcs"/>
    <x v="253"/>
    <x v="5"/>
    <x v="716"/>
    <n v="4"/>
    <n v="84"/>
    <x v="299"/>
    <x v="2"/>
    <x v="1"/>
    <x v="1"/>
    <s v="Delayed"/>
    <n v="791"/>
    <n v="21"/>
    <x v="1"/>
    <x v="1"/>
    <x v="1"/>
    <x v="0"/>
    <x v="7"/>
    <m/>
  </r>
  <r>
    <d v="2026-08-30T00:00:00"/>
    <x v="4"/>
    <s v="Plates &amp; Bowls"/>
    <s v="500ml"/>
    <x v="456"/>
    <x v="4"/>
    <x v="1122"/>
    <n v="1.5"/>
    <n v="66"/>
    <x v="991"/>
    <x v="0"/>
    <x v="1"/>
    <x v="2"/>
    <s v="Delivered"/>
    <n v="653"/>
    <n v="44"/>
    <x v="7"/>
    <x v="5"/>
    <x v="7"/>
    <x v="2"/>
    <x v="6"/>
    <m/>
  </r>
  <r>
    <d v="2026-08-31T00:00:00"/>
    <x v="1"/>
    <s v="Glass &amp; Bottles"/>
    <s v="750ml"/>
    <x v="470"/>
    <x v="1"/>
    <x v="1123"/>
    <n v="12"/>
    <n v="1296"/>
    <x v="309"/>
    <x v="1"/>
    <x v="3"/>
    <x v="2"/>
    <s v="Delayed"/>
    <n v="971"/>
    <n v="108"/>
    <x v="14"/>
    <x v="6"/>
    <x v="13"/>
    <x v="1"/>
    <x v="9"/>
    <m/>
  </r>
  <r>
    <d v="2026-09-01T00:00:00"/>
    <x v="2"/>
    <s v="Housekeeping Items"/>
    <s v="Standard"/>
    <x v="453"/>
    <x v="2"/>
    <x v="1124"/>
    <n v="100"/>
    <n v="21200"/>
    <x v="992"/>
    <x v="1"/>
    <x v="1"/>
    <x v="0"/>
    <s v="Delayed"/>
    <n v="602"/>
    <n v="212"/>
    <x v="17"/>
    <x v="11"/>
    <x v="16"/>
    <x v="1"/>
    <x v="2"/>
    <m/>
  </r>
  <r>
    <d v="2026-09-02T00:00:00"/>
    <x v="2"/>
    <s v="Housekeeping Items"/>
    <s v="Standard"/>
    <x v="37"/>
    <x v="2"/>
    <x v="1125"/>
    <n v="100"/>
    <n v="24700"/>
    <x v="993"/>
    <x v="2"/>
    <x v="3"/>
    <x v="0"/>
    <s v="Delayed"/>
    <n v="735"/>
    <n v="247"/>
    <x v="2"/>
    <x v="2"/>
    <x v="2"/>
    <x v="1"/>
    <x v="0"/>
    <m/>
  </r>
  <r>
    <d v="2026-09-03T00:00:00"/>
    <x v="5"/>
    <s v="Cutlery"/>
    <s v="3pcs"/>
    <x v="449"/>
    <x v="5"/>
    <x v="876"/>
    <n v="4"/>
    <n v="712"/>
    <x v="793"/>
    <x v="1"/>
    <x v="0"/>
    <x v="0"/>
    <s v="Delayed"/>
    <n v="688"/>
    <n v="178"/>
    <x v="14"/>
    <x v="6"/>
    <x v="13"/>
    <x v="0"/>
    <x v="9"/>
    <m/>
  </r>
  <r>
    <d v="2026-09-04T00:00:00"/>
    <x v="1"/>
    <s v="Glass &amp; Bottles"/>
    <s v="750ml"/>
    <x v="45"/>
    <x v="1"/>
    <x v="144"/>
    <n v="12"/>
    <n v="240"/>
    <x v="994"/>
    <x v="0"/>
    <x v="2"/>
    <x v="0"/>
    <s v="Delivered"/>
    <n v="930"/>
    <n v="20"/>
    <x v="6"/>
    <x v="4"/>
    <x v="6"/>
    <x v="2"/>
    <x v="10"/>
    <m/>
  </r>
  <r>
    <d v="2026-09-05T00:00:00"/>
    <x v="3"/>
    <s v="Containers"/>
    <s v="1L"/>
    <x v="51"/>
    <x v="3"/>
    <x v="30"/>
    <n v="3"/>
    <n v="1416"/>
    <x v="816"/>
    <x v="1"/>
    <x v="2"/>
    <x v="2"/>
    <s v="Delayed"/>
    <n v="545"/>
    <n v="472"/>
    <x v="17"/>
    <x v="11"/>
    <x v="16"/>
    <x v="3"/>
    <x v="8"/>
    <m/>
  </r>
  <r>
    <d v="2026-09-06T00:00:00"/>
    <x v="3"/>
    <s v="Containers"/>
    <s v="1L"/>
    <x v="273"/>
    <x v="3"/>
    <x v="126"/>
    <n v="3"/>
    <n v="33"/>
    <x v="123"/>
    <x v="0"/>
    <x v="1"/>
    <x v="1"/>
    <s v="Delivered"/>
    <n v="748"/>
    <n v="11"/>
    <x v="0"/>
    <x v="0"/>
    <x v="0"/>
    <x v="1"/>
    <x v="3"/>
    <m/>
  </r>
  <r>
    <d v="2026-09-07T00:00:00"/>
    <x v="3"/>
    <s v="Containers"/>
    <s v="1L"/>
    <x v="377"/>
    <x v="3"/>
    <x v="856"/>
    <n v="3"/>
    <n v="432"/>
    <x v="549"/>
    <x v="2"/>
    <x v="2"/>
    <x v="1"/>
    <s v="Delivered"/>
    <n v="677"/>
    <n v="144"/>
    <x v="4"/>
    <x v="3"/>
    <x v="4"/>
    <x v="1"/>
    <x v="11"/>
    <m/>
  </r>
  <r>
    <d v="2026-09-08T00:00:00"/>
    <x v="4"/>
    <s v="Plates &amp; Bowls"/>
    <s v="500ml"/>
    <x v="296"/>
    <x v="4"/>
    <x v="408"/>
    <n v="1.5"/>
    <n v="556.5"/>
    <x v="385"/>
    <x v="0"/>
    <x v="2"/>
    <x v="1"/>
    <s v="Returned"/>
    <n v="976"/>
    <n v="371"/>
    <x v="12"/>
    <x v="3"/>
    <x v="10"/>
    <x v="0"/>
    <x v="6"/>
    <m/>
  </r>
  <r>
    <d v="2026-09-09T00:00:00"/>
    <x v="5"/>
    <s v="Cutlery"/>
    <s v="3pcs"/>
    <x v="163"/>
    <x v="5"/>
    <x v="917"/>
    <n v="4"/>
    <n v="1244"/>
    <x v="832"/>
    <x v="1"/>
    <x v="2"/>
    <x v="0"/>
    <s v="Delayed"/>
    <n v="850"/>
    <n v="311"/>
    <x v="4"/>
    <x v="3"/>
    <x v="4"/>
    <x v="0"/>
    <x v="10"/>
    <m/>
  </r>
  <r>
    <d v="2026-09-10T00:00:00"/>
    <x v="1"/>
    <s v="Glass &amp; Bottles"/>
    <s v="750ml"/>
    <x v="354"/>
    <x v="1"/>
    <x v="677"/>
    <n v="12"/>
    <n v="3384"/>
    <x v="635"/>
    <x v="0"/>
    <x v="2"/>
    <x v="0"/>
    <s v="Returned"/>
    <n v="897"/>
    <n v="282"/>
    <x v="6"/>
    <x v="4"/>
    <x v="6"/>
    <x v="0"/>
    <x v="7"/>
    <m/>
  </r>
  <r>
    <d v="2026-09-11T00:00:00"/>
    <x v="3"/>
    <s v="Containers"/>
    <s v="1L"/>
    <x v="416"/>
    <x v="3"/>
    <x v="1084"/>
    <n v="3"/>
    <n v="1356"/>
    <x v="685"/>
    <x v="2"/>
    <x v="0"/>
    <x v="2"/>
    <s v="Delayed"/>
    <n v="727"/>
    <n v="452"/>
    <x v="8"/>
    <x v="6"/>
    <x v="8"/>
    <x v="0"/>
    <x v="6"/>
    <m/>
  </r>
  <r>
    <d v="2026-09-12T00:00:00"/>
    <x v="4"/>
    <s v="Plates &amp; Bowls"/>
    <s v="500ml"/>
    <x v="441"/>
    <x v="4"/>
    <x v="1126"/>
    <n v="1.5"/>
    <n v="322.5"/>
    <x v="995"/>
    <x v="2"/>
    <x v="1"/>
    <x v="0"/>
    <s v="Returned"/>
    <n v="599"/>
    <n v="215"/>
    <x v="13"/>
    <x v="2"/>
    <x v="12"/>
    <x v="2"/>
    <x v="9"/>
    <m/>
  </r>
  <r>
    <d v="2026-09-13T00:00:00"/>
    <x v="4"/>
    <s v="Plates &amp; Bowls"/>
    <s v="500ml"/>
    <x v="439"/>
    <x v="4"/>
    <x v="854"/>
    <n v="1.5"/>
    <n v="418.5"/>
    <x v="778"/>
    <x v="0"/>
    <x v="0"/>
    <x v="0"/>
    <s v="Returned"/>
    <n v="799"/>
    <n v="279"/>
    <x v="17"/>
    <x v="11"/>
    <x v="16"/>
    <x v="3"/>
    <x v="7"/>
    <m/>
  </r>
  <r>
    <d v="2026-09-14T00:00:00"/>
    <x v="1"/>
    <s v="Glass &amp; Bottles"/>
    <s v="750ml"/>
    <x v="378"/>
    <x v="1"/>
    <x v="823"/>
    <n v="12"/>
    <n v="168"/>
    <x v="756"/>
    <x v="2"/>
    <x v="0"/>
    <x v="2"/>
    <s v="Delayed"/>
    <n v="618"/>
    <n v="14"/>
    <x v="5"/>
    <x v="0"/>
    <x v="5"/>
    <x v="0"/>
    <x v="11"/>
    <m/>
  </r>
  <r>
    <d v="2026-09-15T00:00:00"/>
    <x v="4"/>
    <s v="Plates &amp; Bowls"/>
    <s v="500ml"/>
    <x v="161"/>
    <x v="4"/>
    <x v="1127"/>
    <n v="1.5"/>
    <n v="402"/>
    <x v="996"/>
    <x v="2"/>
    <x v="1"/>
    <x v="1"/>
    <s v="Delayed"/>
    <n v="991"/>
    <n v="268"/>
    <x v="19"/>
    <x v="13"/>
    <x v="18"/>
    <x v="4"/>
    <x v="8"/>
    <m/>
  </r>
  <r>
    <d v="2026-09-16T00:00:00"/>
    <x v="5"/>
    <s v="Cutlery"/>
    <s v="3pcs"/>
    <x v="333"/>
    <x v="5"/>
    <x v="1128"/>
    <n v="4"/>
    <n v="904"/>
    <x v="997"/>
    <x v="1"/>
    <x v="3"/>
    <x v="0"/>
    <s v="Delivered"/>
    <n v="929"/>
    <n v="226"/>
    <x v="16"/>
    <x v="4"/>
    <x v="15"/>
    <x v="1"/>
    <x v="3"/>
    <m/>
  </r>
  <r>
    <d v="2026-09-17T00:00:00"/>
    <x v="3"/>
    <s v="Containers"/>
    <s v="1L"/>
    <x v="219"/>
    <x v="3"/>
    <x v="1129"/>
    <n v="3"/>
    <n v="669"/>
    <x v="948"/>
    <x v="1"/>
    <x v="1"/>
    <x v="1"/>
    <s v="Delivered"/>
    <n v="738"/>
    <n v="223"/>
    <x v="8"/>
    <x v="6"/>
    <x v="8"/>
    <x v="2"/>
    <x v="4"/>
    <m/>
  </r>
  <r>
    <d v="2026-09-18T00:00:00"/>
    <x v="2"/>
    <s v="Housekeeping Items"/>
    <s v="Standard"/>
    <x v="0"/>
    <x v="2"/>
    <x v="1130"/>
    <n v="100"/>
    <n v="21000"/>
    <x v="998"/>
    <x v="2"/>
    <x v="1"/>
    <x v="0"/>
    <s v="Delayed"/>
    <n v="848"/>
    <n v="210"/>
    <x v="9"/>
    <x v="7"/>
    <x v="9"/>
    <x v="0"/>
    <x v="5"/>
    <m/>
  </r>
  <r>
    <d v="2026-09-19T00:00:00"/>
    <x v="2"/>
    <s v="Housekeeping Items"/>
    <s v="Standard"/>
    <x v="278"/>
    <x v="2"/>
    <x v="1131"/>
    <n v="100"/>
    <n v="10000"/>
    <x v="999"/>
    <x v="0"/>
    <x v="0"/>
    <x v="1"/>
    <s v="Delivered"/>
    <n v="532"/>
    <n v="100"/>
    <x v="5"/>
    <x v="0"/>
    <x v="5"/>
    <x v="0"/>
    <x v="5"/>
    <m/>
  </r>
  <r>
    <d v="2026-09-20T00:00:00"/>
    <x v="5"/>
    <s v="Cutlery"/>
    <s v="3pcs"/>
    <x v="322"/>
    <x v="5"/>
    <x v="1132"/>
    <n v="4"/>
    <n v="876"/>
    <x v="256"/>
    <x v="0"/>
    <x v="1"/>
    <x v="0"/>
    <s v="Delayed"/>
    <n v="555"/>
    <n v="219"/>
    <x v="19"/>
    <x v="13"/>
    <x v="18"/>
    <x v="3"/>
    <x v="11"/>
    <m/>
  </r>
  <r>
    <d v="2026-09-21T00:00:00"/>
    <x v="5"/>
    <s v="Cutlery"/>
    <s v="3pcs"/>
    <x v="334"/>
    <x v="5"/>
    <x v="496"/>
    <n v="4"/>
    <n v="264"/>
    <x v="470"/>
    <x v="0"/>
    <x v="0"/>
    <x v="1"/>
    <s v="Returned"/>
    <n v="945"/>
    <n v="66"/>
    <x v="18"/>
    <x v="12"/>
    <x v="17"/>
    <x v="4"/>
    <x v="7"/>
    <m/>
  </r>
  <r>
    <d v="2026-09-22T00:00:00"/>
    <x v="0"/>
    <s v="Takeaway Boxes"/>
    <s v="Large"/>
    <x v="298"/>
    <x v="0"/>
    <x v="1133"/>
    <n v="5"/>
    <n v="470"/>
    <x v="1000"/>
    <x v="1"/>
    <x v="1"/>
    <x v="1"/>
    <s v="Delayed"/>
    <n v="595"/>
    <n v="94"/>
    <x v="14"/>
    <x v="6"/>
    <x v="13"/>
    <x v="1"/>
    <x v="11"/>
    <m/>
  </r>
  <r>
    <d v="2026-09-23T00:00:00"/>
    <x v="3"/>
    <s v="Containers"/>
    <s v="1L"/>
    <x v="266"/>
    <x v="3"/>
    <x v="1059"/>
    <n v="3"/>
    <n v="579"/>
    <x v="940"/>
    <x v="2"/>
    <x v="0"/>
    <x v="1"/>
    <s v="Delayed"/>
    <n v="740"/>
    <n v="193"/>
    <x v="2"/>
    <x v="2"/>
    <x v="2"/>
    <x v="1"/>
    <x v="6"/>
    <m/>
  </r>
  <r>
    <d v="2026-09-24T00:00:00"/>
    <x v="1"/>
    <s v="Glass &amp; Bottles"/>
    <s v="750ml"/>
    <x v="476"/>
    <x v="1"/>
    <x v="831"/>
    <n v="12"/>
    <n v="672"/>
    <x v="762"/>
    <x v="0"/>
    <x v="1"/>
    <x v="2"/>
    <s v="Delivered"/>
    <n v="539"/>
    <n v="56"/>
    <x v="7"/>
    <x v="5"/>
    <x v="7"/>
    <x v="1"/>
    <x v="7"/>
    <m/>
  </r>
  <r>
    <d v="2026-09-25T00:00:00"/>
    <x v="3"/>
    <s v="Containers"/>
    <s v="1L"/>
    <x v="188"/>
    <x v="3"/>
    <x v="1134"/>
    <n v="3"/>
    <n v="72"/>
    <x v="211"/>
    <x v="0"/>
    <x v="2"/>
    <x v="0"/>
    <s v="Delivered"/>
    <n v="941"/>
    <n v="24"/>
    <x v="18"/>
    <x v="12"/>
    <x v="17"/>
    <x v="2"/>
    <x v="2"/>
    <m/>
  </r>
  <r>
    <d v="2026-09-26T00:00:00"/>
    <x v="5"/>
    <s v="Cutlery"/>
    <s v="3pcs"/>
    <x v="177"/>
    <x v="5"/>
    <x v="1033"/>
    <n v="4"/>
    <n v="1356"/>
    <x v="350"/>
    <x v="0"/>
    <x v="3"/>
    <x v="2"/>
    <s v="Returned"/>
    <n v="772"/>
    <n v="339"/>
    <x v="5"/>
    <x v="0"/>
    <x v="5"/>
    <x v="2"/>
    <x v="10"/>
    <m/>
  </r>
  <r>
    <d v="2026-09-27T00:00:00"/>
    <x v="3"/>
    <s v="Containers"/>
    <s v="1L"/>
    <x v="196"/>
    <x v="3"/>
    <x v="226"/>
    <n v="3"/>
    <n v="615"/>
    <x v="220"/>
    <x v="2"/>
    <x v="0"/>
    <x v="2"/>
    <s v="Delivered"/>
    <n v="526"/>
    <n v="205"/>
    <x v="11"/>
    <x v="9"/>
    <x v="11"/>
    <x v="3"/>
    <x v="1"/>
    <m/>
  </r>
  <r>
    <d v="2026-09-28T00:00:00"/>
    <x v="4"/>
    <s v="Plates &amp; Bowls"/>
    <s v="500ml"/>
    <x v="57"/>
    <x v="4"/>
    <x v="58"/>
    <n v="1.5"/>
    <n v="651"/>
    <x v="57"/>
    <x v="1"/>
    <x v="2"/>
    <x v="0"/>
    <s v="Delivered"/>
    <n v="919"/>
    <n v="434"/>
    <x v="12"/>
    <x v="3"/>
    <x v="10"/>
    <x v="0"/>
    <x v="5"/>
    <m/>
  </r>
  <r>
    <d v="2026-09-29T00:00:00"/>
    <x v="2"/>
    <s v="Housekeeping Items"/>
    <s v="Standard"/>
    <x v="436"/>
    <x v="2"/>
    <x v="1135"/>
    <n v="100"/>
    <n v="36800"/>
    <x v="1001"/>
    <x v="0"/>
    <x v="1"/>
    <x v="2"/>
    <s v="Delayed"/>
    <n v="852"/>
    <n v="368"/>
    <x v="0"/>
    <x v="0"/>
    <x v="0"/>
    <x v="2"/>
    <x v="0"/>
    <m/>
  </r>
  <r>
    <d v="2026-09-30T00:00:00"/>
    <x v="4"/>
    <s v="Plates &amp; Bowls"/>
    <s v="500ml"/>
    <x v="147"/>
    <x v="4"/>
    <x v="736"/>
    <n v="1.5"/>
    <n v="733.5"/>
    <x v="682"/>
    <x v="0"/>
    <x v="2"/>
    <x v="0"/>
    <s v="Delivered"/>
    <n v="526"/>
    <n v="489"/>
    <x v="5"/>
    <x v="0"/>
    <x v="5"/>
    <x v="4"/>
    <x v="4"/>
    <m/>
  </r>
  <r>
    <d v="2026-10-01T00:00:00"/>
    <x v="3"/>
    <s v="Containers"/>
    <s v="1L"/>
    <x v="120"/>
    <x v="3"/>
    <x v="1136"/>
    <n v="3"/>
    <n v="243"/>
    <x v="122"/>
    <x v="2"/>
    <x v="1"/>
    <x v="2"/>
    <s v="Returned"/>
    <n v="917"/>
    <n v="81"/>
    <x v="2"/>
    <x v="2"/>
    <x v="2"/>
    <x v="2"/>
    <x v="9"/>
    <m/>
  </r>
  <r>
    <d v="2026-10-02T00:00:00"/>
    <x v="3"/>
    <s v="Containers"/>
    <s v="1L"/>
    <x v="444"/>
    <x v="3"/>
    <x v="1137"/>
    <n v="3"/>
    <n v="1155"/>
    <x v="968"/>
    <x v="0"/>
    <x v="2"/>
    <x v="1"/>
    <s v="Delayed"/>
    <n v="518"/>
    <n v="385"/>
    <x v="14"/>
    <x v="6"/>
    <x v="13"/>
    <x v="4"/>
    <x v="2"/>
    <m/>
  </r>
  <r>
    <d v="2026-10-03T00:00:00"/>
    <x v="1"/>
    <s v="Glass &amp; Bottles"/>
    <s v="750ml"/>
    <x v="242"/>
    <x v="1"/>
    <x v="1138"/>
    <n v="12"/>
    <n v="2652"/>
    <x v="1002"/>
    <x v="0"/>
    <x v="2"/>
    <x v="2"/>
    <s v="Delayed"/>
    <n v="626"/>
    <n v="221"/>
    <x v="7"/>
    <x v="5"/>
    <x v="7"/>
    <x v="2"/>
    <x v="5"/>
    <m/>
  </r>
  <r>
    <d v="2026-10-04T00:00:00"/>
    <x v="4"/>
    <s v="Plates &amp; Bowls"/>
    <s v="500ml"/>
    <x v="243"/>
    <x v="4"/>
    <x v="295"/>
    <n v="1.5"/>
    <n v="393"/>
    <x v="285"/>
    <x v="1"/>
    <x v="1"/>
    <x v="0"/>
    <s v="Returned"/>
    <n v="890"/>
    <n v="262"/>
    <x v="11"/>
    <x v="9"/>
    <x v="11"/>
    <x v="0"/>
    <x v="6"/>
    <m/>
  </r>
  <r>
    <d v="2026-10-05T00:00:00"/>
    <x v="5"/>
    <s v="Cutlery"/>
    <s v="3pcs"/>
    <x v="280"/>
    <x v="5"/>
    <x v="460"/>
    <n v="4"/>
    <n v="720"/>
    <x v="679"/>
    <x v="0"/>
    <x v="0"/>
    <x v="0"/>
    <s v="Delayed"/>
    <n v="607"/>
    <n v="180"/>
    <x v="13"/>
    <x v="2"/>
    <x v="12"/>
    <x v="2"/>
    <x v="9"/>
    <m/>
  </r>
  <r>
    <d v="2026-10-06T00:00:00"/>
    <x v="2"/>
    <s v="Housekeeping Items"/>
    <s v="Standard"/>
    <x v="406"/>
    <x v="2"/>
    <x v="1139"/>
    <n v="100"/>
    <n v="6500"/>
    <x v="1003"/>
    <x v="1"/>
    <x v="3"/>
    <x v="0"/>
    <s v="Delivered"/>
    <n v="936"/>
    <n v="65"/>
    <x v="4"/>
    <x v="3"/>
    <x v="4"/>
    <x v="1"/>
    <x v="5"/>
    <m/>
  </r>
  <r>
    <d v="2026-10-07T00:00:00"/>
    <x v="5"/>
    <s v="Cutlery"/>
    <s v="3pcs"/>
    <x v="396"/>
    <x v="5"/>
    <x v="1140"/>
    <n v="4"/>
    <n v="1396"/>
    <x v="1004"/>
    <x v="1"/>
    <x v="0"/>
    <x v="1"/>
    <s v="Delivered"/>
    <n v="978"/>
    <n v="349"/>
    <x v="17"/>
    <x v="11"/>
    <x v="16"/>
    <x v="1"/>
    <x v="9"/>
    <m/>
  </r>
  <r>
    <d v="2026-10-08T00:00:00"/>
    <x v="0"/>
    <s v="Takeaway Boxes"/>
    <s v="Large"/>
    <x v="37"/>
    <x v="0"/>
    <x v="859"/>
    <n v="5"/>
    <n v="1235"/>
    <x v="782"/>
    <x v="1"/>
    <x v="3"/>
    <x v="1"/>
    <s v="Delayed"/>
    <n v="621"/>
    <n v="247"/>
    <x v="1"/>
    <x v="1"/>
    <x v="1"/>
    <x v="3"/>
    <x v="4"/>
    <m/>
  </r>
  <r>
    <d v="2026-10-09T00:00:00"/>
    <x v="4"/>
    <s v="Plates &amp; Bowls"/>
    <s v="500ml"/>
    <x v="365"/>
    <x v="4"/>
    <x v="1141"/>
    <n v="1.5"/>
    <n v="112.5"/>
    <x v="183"/>
    <x v="2"/>
    <x v="3"/>
    <x v="2"/>
    <s v="Delivered"/>
    <n v="623"/>
    <n v="75"/>
    <x v="1"/>
    <x v="1"/>
    <x v="1"/>
    <x v="2"/>
    <x v="4"/>
    <m/>
  </r>
  <r>
    <d v="2026-10-10T00:00:00"/>
    <x v="3"/>
    <s v="Containers"/>
    <s v="1L"/>
    <x v="231"/>
    <x v="3"/>
    <x v="1142"/>
    <n v="3"/>
    <n v="531"/>
    <x v="1005"/>
    <x v="0"/>
    <x v="2"/>
    <x v="1"/>
    <s v="Delivered"/>
    <n v="768"/>
    <n v="177"/>
    <x v="12"/>
    <x v="3"/>
    <x v="10"/>
    <x v="1"/>
    <x v="0"/>
    <m/>
  </r>
  <r>
    <d v="2026-10-11T00:00:00"/>
    <x v="3"/>
    <s v="Containers"/>
    <s v="1L"/>
    <x v="152"/>
    <x v="3"/>
    <x v="1143"/>
    <n v="3"/>
    <n v="51"/>
    <x v="404"/>
    <x v="1"/>
    <x v="3"/>
    <x v="0"/>
    <s v="Delivered"/>
    <n v="528"/>
    <n v="17"/>
    <x v="8"/>
    <x v="6"/>
    <x v="8"/>
    <x v="0"/>
    <x v="6"/>
    <m/>
  </r>
  <r>
    <d v="2026-10-12T00:00:00"/>
    <x v="1"/>
    <s v="Glass &amp; Bottles"/>
    <s v="750ml"/>
    <x v="407"/>
    <x v="1"/>
    <x v="17"/>
    <n v="12"/>
    <n v="708"/>
    <x v="17"/>
    <x v="0"/>
    <x v="0"/>
    <x v="1"/>
    <s v="Returned"/>
    <n v="992"/>
    <n v="59"/>
    <x v="5"/>
    <x v="0"/>
    <x v="5"/>
    <x v="0"/>
    <x v="6"/>
    <m/>
  </r>
  <r>
    <d v="2026-10-13T00:00:00"/>
    <x v="3"/>
    <s v="Containers"/>
    <s v="1L"/>
    <x v="214"/>
    <x v="3"/>
    <x v="1144"/>
    <n v="3"/>
    <n v="123"/>
    <x v="265"/>
    <x v="2"/>
    <x v="0"/>
    <x v="1"/>
    <s v="Delayed"/>
    <n v="529"/>
    <n v="41"/>
    <x v="6"/>
    <x v="4"/>
    <x v="6"/>
    <x v="2"/>
    <x v="6"/>
    <m/>
  </r>
  <r>
    <d v="2026-10-14T00:00:00"/>
    <x v="4"/>
    <s v="Plates &amp; Bowls"/>
    <s v="500ml"/>
    <x v="158"/>
    <x v="4"/>
    <x v="1145"/>
    <n v="1.5"/>
    <n v="712.5"/>
    <x v="1006"/>
    <x v="0"/>
    <x v="2"/>
    <x v="0"/>
    <s v="Delivered"/>
    <n v="883"/>
    <n v="475"/>
    <x v="15"/>
    <x v="10"/>
    <x v="14"/>
    <x v="2"/>
    <x v="2"/>
    <m/>
  </r>
  <r>
    <d v="2026-10-15T00:00:00"/>
    <x v="0"/>
    <s v="Takeaway Boxes"/>
    <s v="Large"/>
    <x v="477"/>
    <x v="0"/>
    <x v="1146"/>
    <n v="5"/>
    <n v="625"/>
    <x v="746"/>
    <x v="2"/>
    <x v="3"/>
    <x v="0"/>
    <s v="Delivered"/>
    <n v="969"/>
    <n v="125"/>
    <x v="18"/>
    <x v="12"/>
    <x v="17"/>
    <x v="1"/>
    <x v="9"/>
    <m/>
  </r>
  <r>
    <d v="2026-10-16T00:00:00"/>
    <x v="4"/>
    <s v="Plates &amp; Bowls"/>
    <s v="500ml"/>
    <x v="145"/>
    <x v="4"/>
    <x v="158"/>
    <n v="1.5"/>
    <n v="300"/>
    <x v="153"/>
    <x v="1"/>
    <x v="2"/>
    <x v="1"/>
    <s v="Delayed"/>
    <n v="765"/>
    <n v="200"/>
    <x v="14"/>
    <x v="6"/>
    <x v="13"/>
    <x v="2"/>
    <x v="4"/>
    <m/>
  </r>
  <r>
    <d v="2026-10-17T00:00:00"/>
    <x v="1"/>
    <s v="Glass &amp; Bottles"/>
    <s v="750ml"/>
    <x v="246"/>
    <x v="1"/>
    <x v="619"/>
    <n v="12"/>
    <n v="5508"/>
    <x v="586"/>
    <x v="1"/>
    <x v="0"/>
    <x v="1"/>
    <s v="Returned"/>
    <n v="642"/>
    <n v="459"/>
    <x v="18"/>
    <x v="12"/>
    <x v="17"/>
    <x v="3"/>
    <x v="7"/>
    <m/>
  </r>
  <r>
    <d v="2026-10-18T00:00:00"/>
    <x v="4"/>
    <s v="Plates &amp; Bowls"/>
    <s v="500ml"/>
    <x v="171"/>
    <x v="4"/>
    <x v="836"/>
    <n v="1.5"/>
    <n v="528"/>
    <x v="766"/>
    <x v="1"/>
    <x v="2"/>
    <x v="0"/>
    <s v="Returned"/>
    <n v="834"/>
    <n v="352"/>
    <x v="6"/>
    <x v="4"/>
    <x v="6"/>
    <x v="3"/>
    <x v="4"/>
    <m/>
  </r>
  <r>
    <d v="2026-10-19T00:00:00"/>
    <x v="4"/>
    <s v="Plates &amp; Bowls"/>
    <s v="500ml"/>
    <x v="291"/>
    <x v="4"/>
    <x v="823"/>
    <n v="1.5"/>
    <n v="168"/>
    <x v="756"/>
    <x v="1"/>
    <x v="1"/>
    <x v="0"/>
    <s v="Delayed"/>
    <n v="780"/>
    <n v="112"/>
    <x v="11"/>
    <x v="9"/>
    <x v="11"/>
    <x v="3"/>
    <x v="11"/>
    <m/>
  </r>
  <r>
    <d v="2026-10-20T00:00:00"/>
    <x v="0"/>
    <s v="Takeaway Boxes"/>
    <s v="Large"/>
    <x v="252"/>
    <x v="0"/>
    <x v="1147"/>
    <n v="5"/>
    <n v="340"/>
    <x v="46"/>
    <x v="0"/>
    <x v="3"/>
    <x v="2"/>
    <s v="Delayed"/>
    <n v="806"/>
    <n v="68"/>
    <x v="18"/>
    <x v="12"/>
    <x v="17"/>
    <x v="2"/>
    <x v="2"/>
    <m/>
  </r>
  <r>
    <d v="2026-10-21T00:00:00"/>
    <x v="3"/>
    <s v="Containers"/>
    <s v="1L"/>
    <x v="478"/>
    <x v="3"/>
    <x v="1148"/>
    <n v="3"/>
    <n v="1395"/>
    <x v="1007"/>
    <x v="1"/>
    <x v="2"/>
    <x v="1"/>
    <s v="Delivered"/>
    <n v="571"/>
    <n v="465"/>
    <x v="0"/>
    <x v="0"/>
    <x v="0"/>
    <x v="1"/>
    <x v="6"/>
    <m/>
  </r>
  <r>
    <d v="2026-10-22T00:00:00"/>
    <x v="0"/>
    <s v="Takeaway Boxes"/>
    <s v="Large"/>
    <x v="138"/>
    <x v="0"/>
    <x v="654"/>
    <n v="5"/>
    <n v="2455"/>
    <x v="615"/>
    <x v="0"/>
    <x v="1"/>
    <x v="1"/>
    <s v="Returned"/>
    <n v="601"/>
    <n v="491"/>
    <x v="11"/>
    <x v="9"/>
    <x v="11"/>
    <x v="0"/>
    <x v="10"/>
    <m/>
  </r>
  <r>
    <d v="2026-10-23T00:00:00"/>
    <x v="2"/>
    <s v="Housekeeping Items"/>
    <s v="Standard"/>
    <x v="106"/>
    <x v="2"/>
    <x v="1149"/>
    <n v="100"/>
    <n v="3300"/>
    <x v="1008"/>
    <x v="0"/>
    <x v="3"/>
    <x v="0"/>
    <s v="Delayed"/>
    <n v="544"/>
    <n v="33"/>
    <x v="7"/>
    <x v="5"/>
    <x v="7"/>
    <x v="1"/>
    <x v="5"/>
    <m/>
  </r>
  <r>
    <d v="2026-10-24T00:00:00"/>
    <x v="0"/>
    <s v="Takeaway Boxes"/>
    <s v="Large"/>
    <x v="389"/>
    <x v="0"/>
    <x v="1150"/>
    <n v="5"/>
    <n v="2210"/>
    <x v="1009"/>
    <x v="2"/>
    <x v="1"/>
    <x v="2"/>
    <s v="Delivered"/>
    <n v="505"/>
    <n v="442"/>
    <x v="10"/>
    <x v="8"/>
    <x v="10"/>
    <x v="2"/>
    <x v="1"/>
    <m/>
  </r>
  <r>
    <d v="2026-10-25T00:00:00"/>
    <x v="5"/>
    <s v="Cutlery"/>
    <s v="3pcs"/>
    <x v="301"/>
    <x v="5"/>
    <x v="1151"/>
    <n v="4"/>
    <n v="504"/>
    <x v="613"/>
    <x v="0"/>
    <x v="2"/>
    <x v="0"/>
    <s v="Delivered"/>
    <n v="579"/>
    <n v="126"/>
    <x v="3"/>
    <x v="2"/>
    <x v="3"/>
    <x v="3"/>
    <x v="10"/>
    <m/>
  </r>
  <r>
    <d v="2026-10-26T00:00:00"/>
    <x v="4"/>
    <s v="Plates &amp; Bowls"/>
    <s v="500ml"/>
    <x v="171"/>
    <x v="4"/>
    <x v="836"/>
    <n v="1.5"/>
    <n v="528"/>
    <x v="766"/>
    <x v="2"/>
    <x v="2"/>
    <x v="2"/>
    <s v="Delivered"/>
    <n v="863"/>
    <n v="352"/>
    <x v="9"/>
    <x v="7"/>
    <x v="9"/>
    <x v="3"/>
    <x v="10"/>
    <m/>
  </r>
  <r>
    <d v="2026-10-27T00:00:00"/>
    <x v="5"/>
    <s v="Cutlery"/>
    <s v="3pcs"/>
    <x v="137"/>
    <x v="5"/>
    <x v="146"/>
    <n v="4"/>
    <n v="328"/>
    <x v="142"/>
    <x v="1"/>
    <x v="1"/>
    <x v="0"/>
    <s v="Returned"/>
    <n v="909"/>
    <n v="82"/>
    <x v="17"/>
    <x v="11"/>
    <x v="16"/>
    <x v="2"/>
    <x v="3"/>
    <m/>
  </r>
  <r>
    <d v="2026-10-28T00:00:00"/>
    <x v="2"/>
    <s v="Housekeeping Items"/>
    <s v="Standard"/>
    <x v="109"/>
    <x v="2"/>
    <x v="253"/>
    <n v="100"/>
    <n v="35600"/>
    <x v="246"/>
    <x v="1"/>
    <x v="3"/>
    <x v="0"/>
    <s v="Delivered"/>
    <n v="595"/>
    <n v="356"/>
    <x v="11"/>
    <x v="9"/>
    <x v="11"/>
    <x v="4"/>
    <x v="6"/>
    <m/>
  </r>
  <r>
    <d v="2026-10-29T00:00:00"/>
    <x v="3"/>
    <s v="Containers"/>
    <s v="1L"/>
    <x v="64"/>
    <x v="3"/>
    <x v="1152"/>
    <n v="3"/>
    <n v="423"/>
    <x v="1000"/>
    <x v="1"/>
    <x v="3"/>
    <x v="2"/>
    <s v="Delivered"/>
    <n v="615"/>
    <n v="141"/>
    <x v="19"/>
    <x v="13"/>
    <x v="18"/>
    <x v="2"/>
    <x v="10"/>
    <m/>
  </r>
  <r>
    <d v="2026-10-30T00:00:00"/>
    <x v="0"/>
    <s v="Takeaway Boxes"/>
    <s v="Large"/>
    <x v="106"/>
    <x v="0"/>
    <x v="1153"/>
    <n v="5"/>
    <n v="165"/>
    <x v="1010"/>
    <x v="0"/>
    <x v="0"/>
    <x v="0"/>
    <s v="Delayed"/>
    <n v="883"/>
    <n v="33"/>
    <x v="5"/>
    <x v="0"/>
    <x v="5"/>
    <x v="0"/>
    <x v="6"/>
    <m/>
  </r>
  <r>
    <d v="2026-10-31T00:00:00"/>
    <x v="0"/>
    <s v="Takeaway Boxes"/>
    <s v="Large"/>
    <x v="404"/>
    <x v="0"/>
    <x v="1154"/>
    <n v="5"/>
    <n v="1710"/>
    <x v="1011"/>
    <x v="1"/>
    <x v="3"/>
    <x v="2"/>
    <s v="Delivered"/>
    <n v="756"/>
    <n v="342"/>
    <x v="3"/>
    <x v="2"/>
    <x v="3"/>
    <x v="4"/>
    <x v="2"/>
    <m/>
  </r>
  <r>
    <d v="2026-11-01T00:00:00"/>
    <x v="2"/>
    <s v="Housekeeping Items"/>
    <s v="Standard"/>
    <x v="231"/>
    <x v="2"/>
    <x v="279"/>
    <n v="100"/>
    <n v="17700"/>
    <x v="270"/>
    <x v="2"/>
    <x v="2"/>
    <x v="0"/>
    <s v="Delivered"/>
    <n v="587"/>
    <n v="177"/>
    <x v="5"/>
    <x v="0"/>
    <x v="5"/>
    <x v="2"/>
    <x v="10"/>
    <m/>
  </r>
  <r>
    <d v="2026-11-02T00:00:00"/>
    <x v="1"/>
    <s v="Glass &amp; Bottles"/>
    <s v="750ml"/>
    <x v="7"/>
    <x v="1"/>
    <x v="630"/>
    <n v="12"/>
    <n v="2100"/>
    <x v="543"/>
    <x v="2"/>
    <x v="3"/>
    <x v="0"/>
    <s v="Delayed"/>
    <n v="655"/>
    <n v="175"/>
    <x v="7"/>
    <x v="5"/>
    <x v="7"/>
    <x v="2"/>
    <x v="5"/>
    <m/>
  </r>
  <r>
    <d v="2026-11-03T00:00:00"/>
    <x v="3"/>
    <s v="Containers"/>
    <s v="1L"/>
    <x v="53"/>
    <x v="3"/>
    <x v="1155"/>
    <n v="3"/>
    <n v="459"/>
    <x v="1012"/>
    <x v="2"/>
    <x v="0"/>
    <x v="1"/>
    <s v="Delivered"/>
    <n v="839"/>
    <n v="153"/>
    <x v="0"/>
    <x v="0"/>
    <x v="0"/>
    <x v="1"/>
    <x v="1"/>
    <m/>
  </r>
  <r>
    <d v="2026-11-04T00:00:00"/>
    <x v="5"/>
    <s v="Cutlery"/>
    <s v="3pcs"/>
    <x v="21"/>
    <x v="5"/>
    <x v="241"/>
    <n v="4"/>
    <n v="916"/>
    <x v="22"/>
    <x v="0"/>
    <x v="2"/>
    <x v="1"/>
    <s v="Returned"/>
    <n v="547"/>
    <n v="229"/>
    <x v="6"/>
    <x v="4"/>
    <x v="6"/>
    <x v="4"/>
    <x v="1"/>
    <m/>
  </r>
  <r>
    <d v="2026-11-05T00:00:00"/>
    <x v="1"/>
    <s v="Glass &amp; Bottles"/>
    <s v="750ml"/>
    <x v="195"/>
    <x v="1"/>
    <x v="1156"/>
    <n v="12"/>
    <n v="4932"/>
    <x v="1013"/>
    <x v="0"/>
    <x v="3"/>
    <x v="0"/>
    <s v="Returned"/>
    <n v="866"/>
    <n v="411"/>
    <x v="14"/>
    <x v="6"/>
    <x v="13"/>
    <x v="3"/>
    <x v="11"/>
    <m/>
  </r>
  <r>
    <d v="2026-11-06T00:00:00"/>
    <x v="1"/>
    <s v="Glass &amp; Bottles"/>
    <s v="750ml"/>
    <x v="408"/>
    <x v="1"/>
    <x v="1027"/>
    <n v="12"/>
    <n v="3684"/>
    <x v="918"/>
    <x v="2"/>
    <x v="1"/>
    <x v="1"/>
    <s v="Delivered"/>
    <n v="756"/>
    <n v="307"/>
    <x v="12"/>
    <x v="3"/>
    <x v="10"/>
    <x v="1"/>
    <x v="1"/>
    <m/>
  </r>
  <r>
    <d v="2026-11-07T00:00:00"/>
    <x v="5"/>
    <s v="Cutlery"/>
    <s v="3pcs"/>
    <x v="389"/>
    <x v="5"/>
    <x v="1157"/>
    <n v="4"/>
    <n v="1768"/>
    <x v="1014"/>
    <x v="1"/>
    <x v="1"/>
    <x v="0"/>
    <s v="Delayed"/>
    <n v="649"/>
    <n v="442"/>
    <x v="8"/>
    <x v="6"/>
    <x v="8"/>
    <x v="3"/>
    <x v="7"/>
    <m/>
  </r>
  <r>
    <d v="2026-11-08T00:00:00"/>
    <x v="4"/>
    <s v="Plates &amp; Bowls"/>
    <s v="500ml"/>
    <x v="31"/>
    <x v="4"/>
    <x v="1158"/>
    <n v="1.5"/>
    <n v="510"/>
    <x v="1015"/>
    <x v="2"/>
    <x v="0"/>
    <x v="2"/>
    <s v="Delivered"/>
    <n v="656"/>
    <n v="340"/>
    <x v="1"/>
    <x v="1"/>
    <x v="1"/>
    <x v="2"/>
    <x v="0"/>
    <m/>
  </r>
  <r>
    <d v="2026-11-09T00:00:00"/>
    <x v="1"/>
    <s v="Glass &amp; Bottles"/>
    <s v="750ml"/>
    <x v="153"/>
    <x v="1"/>
    <x v="627"/>
    <n v="12"/>
    <n v="3888"/>
    <x v="593"/>
    <x v="1"/>
    <x v="2"/>
    <x v="1"/>
    <s v="Delivered"/>
    <n v="785"/>
    <n v="324"/>
    <x v="4"/>
    <x v="3"/>
    <x v="4"/>
    <x v="1"/>
    <x v="1"/>
    <m/>
  </r>
  <r>
    <d v="2026-11-10T00:00:00"/>
    <x v="5"/>
    <s v="Cutlery"/>
    <s v="3pcs"/>
    <x v="256"/>
    <x v="5"/>
    <x v="64"/>
    <n v="4"/>
    <n v="816"/>
    <x v="354"/>
    <x v="2"/>
    <x v="2"/>
    <x v="1"/>
    <s v="Returned"/>
    <n v="749"/>
    <n v="204"/>
    <x v="9"/>
    <x v="7"/>
    <x v="9"/>
    <x v="2"/>
    <x v="5"/>
    <m/>
  </r>
  <r>
    <d v="2026-11-11T00:00:00"/>
    <x v="2"/>
    <s v="Housekeeping Items"/>
    <s v="Standard"/>
    <x v="475"/>
    <x v="2"/>
    <x v="616"/>
    <n v="100"/>
    <n v="1800"/>
    <x v="982"/>
    <x v="2"/>
    <x v="0"/>
    <x v="0"/>
    <s v="Delivered"/>
    <n v="772"/>
    <n v="18"/>
    <x v="15"/>
    <x v="10"/>
    <x v="14"/>
    <x v="0"/>
    <x v="8"/>
    <m/>
  </r>
  <r>
    <d v="2026-11-12T00:00:00"/>
    <x v="1"/>
    <s v="Glass &amp; Bottles"/>
    <s v="750ml"/>
    <x v="102"/>
    <x v="1"/>
    <x v="1159"/>
    <n v="12"/>
    <n v="4524"/>
    <x v="1016"/>
    <x v="0"/>
    <x v="1"/>
    <x v="2"/>
    <s v="Delivered"/>
    <n v="695"/>
    <n v="377"/>
    <x v="6"/>
    <x v="4"/>
    <x v="6"/>
    <x v="1"/>
    <x v="4"/>
    <m/>
  </r>
  <r>
    <d v="2026-11-13T00:00:00"/>
    <x v="5"/>
    <s v="Cutlery"/>
    <s v="3pcs"/>
    <x v="328"/>
    <x v="5"/>
    <x v="483"/>
    <n v="4"/>
    <n v="1564"/>
    <x v="455"/>
    <x v="0"/>
    <x v="1"/>
    <x v="0"/>
    <s v="Delayed"/>
    <n v="769"/>
    <n v="391"/>
    <x v="12"/>
    <x v="3"/>
    <x v="10"/>
    <x v="0"/>
    <x v="10"/>
    <m/>
  </r>
  <r>
    <d v="2026-11-14T00:00:00"/>
    <x v="5"/>
    <s v="Cutlery"/>
    <s v="3pcs"/>
    <x v="268"/>
    <x v="5"/>
    <x v="1160"/>
    <n v="4"/>
    <n v="316"/>
    <x v="605"/>
    <x v="1"/>
    <x v="1"/>
    <x v="2"/>
    <s v="Delivered"/>
    <n v="971"/>
    <n v="79"/>
    <x v="9"/>
    <x v="7"/>
    <x v="9"/>
    <x v="3"/>
    <x v="3"/>
    <m/>
  </r>
  <r>
    <d v="2026-11-15T00:00:00"/>
    <x v="4"/>
    <s v="Plates &amp; Bowls"/>
    <s v="500ml"/>
    <x v="409"/>
    <x v="4"/>
    <x v="1161"/>
    <n v="1.5"/>
    <n v="603"/>
    <x v="870"/>
    <x v="0"/>
    <x v="2"/>
    <x v="0"/>
    <s v="Delivered"/>
    <n v="794"/>
    <n v="402"/>
    <x v="13"/>
    <x v="2"/>
    <x v="12"/>
    <x v="0"/>
    <x v="9"/>
    <m/>
  </r>
  <r>
    <d v="2026-11-16T00:00:00"/>
    <x v="3"/>
    <s v="Containers"/>
    <s v="1L"/>
    <x v="456"/>
    <x v="3"/>
    <x v="1162"/>
    <n v="3"/>
    <n v="132"/>
    <x v="1017"/>
    <x v="0"/>
    <x v="1"/>
    <x v="0"/>
    <s v="Returned"/>
    <n v="533"/>
    <n v="44"/>
    <x v="16"/>
    <x v="4"/>
    <x v="15"/>
    <x v="4"/>
    <x v="8"/>
    <m/>
  </r>
  <r>
    <d v="2026-11-17T00:00:00"/>
    <x v="4"/>
    <s v="Plates &amp; Bowls"/>
    <s v="500ml"/>
    <x v="410"/>
    <x v="4"/>
    <x v="888"/>
    <n v="1.5"/>
    <n v="268.5"/>
    <x v="804"/>
    <x v="0"/>
    <x v="0"/>
    <x v="2"/>
    <s v="Delayed"/>
    <n v="836"/>
    <n v="179"/>
    <x v="9"/>
    <x v="7"/>
    <x v="9"/>
    <x v="4"/>
    <x v="11"/>
    <m/>
  </r>
  <r>
    <d v="2026-11-18T00:00:00"/>
    <x v="4"/>
    <s v="Plates &amp; Bowls"/>
    <s v="500ml"/>
    <x v="113"/>
    <x v="4"/>
    <x v="1163"/>
    <n v="1.5"/>
    <n v="493.5"/>
    <x v="1018"/>
    <x v="2"/>
    <x v="0"/>
    <x v="2"/>
    <s v="Returned"/>
    <n v="782"/>
    <n v="329"/>
    <x v="11"/>
    <x v="9"/>
    <x v="11"/>
    <x v="1"/>
    <x v="5"/>
    <m/>
  </r>
  <r>
    <d v="2026-11-19T00:00:00"/>
    <x v="3"/>
    <s v="Containers"/>
    <s v="1L"/>
    <x v="68"/>
    <x v="3"/>
    <x v="70"/>
    <n v="3"/>
    <n v="810"/>
    <x v="69"/>
    <x v="2"/>
    <x v="2"/>
    <x v="2"/>
    <s v="Delivered"/>
    <n v="665"/>
    <n v="270"/>
    <x v="13"/>
    <x v="2"/>
    <x v="12"/>
    <x v="0"/>
    <x v="1"/>
    <m/>
  </r>
  <r>
    <d v="2026-11-20T00:00:00"/>
    <x v="3"/>
    <s v="Containers"/>
    <s v="1L"/>
    <x v="349"/>
    <x v="3"/>
    <x v="1164"/>
    <n v="3"/>
    <n v="831"/>
    <x v="503"/>
    <x v="0"/>
    <x v="0"/>
    <x v="1"/>
    <s v="Returned"/>
    <n v="844"/>
    <n v="277"/>
    <x v="11"/>
    <x v="9"/>
    <x v="11"/>
    <x v="4"/>
    <x v="2"/>
    <m/>
  </r>
  <r>
    <d v="2026-11-21T00:00:00"/>
    <x v="3"/>
    <s v="Containers"/>
    <s v="1L"/>
    <x v="359"/>
    <x v="3"/>
    <x v="1165"/>
    <n v="3"/>
    <n v="714"/>
    <x v="1019"/>
    <x v="2"/>
    <x v="3"/>
    <x v="2"/>
    <s v="Delayed"/>
    <n v="880"/>
    <n v="238"/>
    <x v="5"/>
    <x v="0"/>
    <x v="5"/>
    <x v="4"/>
    <x v="8"/>
    <m/>
  </r>
  <r>
    <d v="2026-11-22T00:00:00"/>
    <x v="1"/>
    <s v="Glass &amp; Bottles"/>
    <s v="750ml"/>
    <x v="410"/>
    <x v="1"/>
    <x v="1166"/>
    <n v="12"/>
    <n v="2148"/>
    <x v="1020"/>
    <x v="2"/>
    <x v="3"/>
    <x v="0"/>
    <s v="Delivered"/>
    <n v="702"/>
    <n v="179"/>
    <x v="8"/>
    <x v="6"/>
    <x v="8"/>
    <x v="3"/>
    <x v="2"/>
    <m/>
  </r>
  <r>
    <d v="2026-11-23T00:00:00"/>
    <x v="0"/>
    <s v="Takeaway Boxes"/>
    <s v="Large"/>
    <x v="330"/>
    <x v="0"/>
    <x v="1167"/>
    <n v="5"/>
    <n v="1625"/>
    <x v="1021"/>
    <x v="1"/>
    <x v="2"/>
    <x v="1"/>
    <s v="Delivered"/>
    <n v="672"/>
    <n v="325"/>
    <x v="4"/>
    <x v="3"/>
    <x v="4"/>
    <x v="1"/>
    <x v="8"/>
    <m/>
  </r>
  <r>
    <d v="2026-11-24T00:00:00"/>
    <x v="5"/>
    <s v="Cutlery"/>
    <s v="3pcs"/>
    <x v="248"/>
    <x v="5"/>
    <x v="1168"/>
    <n v="4"/>
    <n v="1732"/>
    <x v="291"/>
    <x v="1"/>
    <x v="0"/>
    <x v="1"/>
    <s v="Delivered"/>
    <n v="527"/>
    <n v="433"/>
    <x v="13"/>
    <x v="2"/>
    <x v="12"/>
    <x v="3"/>
    <x v="1"/>
    <m/>
  </r>
  <r>
    <d v="2026-11-25T00:00:00"/>
    <x v="3"/>
    <s v="Containers"/>
    <s v="1L"/>
    <x v="140"/>
    <x v="3"/>
    <x v="1071"/>
    <n v="3"/>
    <n v="1098"/>
    <x v="950"/>
    <x v="0"/>
    <x v="3"/>
    <x v="2"/>
    <s v="Returned"/>
    <n v="676"/>
    <n v="366"/>
    <x v="17"/>
    <x v="11"/>
    <x v="16"/>
    <x v="2"/>
    <x v="10"/>
    <m/>
  </r>
  <r>
    <d v="2026-11-26T00:00:00"/>
    <x v="5"/>
    <s v="Cutlery"/>
    <s v="3pcs"/>
    <x v="439"/>
    <x v="5"/>
    <x v="1169"/>
    <n v="4"/>
    <n v="1116"/>
    <x v="225"/>
    <x v="1"/>
    <x v="2"/>
    <x v="1"/>
    <s v="Delayed"/>
    <n v="964"/>
    <n v="279"/>
    <x v="2"/>
    <x v="2"/>
    <x v="2"/>
    <x v="1"/>
    <x v="9"/>
    <m/>
  </r>
  <r>
    <d v="2026-11-27T00:00:00"/>
    <x v="4"/>
    <s v="Plates &amp; Bowls"/>
    <s v="500ml"/>
    <x v="450"/>
    <x v="4"/>
    <x v="1170"/>
    <n v="1.5"/>
    <n v="337.5"/>
    <x v="1022"/>
    <x v="2"/>
    <x v="1"/>
    <x v="1"/>
    <s v="Returned"/>
    <n v="620"/>
    <n v="225"/>
    <x v="3"/>
    <x v="2"/>
    <x v="3"/>
    <x v="1"/>
    <x v="8"/>
    <m/>
  </r>
  <r>
    <d v="2026-11-28T00:00:00"/>
    <x v="1"/>
    <s v="Glass &amp; Bottles"/>
    <s v="750ml"/>
    <x v="341"/>
    <x v="1"/>
    <x v="872"/>
    <n v="12"/>
    <n v="2484"/>
    <x v="790"/>
    <x v="2"/>
    <x v="3"/>
    <x v="0"/>
    <s v="Returned"/>
    <n v="902"/>
    <n v="207"/>
    <x v="10"/>
    <x v="8"/>
    <x v="10"/>
    <x v="1"/>
    <x v="3"/>
    <m/>
  </r>
  <r>
    <d v="2026-11-29T00:00:00"/>
    <x v="5"/>
    <s v="Cutlery"/>
    <s v="3pcs"/>
    <x v="152"/>
    <x v="5"/>
    <x v="429"/>
    <n v="4"/>
    <n v="68"/>
    <x v="404"/>
    <x v="0"/>
    <x v="3"/>
    <x v="1"/>
    <s v="Returned"/>
    <n v="692"/>
    <n v="17"/>
    <x v="4"/>
    <x v="3"/>
    <x v="4"/>
    <x v="1"/>
    <x v="10"/>
    <m/>
  </r>
  <r>
    <d v="2026-11-30T00:00:00"/>
    <x v="3"/>
    <s v="Containers"/>
    <s v="1L"/>
    <x v="418"/>
    <x v="3"/>
    <x v="1171"/>
    <n v="3"/>
    <n v="267"/>
    <x v="689"/>
    <x v="0"/>
    <x v="1"/>
    <x v="1"/>
    <s v="Returned"/>
    <n v="967"/>
    <n v="89"/>
    <x v="13"/>
    <x v="2"/>
    <x v="12"/>
    <x v="4"/>
    <x v="2"/>
    <m/>
  </r>
  <r>
    <d v="2026-12-01T00:00:00"/>
    <x v="1"/>
    <s v="Glass &amp; Bottles"/>
    <s v="750ml"/>
    <x v="229"/>
    <x v="1"/>
    <x v="1172"/>
    <n v="12"/>
    <n v="1632"/>
    <x v="1023"/>
    <x v="1"/>
    <x v="3"/>
    <x v="1"/>
    <s v="Delivered"/>
    <n v="594"/>
    <n v="136"/>
    <x v="10"/>
    <x v="8"/>
    <x v="10"/>
    <x v="4"/>
    <x v="5"/>
    <m/>
  </r>
  <r>
    <d v="2026-12-02T00:00:00"/>
    <x v="1"/>
    <s v="Glass &amp; Bottles"/>
    <s v="750ml"/>
    <x v="366"/>
    <x v="1"/>
    <x v="918"/>
    <n v="12"/>
    <n v="5652"/>
    <x v="833"/>
    <x v="2"/>
    <x v="0"/>
    <x v="2"/>
    <s v="Delayed"/>
    <n v="563"/>
    <n v="471"/>
    <x v="4"/>
    <x v="3"/>
    <x v="4"/>
    <x v="0"/>
    <x v="7"/>
    <m/>
  </r>
  <r>
    <d v="2026-12-03T00:00:00"/>
    <x v="1"/>
    <s v="Glass &amp; Bottles"/>
    <s v="750ml"/>
    <x v="364"/>
    <x v="1"/>
    <x v="817"/>
    <n v="12"/>
    <n v="4032"/>
    <x v="751"/>
    <x v="2"/>
    <x v="3"/>
    <x v="0"/>
    <s v="Returned"/>
    <n v="931"/>
    <n v="336"/>
    <x v="17"/>
    <x v="11"/>
    <x v="16"/>
    <x v="4"/>
    <x v="10"/>
    <m/>
  </r>
  <r>
    <d v="2026-12-04T00:00:00"/>
    <x v="1"/>
    <s v="Glass &amp; Bottles"/>
    <s v="750ml"/>
    <x v="163"/>
    <x v="1"/>
    <x v="378"/>
    <n v="12"/>
    <n v="3732"/>
    <x v="360"/>
    <x v="0"/>
    <x v="1"/>
    <x v="2"/>
    <s v="Returned"/>
    <n v="892"/>
    <n v="311"/>
    <x v="11"/>
    <x v="9"/>
    <x v="11"/>
    <x v="1"/>
    <x v="10"/>
    <m/>
  </r>
  <r>
    <d v="2026-12-05T00:00:00"/>
    <x v="0"/>
    <s v="Takeaway Boxes"/>
    <s v="Large"/>
    <x v="187"/>
    <x v="0"/>
    <x v="1173"/>
    <n v="5"/>
    <n v="1600"/>
    <x v="214"/>
    <x v="0"/>
    <x v="3"/>
    <x v="0"/>
    <s v="Delivered"/>
    <n v="632"/>
    <n v="320"/>
    <x v="4"/>
    <x v="3"/>
    <x v="4"/>
    <x v="3"/>
    <x v="4"/>
    <m/>
  </r>
  <r>
    <d v="2026-12-06T00:00:00"/>
    <x v="1"/>
    <s v="Glass &amp; Bottles"/>
    <s v="750ml"/>
    <x v="401"/>
    <x v="1"/>
    <x v="1174"/>
    <n v="12"/>
    <n v="3432"/>
    <x v="1024"/>
    <x v="2"/>
    <x v="3"/>
    <x v="2"/>
    <s v="Delayed"/>
    <n v="791"/>
    <n v="286"/>
    <x v="19"/>
    <x v="13"/>
    <x v="18"/>
    <x v="1"/>
    <x v="3"/>
    <m/>
  </r>
  <r>
    <d v="2026-12-07T00:00:00"/>
    <x v="5"/>
    <s v="Cutlery"/>
    <s v="3pcs"/>
    <x v="343"/>
    <x v="5"/>
    <x v="319"/>
    <n v="4"/>
    <n v="1232"/>
    <x v="1025"/>
    <x v="2"/>
    <x v="3"/>
    <x v="2"/>
    <s v="Returned"/>
    <n v="721"/>
    <n v="308"/>
    <x v="7"/>
    <x v="5"/>
    <x v="7"/>
    <x v="1"/>
    <x v="1"/>
    <m/>
  </r>
  <r>
    <d v="2026-12-08T00:00:00"/>
    <x v="5"/>
    <s v="Cutlery"/>
    <s v="3pcs"/>
    <x v="477"/>
    <x v="5"/>
    <x v="845"/>
    <n v="4"/>
    <n v="500"/>
    <x v="369"/>
    <x v="1"/>
    <x v="0"/>
    <x v="2"/>
    <s v="Delivered"/>
    <n v="934"/>
    <n v="125"/>
    <x v="12"/>
    <x v="3"/>
    <x v="10"/>
    <x v="4"/>
    <x v="9"/>
    <m/>
  </r>
  <r>
    <d v="2026-12-09T00:00:00"/>
    <x v="3"/>
    <s v="Containers"/>
    <s v="1L"/>
    <x v="225"/>
    <x v="3"/>
    <x v="1175"/>
    <n v="3"/>
    <n v="1374"/>
    <x v="281"/>
    <x v="2"/>
    <x v="1"/>
    <x v="1"/>
    <s v="Delayed"/>
    <n v="634"/>
    <n v="458"/>
    <x v="11"/>
    <x v="9"/>
    <x v="11"/>
    <x v="4"/>
    <x v="6"/>
    <m/>
  </r>
  <r>
    <d v="2026-12-10T00:00:00"/>
    <x v="2"/>
    <s v="Housekeeping Items"/>
    <s v="Standard"/>
    <x v="375"/>
    <x v="2"/>
    <x v="981"/>
    <n v="100"/>
    <n v="24500"/>
    <x v="883"/>
    <x v="2"/>
    <x v="1"/>
    <x v="1"/>
    <s v="Delayed"/>
    <n v="788"/>
    <n v="245"/>
    <x v="7"/>
    <x v="5"/>
    <x v="7"/>
    <x v="3"/>
    <x v="2"/>
    <m/>
  </r>
  <r>
    <d v="2026-12-11T00:00:00"/>
    <x v="0"/>
    <s v="Takeaway Boxes"/>
    <s v="Large"/>
    <x v="187"/>
    <x v="0"/>
    <x v="1173"/>
    <n v="5"/>
    <n v="1600"/>
    <x v="214"/>
    <x v="1"/>
    <x v="3"/>
    <x v="0"/>
    <s v="Delayed"/>
    <n v="899"/>
    <n v="320"/>
    <x v="12"/>
    <x v="3"/>
    <x v="10"/>
    <x v="3"/>
    <x v="4"/>
    <m/>
  </r>
  <r>
    <d v="2026-12-12T00:00:00"/>
    <x v="5"/>
    <s v="Cutlery"/>
    <s v="3pcs"/>
    <x v="477"/>
    <x v="5"/>
    <x v="845"/>
    <n v="4"/>
    <n v="500"/>
    <x v="369"/>
    <x v="2"/>
    <x v="0"/>
    <x v="2"/>
    <s v="Delivered"/>
    <n v="704"/>
    <n v="125"/>
    <x v="2"/>
    <x v="2"/>
    <x v="2"/>
    <x v="4"/>
    <x v="4"/>
    <m/>
  </r>
  <r>
    <d v="2026-12-13T00:00:00"/>
    <x v="0"/>
    <s v="Takeaway Boxes"/>
    <s v="Large"/>
    <x v="285"/>
    <x v="0"/>
    <x v="346"/>
    <n v="5"/>
    <n v="575"/>
    <x v="430"/>
    <x v="0"/>
    <x v="0"/>
    <x v="2"/>
    <s v="Returned"/>
    <n v="752"/>
    <n v="115"/>
    <x v="18"/>
    <x v="12"/>
    <x v="17"/>
    <x v="0"/>
    <x v="11"/>
    <m/>
  </r>
  <r>
    <d v="2026-12-14T00:00:00"/>
    <x v="5"/>
    <s v="Cutlery"/>
    <s v="3pcs"/>
    <x v="399"/>
    <x v="5"/>
    <x v="1176"/>
    <n v="4"/>
    <n v="368"/>
    <x v="827"/>
    <x v="2"/>
    <x v="2"/>
    <x v="0"/>
    <s v="Returned"/>
    <n v="680"/>
    <n v="92"/>
    <x v="9"/>
    <x v="7"/>
    <x v="9"/>
    <x v="4"/>
    <x v="0"/>
    <m/>
  </r>
  <r>
    <d v="2026-12-15T00:00:00"/>
    <x v="1"/>
    <s v="Glass &amp; Bottles"/>
    <s v="750ml"/>
    <x v="414"/>
    <x v="1"/>
    <x v="191"/>
    <n v="12"/>
    <n v="456"/>
    <x v="774"/>
    <x v="0"/>
    <x v="2"/>
    <x v="2"/>
    <s v="Returned"/>
    <n v="981"/>
    <n v="38"/>
    <x v="5"/>
    <x v="0"/>
    <x v="5"/>
    <x v="4"/>
    <x v="2"/>
    <m/>
  </r>
  <r>
    <d v="2026-12-16T00:00:00"/>
    <x v="1"/>
    <s v="Glass &amp; Bottles"/>
    <s v="750ml"/>
    <x v="202"/>
    <x v="1"/>
    <x v="232"/>
    <n v="12"/>
    <n v="5340"/>
    <x v="226"/>
    <x v="1"/>
    <x v="3"/>
    <x v="2"/>
    <s v="Returned"/>
    <n v="548"/>
    <n v="445"/>
    <x v="14"/>
    <x v="6"/>
    <x v="13"/>
    <x v="4"/>
    <x v="11"/>
    <m/>
  </r>
  <r>
    <d v="2026-12-17T00:00:00"/>
    <x v="4"/>
    <s v="Plates &amp; Bowls"/>
    <s v="500ml"/>
    <x v="424"/>
    <x v="4"/>
    <x v="1177"/>
    <n v="1.5"/>
    <n v="40.5"/>
    <x v="1026"/>
    <x v="2"/>
    <x v="2"/>
    <x v="0"/>
    <s v="Delayed"/>
    <n v="804"/>
    <n v="27"/>
    <x v="2"/>
    <x v="2"/>
    <x v="2"/>
    <x v="1"/>
    <x v="3"/>
    <m/>
  </r>
  <r>
    <d v="2026-12-18T00:00:00"/>
    <x v="0"/>
    <s v="Takeaway Boxes"/>
    <s v="Large"/>
    <x v="199"/>
    <x v="0"/>
    <x v="1178"/>
    <n v="5"/>
    <n v="2000"/>
    <x v="939"/>
    <x v="2"/>
    <x v="0"/>
    <x v="1"/>
    <s v="Delayed"/>
    <n v="710"/>
    <n v="400"/>
    <x v="1"/>
    <x v="1"/>
    <x v="1"/>
    <x v="3"/>
    <x v="4"/>
    <m/>
  </r>
  <r>
    <d v="2026-12-19T00:00:00"/>
    <x v="1"/>
    <s v="Glass &amp; Bottles"/>
    <s v="750ml"/>
    <x v="66"/>
    <x v="1"/>
    <x v="777"/>
    <n v="12"/>
    <n v="4608"/>
    <x v="720"/>
    <x v="1"/>
    <x v="2"/>
    <x v="1"/>
    <s v="Returned"/>
    <n v="687"/>
    <n v="384"/>
    <x v="14"/>
    <x v="6"/>
    <x v="13"/>
    <x v="4"/>
    <x v="3"/>
    <m/>
  </r>
  <r>
    <d v="2026-12-20T00:00:00"/>
    <x v="5"/>
    <s v="Cutlery"/>
    <s v="3pcs"/>
    <x v="346"/>
    <x v="5"/>
    <x v="1179"/>
    <n v="4"/>
    <n v="1272"/>
    <x v="814"/>
    <x v="1"/>
    <x v="3"/>
    <x v="1"/>
    <s v="Delivered"/>
    <n v="531"/>
    <n v="318"/>
    <x v="10"/>
    <x v="8"/>
    <x v="10"/>
    <x v="2"/>
    <x v="0"/>
    <m/>
  </r>
  <r>
    <d v="2026-12-21T00:00:00"/>
    <x v="5"/>
    <s v="Cutlery"/>
    <s v="3pcs"/>
    <x v="323"/>
    <x v="5"/>
    <x v="1180"/>
    <n v="4"/>
    <n v="184"/>
    <x v="677"/>
    <x v="0"/>
    <x v="0"/>
    <x v="1"/>
    <s v="Delayed"/>
    <n v="796"/>
    <n v="46"/>
    <x v="3"/>
    <x v="2"/>
    <x v="3"/>
    <x v="0"/>
    <x v="6"/>
    <m/>
  </r>
  <r>
    <d v="2026-12-22T00:00:00"/>
    <x v="3"/>
    <s v="Containers"/>
    <s v="1L"/>
    <x v="434"/>
    <x v="3"/>
    <x v="949"/>
    <n v="3"/>
    <n v="1383"/>
    <x v="858"/>
    <x v="2"/>
    <x v="1"/>
    <x v="2"/>
    <s v="Delivered"/>
    <n v="946"/>
    <n v="461"/>
    <x v="6"/>
    <x v="4"/>
    <x v="6"/>
    <x v="1"/>
    <x v="9"/>
    <m/>
  </r>
  <r>
    <d v="2026-12-23T00:00:00"/>
    <x v="2"/>
    <s v="Housekeeping Items"/>
    <s v="Standard"/>
    <x v="276"/>
    <x v="2"/>
    <x v="350"/>
    <n v="100"/>
    <n v="10900"/>
    <x v="331"/>
    <x v="1"/>
    <x v="3"/>
    <x v="2"/>
    <s v="Returned"/>
    <n v="821"/>
    <n v="109"/>
    <x v="1"/>
    <x v="1"/>
    <x v="1"/>
    <x v="4"/>
    <x v="11"/>
    <m/>
  </r>
  <r>
    <d v="2026-12-24T00:00:00"/>
    <x v="4"/>
    <s v="Plates &amp; Bowls"/>
    <s v="500ml"/>
    <x v="271"/>
    <x v="4"/>
    <x v="598"/>
    <n v="1.5"/>
    <n v="544.5"/>
    <x v="565"/>
    <x v="2"/>
    <x v="2"/>
    <x v="0"/>
    <s v="Delayed"/>
    <n v="608"/>
    <n v="363"/>
    <x v="4"/>
    <x v="3"/>
    <x v="4"/>
    <x v="3"/>
    <x v="3"/>
    <m/>
  </r>
  <r>
    <d v="2026-12-25T00:00:00"/>
    <x v="0"/>
    <s v="Takeaway Boxes"/>
    <s v="Large"/>
    <x v="429"/>
    <x v="0"/>
    <x v="1181"/>
    <n v="5"/>
    <n v="1510"/>
    <x v="137"/>
    <x v="1"/>
    <x v="1"/>
    <x v="2"/>
    <s v="Delivered"/>
    <n v="789"/>
    <n v="302"/>
    <x v="5"/>
    <x v="0"/>
    <x v="5"/>
    <x v="0"/>
    <x v="5"/>
    <m/>
  </r>
  <r>
    <d v="2026-12-26T00:00:00"/>
    <x v="4"/>
    <s v="Plates &amp; Bowls"/>
    <s v="500ml"/>
    <x v="224"/>
    <x v="4"/>
    <x v="1182"/>
    <n v="1.5"/>
    <n v="595.5"/>
    <x v="1027"/>
    <x v="2"/>
    <x v="1"/>
    <x v="2"/>
    <s v="Delivered"/>
    <n v="927"/>
    <n v="397"/>
    <x v="12"/>
    <x v="3"/>
    <x v="10"/>
    <x v="2"/>
    <x v="10"/>
    <m/>
  </r>
  <r>
    <d v="2026-12-27T00:00:00"/>
    <x v="3"/>
    <s v="Containers"/>
    <s v="1L"/>
    <x v="61"/>
    <x v="3"/>
    <x v="1183"/>
    <n v="3"/>
    <n v="1194"/>
    <x v="1028"/>
    <x v="0"/>
    <x v="1"/>
    <x v="0"/>
    <s v="Delayed"/>
    <n v="710"/>
    <n v="398"/>
    <x v="19"/>
    <x v="13"/>
    <x v="18"/>
    <x v="1"/>
    <x v="3"/>
    <m/>
  </r>
  <r>
    <d v="2026-12-28T00:00:00"/>
    <x v="3"/>
    <s v="Containers"/>
    <s v="1L"/>
    <x v="286"/>
    <x v="3"/>
    <x v="384"/>
    <n v="3"/>
    <n v="90"/>
    <x v="366"/>
    <x v="0"/>
    <x v="3"/>
    <x v="0"/>
    <s v="Delivered"/>
    <n v="771"/>
    <n v="30"/>
    <x v="9"/>
    <x v="7"/>
    <x v="9"/>
    <x v="2"/>
    <x v="3"/>
    <m/>
  </r>
  <r>
    <d v="2026-12-29T00:00:00"/>
    <x v="4"/>
    <s v="Plates &amp; Bowls"/>
    <s v="500ml"/>
    <x v="1"/>
    <x v="4"/>
    <x v="853"/>
    <n v="1.5"/>
    <n v="294"/>
    <x v="777"/>
    <x v="2"/>
    <x v="1"/>
    <x v="1"/>
    <s v="Delayed"/>
    <n v="823"/>
    <n v="196"/>
    <x v="14"/>
    <x v="6"/>
    <x v="13"/>
    <x v="3"/>
    <x v="2"/>
    <m/>
  </r>
  <r>
    <d v="2026-12-30T00:00:00"/>
    <x v="2"/>
    <s v="Housekeeping Items"/>
    <s v="Standard"/>
    <x v="16"/>
    <x v="2"/>
    <x v="1184"/>
    <n v="100"/>
    <n v="23600"/>
    <x v="1029"/>
    <x v="2"/>
    <x v="2"/>
    <x v="0"/>
    <s v="Delivered"/>
    <n v="690"/>
    <n v="236"/>
    <x v="0"/>
    <x v="0"/>
    <x v="0"/>
    <x v="0"/>
    <x v="11"/>
    <m/>
  </r>
  <r>
    <d v="2026-12-31T00:00:00"/>
    <x v="3"/>
    <s v="Containers"/>
    <s v="1L"/>
    <x v="143"/>
    <x v="3"/>
    <x v="386"/>
    <n v="3"/>
    <n v="351"/>
    <x v="184"/>
    <x v="1"/>
    <x v="3"/>
    <x v="2"/>
    <s v="Returned"/>
    <n v="663"/>
    <n v="117"/>
    <x v="15"/>
    <x v="10"/>
    <x v="14"/>
    <x v="2"/>
    <x v="10"/>
    <m/>
  </r>
  <r>
    <d v="2027-01-01T00:00:00"/>
    <x v="5"/>
    <s v="Cutlery"/>
    <s v="3pcs"/>
    <x v="54"/>
    <x v="5"/>
    <x v="55"/>
    <n v="4"/>
    <n v="684"/>
    <x v="54"/>
    <x v="0"/>
    <x v="3"/>
    <x v="2"/>
    <s v="Returned"/>
    <n v="723"/>
    <n v="171"/>
    <x v="12"/>
    <x v="3"/>
    <x v="10"/>
    <x v="2"/>
    <x v="5"/>
    <m/>
  </r>
  <r>
    <d v="2027-01-02T00:00:00"/>
    <x v="2"/>
    <s v="Housekeeping Items"/>
    <s v="Standard"/>
    <x v="409"/>
    <x v="2"/>
    <x v="1185"/>
    <n v="100"/>
    <n v="40200"/>
    <x v="1030"/>
    <x v="1"/>
    <x v="0"/>
    <x v="0"/>
    <s v="Returned"/>
    <n v="934"/>
    <n v="402"/>
    <x v="10"/>
    <x v="8"/>
    <x v="10"/>
    <x v="2"/>
    <x v="8"/>
    <m/>
  </r>
  <r>
    <d v="2027-01-03T00:00:00"/>
    <x v="5"/>
    <s v="Cutlery"/>
    <s v="3pcs"/>
    <x v="427"/>
    <x v="5"/>
    <x v="811"/>
    <n v="4"/>
    <n v="1572"/>
    <x v="745"/>
    <x v="0"/>
    <x v="0"/>
    <x v="1"/>
    <s v="Delayed"/>
    <n v="792"/>
    <n v="393"/>
    <x v="3"/>
    <x v="2"/>
    <x v="3"/>
    <x v="0"/>
    <x v="5"/>
    <m/>
  </r>
  <r>
    <d v="2027-01-04T00:00:00"/>
    <x v="0"/>
    <s v="Takeaway Boxes"/>
    <s v="Large"/>
    <x v="226"/>
    <x v="0"/>
    <x v="1186"/>
    <n v="5"/>
    <n v="555"/>
    <x v="1031"/>
    <x v="1"/>
    <x v="2"/>
    <x v="2"/>
    <s v="Delayed"/>
    <n v="966"/>
    <n v="111"/>
    <x v="17"/>
    <x v="11"/>
    <x v="16"/>
    <x v="4"/>
    <x v="6"/>
    <m/>
  </r>
  <r>
    <d v="2027-01-05T00:00:00"/>
    <x v="2"/>
    <s v="Housekeeping Items"/>
    <s v="Standard"/>
    <x v="229"/>
    <x v="2"/>
    <x v="272"/>
    <n v="100"/>
    <n v="13600"/>
    <x v="263"/>
    <x v="2"/>
    <x v="1"/>
    <x v="1"/>
    <s v="Delivered"/>
    <n v="935"/>
    <n v="136"/>
    <x v="17"/>
    <x v="11"/>
    <x v="16"/>
    <x v="0"/>
    <x v="7"/>
    <m/>
  </r>
  <r>
    <d v="2027-01-06T00:00:00"/>
    <x v="0"/>
    <s v="Takeaway Boxes"/>
    <s v="Large"/>
    <x v="448"/>
    <x v="0"/>
    <x v="1187"/>
    <n v="5"/>
    <n v="1480"/>
    <x v="773"/>
    <x v="1"/>
    <x v="0"/>
    <x v="0"/>
    <s v="Delayed"/>
    <n v="930"/>
    <n v="296"/>
    <x v="1"/>
    <x v="1"/>
    <x v="1"/>
    <x v="3"/>
    <x v="4"/>
    <m/>
  </r>
  <r>
    <d v="2027-01-07T00:00:00"/>
    <x v="0"/>
    <s v="Takeaway Boxes"/>
    <s v="Large"/>
    <x v="363"/>
    <x v="0"/>
    <x v="553"/>
    <n v="5"/>
    <n v="995"/>
    <x v="525"/>
    <x v="1"/>
    <x v="1"/>
    <x v="0"/>
    <s v="Delayed"/>
    <n v="726"/>
    <n v="199"/>
    <x v="18"/>
    <x v="12"/>
    <x v="17"/>
    <x v="4"/>
    <x v="11"/>
    <m/>
  </r>
  <r>
    <d v="2027-01-08T00:00:00"/>
    <x v="2"/>
    <s v="Housekeeping Items"/>
    <s v="Standard"/>
    <x v="446"/>
    <x v="2"/>
    <x v="868"/>
    <n v="100"/>
    <n v="42200"/>
    <x v="788"/>
    <x v="2"/>
    <x v="0"/>
    <x v="1"/>
    <s v="Delayed"/>
    <n v="698"/>
    <n v="422"/>
    <x v="11"/>
    <x v="9"/>
    <x v="11"/>
    <x v="3"/>
    <x v="10"/>
    <m/>
  </r>
  <r>
    <d v="2027-01-09T00:00:00"/>
    <x v="2"/>
    <s v="Housekeeping Items"/>
    <s v="Standard"/>
    <x v="479"/>
    <x v="2"/>
    <x v="1188"/>
    <n v="100"/>
    <n v="29700"/>
    <x v="1032"/>
    <x v="0"/>
    <x v="3"/>
    <x v="2"/>
    <s v="Delayed"/>
    <n v="913"/>
    <n v="297"/>
    <x v="2"/>
    <x v="2"/>
    <x v="2"/>
    <x v="0"/>
    <x v="0"/>
    <m/>
  </r>
  <r>
    <d v="2027-01-10T00:00:00"/>
    <x v="1"/>
    <s v="Glass &amp; Bottles"/>
    <s v="750ml"/>
    <x v="82"/>
    <x v="1"/>
    <x v="587"/>
    <n v="12"/>
    <n v="2088"/>
    <x v="1033"/>
    <x v="0"/>
    <x v="0"/>
    <x v="2"/>
    <s v="Delivered"/>
    <n v="539"/>
    <n v="174"/>
    <x v="8"/>
    <x v="6"/>
    <x v="8"/>
    <x v="1"/>
    <x v="9"/>
    <m/>
  </r>
  <r>
    <d v="2027-01-11T00:00:00"/>
    <x v="1"/>
    <s v="Glass &amp; Bottles"/>
    <s v="750ml"/>
    <x v="199"/>
    <x v="1"/>
    <x v="229"/>
    <n v="12"/>
    <n v="4800"/>
    <x v="223"/>
    <x v="0"/>
    <x v="1"/>
    <x v="2"/>
    <s v="Returned"/>
    <n v="893"/>
    <n v="400"/>
    <x v="11"/>
    <x v="9"/>
    <x v="11"/>
    <x v="4"/>
    <x v="3"/>
    <m/>
  </r>
  <r>
    <d v="2027-01-12T00:00:00"/>
    <x v="3"/>
    <s v="Containers"/>
    <s v="1L"/>
    <x v="389"/>
    <x v="3"/>
    <x v="1189"/>
    <n v="3"/>
    <n v="1326"/>
    <x v="1014"/>
    <x v="1"/>
    <x v="2"/>
    <x v="1"/>
    <s v="Returned"/>
    <n v="908"/>
    <n v="442"/>
    <x v="2"/>
    <x v="2"/>
    <x v="2"/>
    <x v="0"/>
    <x v="11"/>
    <m/>
  </r>
  <r>
    <d v="2027-01-13T00:00:00"/>
    <x v="4"/>
    <s v="Plates &amp; Bowls"/>
    <s v="500ml"/>
    <x v="278"/>
    <x v="4"/>
    <x v="1190"/>
    <n v="1.5"/>
    <n v="150"/>
    <x v="1034"/>
    <x v="1"/>
    <x v="2"/>
    <x v="0"/>
    <s v="Delivered"/>
    <n v="911"/>
    <n v="100"/>
    <x v="19"/>
    <x v="13"/>
    <x v="18"/>
    <x v="0"/>
    <x v="7"/>
    <m/>
  </r>
  <r>
    <d v="2027-01-14T00:00:00"/>
    <x v="3"/>
    <s v="Containers"/>
    <s v="1L"/>
    <x v="140"/>
    <x v="3"/>
    <x v="1071"/>
    <n v="3"/>
    <n v="1098"/>
    <x v="950"/>
    <x v="1"/>
    <x v="1"/>
    <x v="1"/>
    <s v="Delayed"/>
    <n v="814"/>
    <n v="366"/>
    <x v="14"/>
    <x v="6"/>
    <x v="13"/>
    <x v="1"/>
    <x v="0"/>
    <m/>
  </r>
  <r>
    <d v="2027-01-15T00:00:00"/>
    <x v="3"/>
    <s v="Containers"/>
    <s v="1L"/>
    <x v="284"/>
    <x v="3"/>
    <x v="443"/>
    <n v="3"/>
    <n v="417"/>
    <x v="418"/>
    <x v="0"/>
    <x v="1"/>
    <x v="0"/>
    <s v="Delayed"/>
    <n v="749"/>
    <n v="139"/>
    <x v="16"/>
    <x v="4"/>
    <x v="15"/>
    <x v="1"/>
    <x v="4"/>
    <m/>
  </r>
  <r>
    <d v="2027-01-16T00:00:00"/>
    <x v="1"/>
    <s v="Glass &amp; Bottles"/>
    <s v="750ml"/>
    <x v="106"/>
    <x v="1"/>
    <x v="110"/>
    <n v="12"/>
    <n v="396"/>
    <x v="107"/>
    <x v="2"/>
    <x v="0"/>
    <x v="1"/>
    <s v="Delivered"/>
    <n v="842"/>
    <n v="33"/>
    <x v="12"/>
    <x v="3"/>
    <x v="10"/>
    <x v="2"/>
    <x v="8"/>
    <m/>
  </r>
  <r>
    <d v="2027-01-17T00:00:00"/>
    <x v="5"/>
    <s v="Cutlery"/>
    <s v="3pcs"/>
    <x v="117"/>
    <x v="5"/>
    <x v="122"/>
    <n v="4"/>
    <n v="1760"/>
    <x v="119"/>
    <x v="1"/>
    <x v="2"/>
    <x v="0"/>
    <s v="Delayed"/>
    <n v="895"/>
    <n v="440"/>
    <x v="1"/>
    <x v="1"/>
    <x v="1"/>
    <x v="3"/>
    <x v="4"/>
    <m/>
  </r>
  <r>
    <d v="2027-01-18T00:00:00"/>
    <x v="3"/>
    <s v="Containers"/>
    <s v="1L"/>
    <x v="102"/>
    <x v="3"/>
    <x v="106"/>
    <n v="3"/>
    <n v="1131"/>
    <x v="103"/>
    <x v="0"/>
    <x v="3"/>
    <x v="2"/>
    <s v="Delayed"/>
    <n v="869"/>
    <n v="377"/>
    <x v="14"/>
    <x v="6"/>
    <x v="13"/>
    <x v="3"/>
    <x v="10"/>
    <m/>
  </r>
  <r>
    <d v="2027-01-19T00:00:00"/>
    <x v="1"/>
    <s v="Glass &amp; Bottles"/>
    <s v="750ml"/>
    <x v="360"/>
    <x v="1"/>
    <x v="712"/>
    <n v="12"/>
    <n v="5364"/>
    <x v="663"/>
    <x v="1"/>
    <x v="2"/>
    <x v="0"/>
    <s v="Delivered"/>
    <n v="739"/>
    <n v="447"/>
    <x v="15"/>
    <x v="10"/>
    <x v="14"/>
    <x v="0"/>
    <x v="5"/>
    <m/>
  </r>
  <r>
    <d v="2027-01-20T00:00:00"/>
    <x v="2"/>
    <s v="Housekeeping Items"/>
    <s v="Standard"/>
    <x v="230"/>
    <x v="2"/>
    <x v="1191"/>
    <n v="100"/>
    <n v="5400"/>
    <x v="1035"/>
    <x v="1"/>
    <x v="3"/>
    <x v="2"/>
    <s v="Returned"/>
    <n v="659"/>
    <n v="54"/>
    <x v="10"/>
    <x v="8"/>
    <x v="10"/>
    <x v="4"/>
    <x v="2"/>
    <m/>
  </r>
  <r>
    <d v="2027-01-21T00:00:00"/>
    <x v="4"/>
    <s v="Plates &amp; Bowls"/>
    <s v="500ml"/>
    <x v="123"/>
    <x v="4"/>
    <x v="1192"/>
    <n v="1.5"/>
    <n v="645"/>
    <x v="1036"/>
    <x v="0"/>
    <x v="0"/>
    <x v="0"/>
    <s v="Delayed"/>
    <n v="641"/>
    <n v="430"/>
    <x v="14"/>
    <x v="6"/>
    <x v="13"/>
    <x v="1"/>
    <x v="2"/>
    <m/>
  </r>
  <r>
    <d v="2027-01-22T00:00:00"/>
    <x v="3"/>
    <s v="Containers"/>
    <s v="1L"/>
    <x v="238"/>
    <x v="3"/>
    <x v="1193"/>
    <n v="3"/>
    <n v="159"/>
    <x v="875"/>
    <x v="1"/>
    <x v="2"/>
    <x v="1"/>
    <s v="Delayed"/>
    <n v="992"/>
    <n v="53"/>
    <x v="8"/>
    <x v="6"/>
    <x v="8"/>
    <x v="4"/>
    <x v="9"/>
    <m/>
  </r>
  <r>
    <d v="2027-01-23T00:00:00"/>
    <x v="3"/>
    <s v="Containers"/>
    <s v="1L"/>
    <x v="351"/>
    <x v="3"/>
    <x v="533"/>
    <n v="3"/>
    <n v="876"/>
    <x v="505"/>
    <x v="1"/>
    <x v="1"/>
    <x v="2"/>
    <s v="Delayed"/>
    <n v="960"/>
    <n v="292"/>
    <x v="3"/>
    <x v="2"/>
    <x v="3"/>
    <x v="4"/>
    <x v="7"/>
    <m/>
  </r>
  <r>
    <d v="2027-01-24T00:00:00"/>
    <x v="3"/>
    <s v="Containers"/>
    <s v="1L"/>
    <x v="278"/>
    <x v="3"/>
    <x v="158"/>
    <n v="3"/>
    <n v="300"/>
    <x v="153"/>
    <x v="1"/>
    <x v="1"/>
    <x v="2"/>
    <s v="Delivered"/>
    <n v="621"/>
    <n v="100"/>
    <x v="13"/>
    <x v="2"/>
    <x v="12"/>
    <x v="0"/>
    <x v="9"/>
    <m/>
  </r>
  <r>
    <d v="2027-01-25T00:00:00"/>
    <x v="4"/>
    <s v="Plates &amp; Bowls"/>
    <s v="500ml"/>
    <x v="445"/>
    <x v="4"/>
    <x v="866"/>
    <n v="1.5"/>
    <n v="634.5"/>
    <x v="65"/>
    <x v="2"/>
    <x v="2"/>
    <x v="2"/>
    <s v="Returned"/>
    <n v="611"/>
    <n v="423"/>
    <x v="13"/>
    <x v="2"/>
    <x v="12"/>
    <x v="3"/>
    <x v="9"/>
    <m/>
  </r>
  <r>
    <d v="2027-01-26T00:00:00"/>
    <x v="0"/>
    <s v="Takeaway Boxes"/>
    <s v="Large"/>
    <x v="463"/>
    <x v="0"/>
    <x v="1194"/>
    <n v="5"/>
    <n v="2255"/>
    <x v="1037"/>
    <x v="0"/>
    <x v="1"/>
    <x v="0"/>
    <s v="Returned"/>
    <n v="838"/>
    <n v="451"/>
    <x v="1"/>
    <x v="1"/>
    <x v="1"/>
    <x v="0"/>
    <x v="11"/>
    <m/>
  </r>
  <r>
    <d v="2027-01-27T00:00:00"/>
    <x v="3"/>
    <s v="Containers"/>
    <s v="1L"/>
    <x v="184"/>
    <x v="3"/>
    <x v="1195"/>
    <n v="3"/>
    <n v="390"/>
    <x v="1038"/>
    <x v="0"/>
    <x v="1"/>
    <x v="1"/>
    <s v="Returned"/>
    <n v="773"/>
    <n v="130"/>
    <x v="15"/>
    <x v="10"/>
    <x v="14"/>
    <x v="2"/>
    <x v="3"/>
    <m/>
  </r>
  <r>
    <d v="2027-01-28T00:00:00"/>
    <x v="1"/>
    <s v="Glass &amp; Bottles"/>
    <s v="750ml"/>
    <x v="385"/>
    <x v="1"/>
    <x v="1196"/>
    <n v="12"/>
    <n v="3480"/>
    <x v="1039"/>
    <x v="2"/>
    <x v="3"/>
    <x v="0"/>
    <s v="Delivered"/>
    <n v="992"/>
    <n v="290"/>
    <x v="11"/>
    <x v="9"/>
    <x v="11"/>
    <x v="3"/>
    <x v="9"/>
    <m/>
  </r>
  <r>
    <d v="2027-01-29T00:00:00"/>
    <x v="1"/>
    <s v="Glass &amp; Bottles"/>
    <s v="750ml"/>
    <x v="301"/>
    <x v="1"/>
    <x v="1197"/>
    <n v="12"/>
    <n v="1512"/>
    <x v="1040"/>
    <x v="1"/>
    <x v="0"/>
    <x v="1"/>
    <s v="Returned"/>
    <n v="692"/>
    <n v="126"/>
    <x v="14"/>
    <x v="6"/>
    <x v="13"/>
    <x v="3"/>
    <x v="3"/>
    <m/>
  </r>
  <r>
    <d v="2027-01-30T00:00:00"/>
    <x v="0"/>
    <s v="Takeaway Boxes"/>
    <s v="Large"/>
    <x v="174"/>
    <x v="0"/>
    <x v="1198"/>
    <n v="5"/>
    <n v="1665"/>
    <x v="1041"/>
    <x v="2"/>
    <x v="1"/>
    <x v="2"/>
    <s v="Returned"/>
    <n v="573"/>
    <n v="333"/>
    <x v="2"/>
    <x v="2"/>
    <x v="2"/>
    <x v="2"/>
    <x v="9"/>
    <m/>
  </r>
  <r>
    <d v="2027-01-31T00:00:00"/>
    <x v="3"/>
    <s v="Containers"/>
    <s v="1L"/>
    <x v="216"/>
    <x v="3"/>
    <x v="255"/>
    <n v="3"/>
    <n v="519"/>
    <x v="248"/>
    <x v="0"/>
    <x v="2"/>
    <x v="1"/>
    <s v="Returned"/>
    <n v="597"/>
    <n v="173"/>
    <x v="18"/>
    <x v="12"/>
    <x v="17"/>
    <x v="4"/>
    <x v="1"/>
    <m/>
  </r>
  <r>
    <d v="2027-02-01T00:00:00"/>
    <x v="3"/>
    <s v="Containers"/>
    <s v="1L"/>
    <x v="171"/>
    <x v="3"/>
    <x v="195"/>
    <n v="3"/>
    <n v="1056"/>
    <x v="191"/>
    <x v="0"/>
    <x v="0"/>
    <x v="0"/>
    <s v="Returned"/>
    <n v="862"/>
    <n v="352"/>
    <x v="2"/>
    <x v="2"/>
    <x v="2"/>
    <x v="4"/>
    <x v="8"/>
    <m/>
  </r>
  <r>
    <d v="2027-02-02T00:00:00"/>
    <x v="5"/>
    <s v="Cutlery"/>
    <s v="3pcs"/>
    <x v="428"/>
    <x v="5"/>
    <x v="1199"/>
    <n v="4"/>
    <n v="1880"/>
    <x v="1042"/>
    <x v="2"/>
    <x v="1"/>
    <x v="2"/>
    <s v="Delayed"/>
    <n v="518"/>
    <n v="470"/>
    <x v="8"/>
    <x v="6"/>
    <x v="8"/>
    <x v="0"/>
    <x v="5"/>
    <m/>
  </r>
  <r>
    <d v="2027-02-03T00:00:00"/>
    <x v="2"/>
    <s v="Housekeeping Items"/>
    <s v="Standard"/>
    <x v="205"/>
    <x v="2"/>
    <x v="698"/>
    <n v="100"/>
    <n v="25400"/>
    <x v="652"/>
    <x v="2"/>
    <x v="0"/>
    <x v="0"/>
    <s v="Returned"/>
    <n v="696"/>
    <n v="254"/>
    <x v="8"/>
    <x v="6"/>
    <x v="8"/>
    <x v="3"/>
    <x v="9"/>
    <m/>
  </r>
  <r>
    <d v="2027-02-04T00:00:00"/>
    <x v="3"/>
    <s v="Containers"/>
    <s v="1L"/>
    <x v="19"/>
    <x v="3"/>
    <x v="1017"/>
    <n v="3"/>
    <n v="258"/>
    <x v="539"/>
    <x v="2"/>
    <x v="1"/>
    <x v="1"/>
    <s v="Delayed"/>
    <n v="595"/>
    <n v="86"/>
    <x v="10"/>
    <x v="8"/>
    <x v="10"/>
    <x v="0"/>
    <x v="1"/>
    <m/>
  </r>
  <r>
    <d v="2027-02-05T00:00:00"/>
    <x v="5"/>
    <s v="Cutlery"/>
    <s v="3pcs"/>
    <x v="257"/>
    <x v="5"/>
    <x v="385"/>
    <n v="4"/>
    <n v="412"/>
    <x v="367"/>
    <x v="2"/>
    <x v="3"/>
    <x v="2"/>
    <s v="Delivered"/>
    <n v="811"/>
    <n v="103"/>
    <x v="16"/>
    <x v="4"/>
    <x v="15"/>
    <x v="1"/>
    <x v="3"/>
    <m/>
  </r>
  <r>
    <d v="2027-02-06T00:00:00"/>
    <x v="4"/>
    <s v="Plates &amp; Bowls"/>
    <s v="500ml"/>
    <x v="168"/>
    <x v="4"/>
    <x v="1200"/>
    <n v="1.5"/>
    <n v="142.5"/>
    <x v="1043"/>
    <x v="1"/>
    <x v="1"/>
    <x v="1"/>
    <s v="Delivered"/>
    <n v="647"/>
    <n v="95"/>
    <x v="13"/>
    <x v="2"/>
    <x v="12"/>
    <x v="4"/>
    <x v="3"/>
    <m/>
  </r>
  <r>
    <d v="2027-02-07T00:00:00"/>
    <x v="2"/>
    <s v="Housekeeping Items"/>
    <s v="Standard"/>
    <x v="336"/>
    <x v="2"/>
    <x v="500"/>
    <n v="100"/>
    <n v="47700"/>
    <x v="474"/>
    <x v="1"/>
    <x v="3"/>
    <x v="0"/>
    <s v="Delayed"/>
    <n v="824"/>
    <n v="477"/>
    <x v="5"/>
    <x v="0"/>
    <x v="5"/>
    <x v="2"/>
    <x v="3"/>
    <m/>
  </r>
  <r>
    <d v="2027-02-08T00:00:00"/>
    <x v="3"/>
    <s v="Containers"/>
    <s v="1L"/>
    <x v="455"/>
    <x v="3"/>
    <x v="1201"/>
    <n v="3"/>
    <n v="1218"/>
    <x v="987"/>
    <x v="0"/>
    <x v="3"/>
    <x v="2"/>
    <s v="Delivered"/>
    <n v="578"/>
    <n v="406"/>
    <x v="4"/>
    <x v="3"/>
    <x v="4"/>
    <x v="2"/>
    <x v="8"/>
    <m/>
  </r>
  <r>
    <d v="2027-02-09T00:00:00"/>
    <x v="2"/>
    <s v="Housekeeping Items"/>
    <s v="Standard"/>
    <x v="217"/>
    <x v="2"/>
    <x v="473"/>
    <n v="100"/>
    <n v="44100"/>
    <x v="446"/>
    <x v="1"/>
    <x v="3"/>
    <x v="2"/>
    <s v="Delayed"/>
    <n v="716"/>
    <n v="441"/>
    <x v="2"/>
    <x v="2"/>
    <x v="2"/>
    <x v="3"/>
    <x v="0"/>
    <m/>
  </r>
  <r>
    <d v="2027-02-10T00:00:00"/>
    <x v="4"/>
    <s v="Plates &amp; Bowls"/>
    <s v="500ml"/>
    <x v="145"/>
    <x v="4"/>
    <x v="158"/>
    <n v="1.5"/>
    <n v="300"/>
    <x v="153"/>
    <x v="0"/>
    <x v="3"/>
    <x v="1"/>
    <s v="Delivered"/>
    <n v="621"/>
    <n v="200"/>
    <x v="0"/>
    <x v="0"/>
    <x v="0"/>
    <x v="1"/>
    <x v="6"/>
    <m/>
  </r>
  <r>
    <d v="2027-02-11T00:00:00"/>
    <x v="2"/>
    <s v="Housekeeping Items"/>
    <s v="Standard"/>
    <x v="54"/>
    <x v="2"/>
    <x v="1202"/>
    <n v="100"/>
    <n v="17100"/>
    <x v="1044"/>
    <x v="2"/>
    <x v="0"/>
    <x v="1"/>
    <s v="Delayed"/>
    <n v="639"/>
    <n v="171"/>
    <x v="16"/>
    <x v="4"/>
    <x v="15"/>
    <x v="0"/>
    <x v="11"/>
    <m/>
  </r>
  <r>
    <d v="2027-02-12T00:00:00"/>
    <x v="0"/>
    <s v="Takeaway Boxes"/>
    <s v="Large"/>
    <x v="426"/>
    <x v="0"/>
    <x v="840"/>
    <n v="5"/>
    <n v="1300"/>
    <x v="344"/>
    <x v="0"/>
    <x v="3"/>
    <x v="1"/>
    <s v="Returned"/>
    <n v="708"/>
    <n v="260"/>
    <x v="5"/>
    <x v="0"/>
    <x v="5"/>
    <x v="2"/>
    <x v="0"/>
    <m/>
  </r>
  <r>
    <d v="2027-02-13T00:00:00"/>
    <x v="2"/>
    <s v="Housekeeping Items"/>
    <s v="Standard"/>
    <x v="123"/>
    <x v="2"/>
    <x v="1203"/>
    <n v="100"/>
    <n v="43000"/>
    <x v="1045"/>
    <x v="2"/>
    <x v="0"/>
    <x v="2"/>
    <s v="Delayed"/>
    <n v="688"/>
    <n v="430"/>
    <x v="14"/>
    <x v="6"/>
    <x v="13"/>
    <x v="3"/>
    <x v="7"/>
    <m/>
  </r>
  <r>
    <d v="2027-02-14T00:00:00"/>
    <x v="0"/>
    <s v="Takeaway Boxes"/>
    <s v="Large"/>
    <x v="163"/>
    <x v="0"/>
    <x v="1204"/>
    <n v="5"/>
    <n v="1555"/>
    <x v="1046"/>
    <x v="0"/>
    <x v="2"/>
    <x v="1"/>
    <s v="Delayed"/>
    <n v="748"/>
    <n v="311"/>
    <x v="10"/>
    <x v="8"/>
    <x v="10"/>
    <x v="4"/>
    <x v="2"/>
    <m/>
  </r>
  <r>
    <d v="2027-02-15T00:00:00"/>
    <x v="3"/>
    <s v="Containers"/>
    <s v="1L"/>
    <x v="294"/>
    <x v="3"/>
    <x v="401"/>
    <n v="3"/>
    <n v="516"/>
    <x v="378"/>
    <x v="0"/>
    <x v="2"/>
    <x v="2"/>
    <s v="Returned"/>
    <n v="995"/>
    <n v="172"/>
    <x v="2"/>
    <x v="2"/>
    <x v="2"/>
    <x v="2"/>
    <x v="10"/>
    <m/>
  </r>
  <r>
    <d v="2027-02-16T00:00:00"/>
    <x v="0"/>
    <s v="Takeaway Boxes"/>
    <s v="Large"/>
    <x v="177"/>
    <x v="0"/>
    <x v="739"/>
    <n v="5"/>
    <n v="1695"/>
    <x v="834"/>
    <x v="1"/>
    <x v="1"/>
    <x v="0"/>
    <s v="Delivered"/>
    <n v="757"/>
    <n v="339"/>
    <x v="6"/>
    <x v="4"/>
    <x v="6"/>
    <x v="0"/>
    <x v="2"/>
    <m/>
  </r>
  <r>
    <d v="2027-02-17T00:00:00"/>
    <x v="0"/>
    <s v="Takeaway Boxes"/>
    <s v="Large"/>
    <x v="66"/>
    <x v="0"/>
    <x v="243"/>
    <n v="5"/>
    <n v="1920"/>
    <x v="236"/>
    <x v="2"/>
    <x v="1"/>
    <x v="1"/>
    <s v="Returned"/>
    <n v="997"/>
    <n v="384"/>
    <x v="16"/>
    <x v="4"/>
    <x v="15"/>
    <x v="4"/>
    <x v="9"/>
    <m/>
  </r>
  <r>
    <d v="2027-02-18T00:00:00"/>
    <x v="3"/>
    <s v="Containers"/>
    <s v="1L"/>
    <x v="408"/>
    <x v="3"/>
    <x v="1205"/>
    <n v="3"/>
    <n v="921"/>
    <x v="1047"/>
    <x v="2"/>
    <x v="0"/>
    <x v="2"/>
    <s v="Returned"/>
    <n v="932"/>
    <n v="307"/>
    <x v="10"/>
    <x v="8"/>
    <x v="10"/>
    <x v="3"/>
    <x v="1"/>
    <m/>
  </r>
  <r>
    <d v="2027-02-19T00:00:00"/>
    <x v="0"/>
    <s v="Takeaway Boxes"/>
    <s v="Large"/>
    <x v="50"/>
    <x v="0"/>
    <x v="52"/>
    <n v="5"/>
    <n v="1705"/>
    <x v="51"/>
    <x v="1"/>
    <x v="3"/>
    <x v="2"/>
    <s v="Returned"/>
    <n v="683"/>
    <n v="341"/>
    <x v="19"/>
    <x v="13"/>
    <x v="18"/>
    <x v="0"/>
    <x v="11"/>
    <m/>
  </r>
  <r>
    <d v="2027-02-20T00:00:00"/>
    <x v="1"/>
    <s v="Glass &amp; Bottles"/>
    <s v="750ml"/>
    <x v="71"/>
    <x v="1"/>
    <x v="761"/>
    <n v="12"/>
    <n v="756"/>
    <x v="204"/>
    <x v="0"/>
    <x v="0"/>
    <x v="2"/>
    <s v="Delayed"/>
    <n v="769"/>
    <n v="63"/>
    <x v="12"/>
    <x v="3"/>
    <x v="10"/>
    <x v="0"/>
    <x v="11"/>
    <m/>
  </r>
  <r>
    <d v="2027-02-21T00:00:00"/>
    <x v="0"/>
    <s v="Takeaway Boxes"/>
    <s v="Large"/>
    <x v="295"/>
    <x v="0"/>
    <x v="407"/>
    <n v="5"/>
    <n v="1930"/>
    <x v="384"/>
    <x v="0"/>
    <x v="1"/>
    <x v="1"/>
    <s v="Returned"/>
    <n v="934"/>
    <n v="386"/>
    <x v="2"/>
    <x v="2"/>
    <x v="2"/>
    <x v="1"/>
    <x v="8"/>
    <m/>
  </r>
  <r>
    <d v="2027-02-22T00:00:00"/>
    <x v="0"/>
    <s v="Takeaway Boxes"/>
    <s v="Large"/>
    <x v="341"/>
    <x v="0"/>
    <x v="954"/>
    <n v="5"/>
    <n v="1035"/>
    <x v="1048"/>
    <x v="2"/>
    <x v="1"/>
    <x v="1"/>
    <s v="Returned"/>
    <n v="555"/>
    <n v="207"/>
    <x v="3"/>
    <x v="2"/>
    <x v="3"/>
    <x v="3"/>
    <x v="0"/>
    <m/>
  </r>
  <r>
    <d v="2027-02-23T00:00:00"/>
    <x v="0"/>
    <s v="Takeaway Boxes"/>
    <s v="Large"/>
    <x v="227"/>
    <x v="0"/>
    <x v="1206"/>
    <n v="5"/>
    <n v="1980"/>
    <x v="1049"/>
    <x v="1"/>
    <x v="2"/>
    <x v="2"/>
    <s v="Delayed"/>
    <n v="540"/>
    <n v="396"/>
    <x v="7"/>
    <x v="5"/>
    <x v="7"/>
    <x v="0"/>
    <x v="3"/>
    <m/>
  </r>
  <r>
    <d v="2027-02-24T00:00:00"/>
    <x v="0"/>
    <s v="Takeaway Boxes"/>
    <s v="Large"/>
    <x v="437"/>
    <x v="0"/>
    <x v="1207"/>
    <n v="5"/>
    <n v="880"/>
    <x v="767"/>
    <x v="2"/>
    <x v="1"/>
    <x v="1"/>
    <s v="Returned"/>
    <n v="747"/>
    <n v="176"/>
    <x v="8"/>
    <x v="6"/>
    <x v="8"/>
    <x v="1"/>
    <x v="0"/>
    <m/>
  </r>
  <r>
    <d v="2027-02-25T00:00:00"/>
    <x v="3"/>
    <s v="Containers"/>
    <s v="1L"/>
    <x v="37"/>
    <x v="3"/>
    <x v="679"/>
    <n v="3"/>
    <n v="741"/>
    <x v="637"/>
    <x v="1"/>
    <x v="3"/>
    <x v="0"/>
    <s v="Delivered"/>
    <n v="914"/>
    <n v="247"/>
    <x v="11"/>
    <x v="9"/>
    <x v="11"/>
    <x v="4"/>
    <x v="9"/>
    <m/>
  </r>
  <r>
    <d v="2027-02-26T00:00:00"/>
    <x v="1"/>
    <s v="Glass &amp; Bottles"/>
    <s v="750ml"/>
    <x v="427"/>
    <x v="1"/>
    <x v="1208"/>
    <n v="12"/>
    <n v="4716"/>
    <x v="1050"/>
    <x v="0"/>
    <x v="0"/>
    <x v="1"/>
    <s v="Delivered"/>
    <n v="627"/>
    <n v="393"/>
    <x v="18"/>
    <x v="12"/>
    <x v="17"/>
    <x v="1"/>
    <x v="5"/>
    <m/>
  </r>
  <r>
    <d v="2027-02-27T00:00:00"/>
    <x v="4"/>
    <s v="Plates &amp; Bowls"/>
    <s v="500ml"/>
    <x v="9"/>
    <x v="4"/>
    <x v="812"/>
    <n v="1.5"/>
    <n v="562.5"/>
    <x v="746"/>
    <x v="1"/>
    <x v="2"/>
    <x v="2"/>
    <s v="Delayed"/>
    <n v="884"/>
    <n v="375"/>
    <x v="18"/>
    <x v="12"/>
    <x v="17"/>
    <x v="4"/>
    <x v="0"/>
    <m/>
  </r>
  <r>
    <d v="2027-02-28T00:00:00"/>
    <x v="2"/>
    <s v="Housekeeping Items"/>
    <s v="Standard"/>
    <x v="471"/>
    <x v="2"/>
    <x v="1209"/>
    <n v="100"/>
    <n v="14900"/>
    <x v="1051"/>
    <x v="0"/>
    <x v="1"/>
    <x v="0"/>
    <s v="Delivered"/>
    <n v="540"/>
    <n v="149"/>
    <x v="0"/>
    <x v="0"/>
    <x v="0"/>
    <x v="0"/>
    <x v="6"/>
    <m/>
  </r>
  <r>
    <d v="2027-03-01T00:00:00"/>
    <x v="3"/>
    <s v="Containers"/>
    <s v="1L"/>
    <x v="267"/>
    <x v="3"/>
    <x v="1041"/>
    <n v="3"/>
    <n v="1257"/>
    <x v="931"/>
    <x v="1"/>
    <x v="0"/>
    <x v="1"/>
    <s v="Delayed"/>
    <n v="916"/>
    <n v="419"/>
    <x v="18"/>
    <x v="12"/>
    <x v="17"/>
    <x v="0"/>
    <x v="6"/>
    <m/>
  </r>
  <r>
    <d v="2027-03-02T00:00:00"/>
    <x v="3"/>
    <s v="Containers"/>
    <s v="1L"/>
    <x v="449"/>
    <x v="3"/>
    <x v="1119"/>
    <n v="3"/>
    <n v="534"/>
    <x v="793"/>
    <x v="2"/>
    <x v="1"/>
    <x v="1"/>
    <s v="Returned"/>
    <n v="608"/>
    <n v="178"/>
    <x v="17"/>
    <x v="11"/>
    <x v="16"/>
    <x v="3"/>
    <x v="2"/>
    <m/>
  </r>
  <r>
    <d v="2027-03-03T00:00:00"/>
    <x v="3"/>
    <s v="Containers"/>
    <s v="1L"/>
    <x v="35"/>
    <x v="3"/>
    <x v="1127"/>
    <n v="3"/>
    <n v="402"/>
    <x v="996"/>
    <x v="2"/>
    <x v="0"/>
    <x v="1"/>
    <s v="Delivered"/>
    <n v="887"/>
    <n v="134"/>
    <x v="0"/>
    <x v="0"/>
    <x v="0"/>
    <x v="3"/>
    <x v="9"/>
    <m/>
  </r>
  <r>
    <d v="2027-03-04T00:00:00"/>
    <x v="3"/>
    <s v="Containers"/>
    <s v="1L"/>
    <x v="447"/>
    <x v="3"/>
    <x v="1210"/>
    <n v="3"/>
    <n v="660"/>
    <x v="1052"/>
    <x v="2"/>
    <x v="0"/>
    <x v="1"/>
    <s v="Returned"/>
    <n v="993"/>
    <n v="220"/>
    <x v="8"/>
    <x v="6"/>
    <x v="8"/>
    <x v="3"/>
    <x v="8"/>
    <m/>
  </r>
  <r>
    <d v="2027-03-05T00:00:00"/>
    <x v="1"/>
    <s v="Glass &amp; Bottles"/>
    <s v="750ml"/>
    <x v="106"/>
    <x v="1"/>
    <x v="110"/>
    <n v="12"/>
    <n v="396"/>
    <x v="107"/>
    <x v="2"/>
    <x v="1"/>
    <x v="2"/>
    <s v="Delivered"/>
    <n v="867"/>
    <n v="33"/>
    <x v="3"/>
    <x v="2"/>
    <x v="3"/>
    <x v="0"/>
    <x v="5"/>
    <m/>
  </r>
  <r>
    <d v="2027-03-06T00:00:00"/>
    <x v="2"/>
    <s v="Housekeeping Items"/>
    <s v="Standard"/>
    <x v="272"/>
    <x v="2"/>
    <x v="1211"/>
    <n v="100"/>
    <n v="8300"/>
    <x v="1053"/>
    <x v="0"/>
    <x v="1"/>
    <x v="1"/>
    <s v="Delayed"/>
    <n v="688"/>
    <n v="83"/>
    <x v="10"/>
    <x v="8"/>
    <x v="10"/>
    <x v="1"/>
    <x v="11"/>
    <m/>
  </r>
  <r>
    <d v="2027-03-07T00:00:00"/>
    <x v="2"/>
    <s v="Housekeeping Items"/>
    <s v="Standard"/>
    <x v="16"/>
    <x v="2"/>
    <x v="1184"/>
    <n v="100"/>
    <n v="23600"/>
    <x v="1029"/>
    <x v="1"/>
    <x v="3"/>
    <x v="2"/>
    <s v="Delivered"/>
    <n v="575"/>
    <n v="236"/>
    <x v="16"/>
    <x v="4"/>
    <x v="15"/>
    <x v="3"/>
    <x v="11"/>
    <m/>
  </r>
  <r>
    <d v="2027-03-08T00:00:00"/>
    <x v="0"/>
    <s v="Takeaway Boxes"/>
    <s v="Large"/>
    <x v="0"/>
    <x v="0"/>
    <x v="0"/>
    <n v="5"/>
    <n v="1050"/>
    <x v="0"/>
    <x v="0"/>
    <x v="1"/>
    <x v="2"/>
    <s v="Delayed"/>
    <n v="836"/>
    <n v="210"/>
    <x v="1"/>
    <x v="1"/>
    <x v="1"/>
    <x v="2"/>
    <x v="5"/>
    <m/>
  </r>
  <r>
    <d v="2027-03-09T00:00:00"/>
    <x v="5"/>
    <s v="Cutlery"/>
    <s v="3pcs"/>
    <x v="408"/>
    <x v="5"/>
    <x v="1212"/>
    <n v="4"/>
    <n v="1228"/>
    <x v="1047"/>
    <x v="1"/>
    <x v="3"/>
    <x v="1"/>
    <s v="Delivered"/>
    <n v="836"/>
    <n v="307"/>
    <x v="2"/>
    <x v="2"/>
    <x v="2"/>
    <x v="4"/>
    <x v="7"/>
    <m/>
  </r>
  <r>
    <d v="2027-03-10T00:00:00"/>
    <x v="3"/>
    <s v="Containers"/>
    <s v="1L"/>
    <x v="98"/>
    <x v="3"/>
    <x v="413"/>
    <n v="3"/>
    <n v="438"/>
    <x v="389"/>
    <x v="1"/>
    <x v="2"/>
    <x v="2"/>
    <s v="Delayed"/>
    <n v="855"/>
    <n v="146"/>
    <x v="17"/>
    <x v="11"/>
    <x v="16"/>
    <x v="0"/>
    <x v="7"/>
    <m/>
  </r>
  <r>
    <d v="2027-03-11T00:00:00"/>
    <x v="3"/>
    <s v="Containers"/>
    <s v="1L"/>
    <x v="98"/>
    <x v="3"/>
    <x v="413"/>
    <n v="3"/>
    <n v="438"/>
    <x v="389"/>
    <x v="1"/>
    <x v="3"/>
    <x v="0"/>
    <s v="Delayed"/>
    <n v="968"/>
    <n v="146"/>
    <x v="1"/>
    <x v="1"/>
    <x v="1"/>
    <x v="4"/>
    <x v="5"/>
    <m/>
  </r>
  <r>
    <d v="2027-03-12T00:00:00"/>
    <x v="0"/>
    <s v="Takeaway Boxes"/>
    <s v="Large"/>
    <x v="343"/>
    <x v="0"/>
    <x v="1213"/>
    <n v="5"/>
    <n v="1540"/>
    <x v="196"/>
    <x v="2"/>
    <x v="1"/>
    <x v="0"/>
    <s v="Returned"/>
    <n v="829"/>
    <n v="308"/>
    <x v="13"/>
    <x v="2"/>
    <x v="12"/>
    <x v="2"/>
    <x v="10"/>
    <m/>
  </r>
  <r>
    <d v="2027-03-13T00:00:00"/>
    <x v="0"/>
    <s v="Takeaway Boxes"/>
    <s v="Large"/>
    <x v="371"/>
    <x v="0"/>
    <x v="1214"/>
    <n v="5"/>
    <n v="115"/>
    <x v="840"/>
    <x v="2"/>
    <x v="2"/>
    <x v="2"/>
    <s v="Delayed"/>
    <n v="967"/>
    <n v="23"/>
    <x v="14"/>
    <x v="6"/>
    <x v="13"/>
    <x v="1"/>
    <x v="0"/>
    <m/>
  </r>
  <r>
    <d v="2027-03-14T00:00:00"/>
    <x v="1"/>
    <s v="Glass &amp; Bottles"/>
    <s v="750ml"/>
    <x v="480"/>
    <x v="1"/>
    <x v="1215"/>
    <n v="12"/>
    <n v="5388"/>
    <x v="1054"/>
    <x v="0"/>
    <x v="1"/>
    <x v="2"/>
    <s v="Delivered"/>
    <n v="696"/>
    <n v="449"/>
    <x v="3"/>
    <x v="2"/>
    <x v="3"/>
    <x v="0"/>
    <x v="6"/>
    <m/>
  </r>
  <r>
    <d v="2027-03-15T00:00:00"/>
    <x v="3"/>
    <s v="Containers"/>
    <s v="1L"/>
    <x v="95"/>
    <x v="3"/>
    <x v="1216"/>
    <n v="3"/>
    <n v="693"/>
    <x v="96"/>
    <x v="2"/>
    <x v="3"/>
    <x v="0"/>
    <s v="Delivered"/>
    <n v="638"/>
    <n v="231"/>
    <x v="5"/>
    <x v="0"/>
    <x v="5"/>
    <x v="2"/>
    <x v="2"/>
    <m/>
  </r>
  <r>
    <d v="2027-03-16T00:00:00"/>
    <x v="4"/>
    <s v="Plates &amp; Bowls"/>
    <s v="500ml"/>
    <x v="286"/>
    <x v="4"/>
    <x v="1217"/>
    <n v="1.5"/>
    <n v="45"/>
    <x v="1055"/>
    <x v="0"/>
    <x v="0"/>
    <x v="2"/>
    <s v="Delivered"/>
    <n v="730"/>
    <n v="30"/>
    <x v="12"/>
    <x v="3"/>
    <x v="10"/>
    <x v="2"/>
    <x v="8"/>
    <m/>
  </r>
  <r>
    <d v="2027-03-17T00:00:00"/>
    <x v="0"/>
    <s v="Takeaway Boxes"/>
    <s v="Large"/>
    <x v="179"/>
    <x v="0"/>
    <x v="206"/>
    <n v="5"/>
    <n v="195"/>
    <x v="151"/>
    <x v="2"/>
    <x v="0"/>
    <x v="0"/>
    <s v="Delivered"/>
    <n v="942"/>
    <n v="39"/>
    <x v="12"/>
    <x v="3"/>
    <x v="10"/>
    <x v="1"/>
    <x v="5"/>
    <m/>
  </r>
  <r>
    <d v="2027-03-18T00:00:00"/>
    <x v="2"/>
    <s v="Housekeeping Items"/>
    <s v="Standard"/>
    <x v="329"/>
    <x v="2"/>
    <x v="1218"/>
    <n v="100"/>
    <n v="48400"/>
    <x v="1056"/>
    <x v="1"/>
    <x v="1"/>
    <x v="2"/>
    <s v="Returned"/>
    <n v="532"/>
    <n v="484"/>
    <x v="16"/>
    <x v="4"/>
    <x v="15"/>
    <x v="1"/>
    <x v="7"/>
    <m/>
  </r>
  <r>
    <d v="2027-03-19T00:00:00"/>
    <x v="2"/>
    <s v="Housekeeping Items"/>
    <s v="Standard"/>
    <x v="173"/>
    <x v="2"/>
    <x v="198"/>
    <n v="100"/>
    <n v="24600"/>
    <x v="194"/>
    <x v="0"/>
    <x v="1"/>
    <x v="1"/>
    <s v="Delivered"/>
    <n v="733"/>
    <n v="246"/>
    <x v="11"/>
    <x v="9"/>
    <x v="11"/>
    <x v="0"/>
    <x v="1"/>
    <m/>
  </r>
  <r>
    <d v="2027-03-20T00:00:00"/>
    <x v="1"/>
    <s v="Glass &amp; Bottles"/>
    <s v="750ml"/>
    <x v="19"/>
    <x v="1"/>
    <x v="1219"/>
    <n v="12"/>
    <n v="1032"/>
    <x v="1057"/>
    <x v="0"/>
    <x v="0"/>
    <x v="0"/>
    <s v="Returned"/>
    <n v="894"/>
    <n v="86"/>
    <x v="11"/>
    <x v="9"/>
    <x v="11"/>
    <x v="3"/>
    <x v="3"/>
    <m/>
  </r>
  <r>
    <d v="2027-03-21T00:00:00"/>
    <x v="4"/>
    <s v="Plates &amp; Bowls"/>
    <s v="500ml"/>
    <x v="465"/>
    <x v="4"/>
    <x v="455"/>
    <n v="1.5"/>
    <n v="342"/>
    <x v="387"/>
    <x v="2"/>
    <x v="3"/>
    <x v="2"/>
    <s v="Delayed"/>
    <n v="991"/>
    <n v="228"/>
    <x v="8"/>
    <x v="6"/>
    <x v="8"/>
    <x v="3"/>
    <x v="8"/>
    <m/>
  </r>
  <r>
    <d v="2027-03-22T00:00:00"/>
    <x v="4"/>
    <s v="Plates &amp; Bowls"/>
    <s v="500ml"/>
    <x v="310"/>
    <x v="4"/>
    <x v="676"/>
    <n v="1.5"/>
    <n v="241.5"/>
    <x v="634"/>
    <x v="1"/>
    <x v="2"/>
    <x v="1"/>
    <s v="Returned"/>
    <n v="646"/>
    <n v="161"/>
    <x v="0"/>
    <x v="0"/>
    <x v="0"/>
    <x v="0"/>
    <x v="5"/>
    <m/>
  </r>
  <r>
    <d v="2027-03-23T00:00:00"/>
    <x v="0"/>
    <s v="Takeaway Boxes"/>
    <s v="Large"/>
    <x v="376"/>
    <x v="0"/>
    <x v="580"/>
    <n v="5"/>
    <n v="480"/>
    <x v="549"/>
    <x v="2"/>
    <x v="0"/>
    <x v="0"/>
    <s v="Delayed"/>
    <n v="869"/>
    <n v="96"/>
    <x v="7"/>
    <x v="5"/>
    <x v="7"/>
    <x v="4"/>
    <x v="9"/>
    <m/>
  </r>
  <r>
    <d v="2027-03-24T00:00:00"/>
    <x v="4"/>
    <s v="Plates &amp; Bowls"/>
    <s v="500ml"/>
    <x v="266"/>
    <x v="4"/>
    <x v="337"/>
    <n v="1.5"/>
    <n v="289.5"/>
    <x v="319"/>
    <x v="1"/>
    <x v="3"/>
    <x v="0"/>
    <s v="Returned"/>
    <n v="959"/>
    <n v="193"/>
    <x v="8"/>
    <x v="6"/>
    <x v="8"/>
    <x v="2"/>
    <x v="2"/>
    <m/>
  </r>
  <r>
    <d v="2027-03-25T00:00:00"/>
    <x v="1"/>
    <s v="Glass &amp; Bottles"/>
    <s v="750ml"/>
    <x v="330"/>
    <x v="1"/>
    <x v="488"/>
    <n v="12"/>
    <n v="3900"/>
    <x v="460"/>
    <x v="1"/>
    <x v="0"/>
    <x v="1"/>
    <s v="Delivered"/>
    <n v="547"/>
    <n v="325"/>
    <x v="8"/>
    <x v="6"/>
    <x v="8"/>
    <x v="1"/>
    <x v="7"/>
    <m/>
  </r>
  <r>
    <d v="2027-03-26T00:00:00"/>
    <x v="0"/>
    <s v="Takeaway Boxes"/>
    <s v="Large"/>
    <x v="266"/>
    <x v="0"/>
    <x v="1220"/>
    <n v="5"/>
    <n v="965"/>
    <x v="1058"/>
    <x v="1"/>
    <x v="0"/>
    <x v="1"/>
    <s v="Delivered"/>
    <n v="536"/>
    <n v="193"/>
    <x v="18"/>
    <x v="12"/>
    <x v="17"/>
    <x v="2"/>
    <x v="11"/>
    <m/>
  </r>
  <r>
    <d v="2027-03-27T00:00:00"/>
    <x v="3"/>
    <s v="Containers"/>
    <s v="1L"/>
    <x v="444"/>
    <x v="3"/>
    <x v="1137"/>
    <n v="3"/>
    <n v="1155"/>
    <x v="968"/>
    <x v="2"/>
    <x v="0"/>
    <x v="1"/>
    <s v="Delayed"/>
    <n v="504"/>
    <n v="385"/>
    <x v="17"/>
    <x v="11"/>
    <x v="16"/>
    <x v="4"/>
    <x v="6"/>
    <m/>
  </r>
  <r>
    <d v="2027-03-28T00:00:00"/>
    <x v="1"/>
    <s v="Glass &amp; Bottles"/>
    <s v="750ml"/>
    <x v="165"/>
    <x v="1"/>
    <x v="158"/>
    <n v="12"/>
    <n v="300"/>
    <x v="153"/>
    <x v="2"/>
    <x v="3"/>
    <x v="2"/>
    <s v="Returned"/>
    <n v="766"/>
    <n v="25"/>
    <x v="9"/>
    <x v="7"/>
    <x v="9"/>
    <x v="2"/>
    <x v="7"/>
    <m/>
  </r>
  <r>
    <d v="2027-03-29T00:00:00"/>
    <x v="5"/>
    <s v="Cutlery"/>
    <s v="3pcs"/>
    <x v="451"/>
    <x v="5"/>
    <x v="245"/>
    <n v="4"/>
    <n v="40"/>
    <x v="820"/>
    <x v="2"/>
    <x v="1"/>
    <x v="1"/>
    <s v="Delayed"/>
    <n v="984"/>
    <n v="10"/>
    <x v="17"/>
    <x v="11"/>
    <x v="16"/>
    <x v="3"/>
    <x v="1"/>
    <m/>
  </r>
  <r>
    <d v="2027-03-30T00:00:00"/>
    <x v="0"/>
    <s v="Takeaway Boxes"/>
    <s v="Large"/>
    <x v="265"/>
    <x v="0"/>
    <x v="1221"/>
    <n v="5"/>
    <n v="2230"/>
    <x v="1059"/>
    <x v="2"/>
    <x v="1"/>
    <x v="1"/>
    <s v="Returned"/>
    <n v="701"/>
    <n v="446"/>
    <x v="4"/>
    <x v="3"/>
    <x v="4"/>
    <x v="2"/>
    <x v="3"/>
    <m/>
  </r>
  <r>
    <d v="2027-03-31T00:00:00"/>
    <x v="5"/>
    <s v="Cutlery"/>
    <s v="3pcs"/>
    <x v="442"/>
    <x v="5"/>
    <x v="1222"/>
    <n v="4"/>
    <n v="48"/>
    <x v="238"/>
    <x v="1"/>
    <x v="0"/>
    <x v="1"/>
    <s v="Returned"/>
    <n v="913"/>
    <n v="12"/>
    <x v="8"/>
    <x v="6"/>
    <x v="8"/>
    <x v="0"/>
    <x v="8"/>
    <m/>
  </r>
  <r>
    <d v="2027-04-01T00:00:00"/>
    <x v="1"/>
    <s v="Glass &amp; Bottles"/>
    <s v="750ml"/>
    <x v="135"/>
    <x v="1"/>
    <x v="143"/>
    <n v="12"/>
    <n v="1764"/>
    <x v="139"/>
    <x v="0"/>
    <x v="3"/>
    <x v="0"/>
    <s v="Returned"/>
    <n v="980"/>
    <n v="147"/>
    <x v="1"/>
    <x v="1"/>
    <x v="1"/>
    <x v="0"/>
    <x v="3"/>
    <m/>
  </r>
  <r>
    <d v="2027-04-02T00:00:00"/>
    <x v="2"/>
    <s v="Housekeeping Items"/>
    <s v="Standard"/>
    <x v="334"/>
    <x v="2"/>
    <x v="968"/>
    <n v="100"/>
    <n v="6600"/>
    <x v="1060"/>
    <x v="2"/>
    <x v="0"/>
    <x v="0"/>
    <s v="Delivered"/>
    <n v="685"/>
    <n v="66"/>
    <x v="13"/>
    <x v="2"/>
    <x v="12"/>
    <x v="3"/>
    <x v="11"/>
    <m/>
  </r>
  <r>
    <d v="2027-04-03T00:00:00"/>
    <x v="4"/>
    <s v="Plates &amp; Bowls"/>
    <s v="500ml"/>
    <x v="98"/>
    <x v="4"/>
    <x v="1223"/>
    <n v="1.5"/>
    <n v="219"/>
    <x v="1061"/>
    <x v="1"/>
    <x v="2"/>
    <x v="0"/>
    <s v="Returned"/>
    <n v="561"/>
    <n v="146"/>
    <x v="1"/>
    <x v="1"/>
    <x v="1"/>
    <x v="1"/>
    <x v="11"/>
    <m/>
  </r>
  <r>
    <d v="2027-04-04T00:00:00"/>
    <x v="3"/>
    <s v="Containers"/>
    <s v="1L"/>
    <x v="3"/>
    <x v="3"/>
    <x v="548"/>
    <n v="3"/>
    <n v="165"/>
    <x v="521"/>
    <x v="1"/>
    <x v="1"/>
    <x v="2"/>
    <s v="Delivered"/>
    <n v="735"/>
    <n v="55"/>
    <x v="4"/>
    <x v="3"/>
    <x v="4"/>
    <x v="4"/>
    <x v="3"/>
    <m/>
  </r>
  <r>
    <d v="2027-04-05T00:00:00"/>
    <x v="1"/>
    <s v="Glass &amp; Bottles"/>
    <s v="750ml"/>
    <x v="117"/>
    <x v="1"/>
    <x v="1224"/>
    <n v="12"/>
    <n v="5280"/>
    <x v="1062"/>
    <x v="1"/>
    <x v="2"/>
    <x v="2"/>
    <s v="Delivered"/>
    <n v="884"/>
    <n v="440"/>
    <x v="9"/>
    <x v="7"/>
    <x v="9"/>
    <x v="4"/>
    <x v="0"/>
    <m/>
  </r>
  <r>
    <d v="2027-04-06T00:00:00"/>
    <x v="1"/>
    <s v="Glass &amp; Bottles"/>
    <s v="750ml"/>
    <x v="71"/>
    <x v="1"/>
    <x v="761"/>
    <n v="12"/>
    <n v="756"/>
    <x v="204"/>
    <x v="0"/>
    <x v="1"/>
    <x v="1"/>
    <s v="Delivered"/>
    <n v="877"/>
    <n v="63"/>
    <x v="16"/>
    <x v="4"/>
    <x v="15"/>
    <x v="3"/>
    <x v="3"/>
    <m/>
  </r>
  <r>
    <d v="2027-04-07T00:00:00"/>
    <x v="0"/>
    <s v="Takeaway Boxes"/>
    <s v="Large"/>
    <x v="209"/>
    <x v="0"/>
    <x v="1225"/>
    <n v="5"/>
    <n v="2035"/>
    <x v="1063"/>
    <x v="0"/>
    <x v="3"/>
    <x v="0"/>
    <s v="Delayed"/>
    <n v="735"/>
    <n v="407"/>
    <x v="7"/>
    <x v="5"/>
    <x v="7"/>
    <x v="2"/>
    <x v="4"/>
    <m/>
  </r>
  <r>
    <d v="2027-04-08T00:00:00"/>
    <x v="4"/>
    <s v="Plates &amp; Bowls"/>
    <s v="500ml"/>
    <x v="24"/>
    <x v="4"/>
    <x v="1226"/>
    <n v="1.5"/>
    <n v="489"/>
    <x v="89"/>
    <x v="2"/>
    <x v="3"/>
    <x v="2"/>
    <s v="Delivered"/>
    <n v="893"/>
    <n v="326"/>
    <x v="13"/>
    <x v="2"/>
    <x v="12"/>
    <x v="1"/>
    <x v="8"/>
    <m/>
  </r>
  <r>
    <d v="2027-04-09T00:00:00"/>
    <x v="2"/>
    <s v="Housekeeping Items"/>
    <s v="Standard"/>
    <x v="402"/>
    <x v="2"/>
    <x v="1227"/>
    <n v="100"/>
    <n v="49400"/>
    <x v="1064"/>
    <x v="1"/>
    <x v="2"/>
    <x v="2"/>
    <s v="Returned"/>
    <n v="774"/>
    <n v="494"/>
    <x v="6"/>
    <x v="4"/>
    <x v="6"/>
    <x v="4"/>
    <x v="10"/>
    <m/>
  </r>
  <r>
    <d v="2027-04-10T00:00:00"/>
    <x v="5"/>
    <s v="Cutlery"/>
    <s v="3pcs"/>
    <x v="168"/>
    <x v="5"/>
    <x v="455"/>
    <n v="4"/>
    <n v="380"/>
    <x v="400"/>
    <x v="0"/>
    <x v="0"/>
    <x v="1"/>
    <s v="Delivered"/>
    <n v="652"/>
    <n v="95"/>
    <x v="11"/>
    <x v="9"/>
    <x v="11"/>
    <x v="2"/>
    <x v="10"/>
    <m/>
  </r>
  <r>
    <d v="2027-04-11T00:00:00"/>
    <x v="5"/>
    <s v="Cutlery"/>
    <s v="3pcs"/>
    <x v="465"/>
    <x v="5"/>
    <x v="1228"/>
    <n v="4"/>
    <n v="912"/>
    <x v="673"/>
    <x v="1"/>
    <x v="1"/>
    <x v="0"/>
    <s v="Delivered"/>
    <n v="615"/>
    <n v="228"/>
    <x v="2"/>
    <x v="2"/>
    <x v="2"/>
    <x v="2"/>
    <x v="0"/>
    <m/>
  </r>
  <r>
    <d v="2027-04-12T00:00:00"/>
    <x v="3"/>
    <s v="Containers"/>
    <s v="1L"/>
    <x v="382"/>
    <x v="3"/>
    <x v="600"/>
    <n v="3"/>
    <n v="471"/>
    <x v="567"/>
    <x v="0"/>
    <x v="0"/>
    <x v="1"/>
    <s v="Delivered"/>
    <n v="757"/>
    <n v="157"/>
    <x v="7"/>
    <x v="5"/>
    <x v="7"/>
    <x v="2"/>
    <x v="10"/>
    <m/>
  </r>
  <r>
    <d v="2027-04-13T00:00:00"/>
    <x v="5"/>
    <s v="Cutlery"/>
    <s v="3pcs"/>
    <x v="228"/>
    <x v="5"/>
    <x v="502"/>
    <n v="4"/>
    <n v="1984"/>
    <x v="278"/>
    <x v="0"/>
    <x v="1"/>
    <x v="1"/>
    <s v="Returned"/>
    <n v="931"/>
    <n v="496"/>
    <x v="14"/>
    <x v="6"/>
    <x v="13"/>
    <x v="1"/>
    <x v="8"/>
    <m/>
  </r>
  <r>
    <d v="2027-04-14T00:00:00"/>
    <x v="1"/>
    <s v="Glass &amp; Bottles"/>
    <s v="750ml"/>
    <x v="68"/>
    <x v="1"/>
    <x v="1229"/>
    <n v="12"/>
    <n v="3240"/>
    <x v="1065"/>
    <x v="0"/>
    <x v="2"/>
    <x v="2"/>
    <s v="Returned"/>
    <n v="750"/>
    <n v="270"/>
    <x v="2"/>
    <x v="2"/>
    <x v="2"/>
    <x v="0"/>
    <x v="3"/>
    <m/>
  </r>
  <r>
    <d v="2027-04-15T00:00:00"/>
    <x v="5"/>
    <s v="Cutlery"/>
    <s v="3pcs"/>
    <x v="258"/>
    <x v="5"/>
    <x v="593"/>
    <n v="4"/>
    <n v="1152"/>
    <x v="627"/>
    <x v="2"/>
    <x v="0"/>
    <x v="2"/>
    <s v="Delayed"/>
    <n v="680"/>
    <n v="288"/>
    <x v="5"/>
    <x v="0"/>
    <x v="5"/>
    <x v="3"/>
    <x v="10"/>
    <m/>
  </r>
  <r>
    <d v="2027-04-16T00:00:00"/>
    <x v="0"/>
    <s v="Takeaway Boxes"/>
    <s v="Large"/>
    <x v="464"/>
    <x v="0"/>
    <x v="851"/>
    <n v="5"/>
    <n v="240"/>
    <x v="554"/>
    <x v="0"/>
    <x v="0"/>
    <x v="2"/>
    <s v="Delivered"/>
    <n v="929"/>
    <n v="48"/>
    <x v="18"/>
    <x v="12"/>
    <x v="17"/>
    <x v="2"/>
    <x v="11"/>
    <m/>
  </r>
  <r>
    <d v="2027-04-17T00:00:00"/>
    <x v="4"/>
    <s v="Plates &amp; Bowls"/>
    <s v="500ml"/>
    <x v="44"/>
    <x v="4"/>
    <x v="913"/>
    <n v="1.5"/>
    <n v="748.5"/>
    <x v="828"/>
    <x v="1"/>
    <x v="3"/>
    <x v="1"/>
    <s v="Delayed"/>
    <n v="761"/>
    <n v="499"/>
    <x v="6"/>
    <x v="4"/>
    <x v="6"/>
    <x v="2"/>
    <x v="9"/>
    <m/>
  </r>
  <r>
    <d v="2027-04-18T00:00:00"/>
    <x v="4"/>
    <s v="Plates &amp; Bowls"/>
    <s v="500ml"/>
    <x v="424"/>
    <x v="4"/>
    <x v="1177"/>
    <n v="1.5"/>
    <n v="40.5"/>
    <x v="1026"/>
    <x v="0"/>
    <x v="2"/>
    <x v="1"/>
    <s v="Returned"/>
    <n v="891"/>
    <n v="27"/>
    <x v="13"/>
    <x v="2"/>
    <x v="12"/>
    <x v="3"/>
    <x v="3"/>
    <m/>
  </r>
  <r>
    <d v="2027-04-19T00:00:00"/>
    <x v="0"/>
    <s v="Takeaway Boxes"/>
    <s v="Large"/>
    <x v="224"/>
    <x v="0"/>
    <x v="1230"/>
    <n v="5"/>
    <n v="1985"/>
    <x v="1066"/>
    <x v="2"/>
    <x v="2"/>
    <x v="2"/>
    <s v="Delivered"/>
    <n v="835"/>
    <n v="397"/>
    <x v="13"/>
    <x v="2"/>
    <x v="12"/>
    <x v="4"/>
    <x v="5"/>
    <m/>
  </r>
  <r>
    <d v="2027-04-20T00:00:00"/>
    <x v="3"/>
    <s v="Containers"/>
    <s v="1L"/>
    <x v="246"/>
    <x v="3"/>
    <x v="1032"/>
    <n v="3"/>
    <n v="1377"/>
    <x v="923"/>
    <x v="0"/>
    <x v="0"/>
    <x v="1"/>
    <s v="Delivered"/>
    <n v="875"/>
    <n v="459"/>
    <x v="8"/>
    <x v="6"/>
    <x v="8"/>
    <x v="1"/>
    <x v="9"/>
    <m/>
  </r>
  <r>
    <d v="2027-04-21T00:00:00"/>
    <x v="3"/>
    <s v="Containers"/>
    <s v="1L"/>
    <x v="432"/>
    <x v="3"/>
    <x v="1231"/>
    <n v="3"/>
    <n v="966"/>
    <x v="1067"/>
    <x v="0"/>
    <x v="0"/>
    <x v="0"/>
    <s v="Delayed"/>
    <n v="812"/>
    <n v="322"/>
    <x v="9"/>
    <x v="7"/>
    <x v="9"/>
    <x v="2"/>
    <x v="0"/>
    <m/>
  </r>
  <r>
    <d v="2027-04-22T00:00:00"/>
    <x v="5"/>
    <s v="Cutlery"/>
    <s v="3pcs"/>
    <x v="132"/>
    <x v="5"/>
    <x v="140"/>
    <n v="4"/>
    <n v="1752"/>
    <x v="136"/>
    <x v="0"/>
    <x v="0"/>
    <x v="2"/>
    <s v="Returned"/>
    <n v="820"/>
    <n v="438"/>
    <x v="17"/>
    <x v="11"/>
    <x v="16"/>
    <x v="1"/>
    <x v="5"/>
    <m/>
  </r>
  <r>
    <d v="2027-04-23T00:00:00"/>
    <x v="3"/>
    <s v="Containers"/>
    <s v="1L"/>
    <x v="84"/>
    <x v="3"/>
    <x v="194"/>
    <n v="3"/>
    <n v="180"/>
    <x v="190"/>
    <x v="1"/>
    <x v="2"/>
    <x v="2"/>
    <s v="Returned"/>
    <n v="543"/>
    <n v="60"/>
    <x v="6"/>
    <x v="4"/>
    <x v="6"/>
    <x v="4"/>
    <x v="4"/>
    <m/>
  </r>
  <r>
    <d v="2027-04-24T00:00:00"/>
    <x v="1"/>
    <s v="Glass &amp; Bottles"/>
    <s v="750ml"/>
    <x v="168"/>
    <x v="1"/>
    <x v="1232"/>
    <n v="12"/>
    <n v="1140"/>
    <x v="1068"/>
    <x v="1"/>
    <x v="0"/>
    <x v="2"/>
    <s v="Returned"/>
    <n v="531"/>
    <n v="95"/>
    <x v="3"/>
    <x v="2"/>
    <x v="3"/>
    <x v="4"/>
    <x v="8"/>
    <m/>
  </r>
  <r>
    <d v="2027-04-25T00:00:00"/>
    <x v="0"/>
    <s v="Takeaway Boxes"/>
    <s v="Large"/>
    <x v="409"/>
    <x v="0"/>
    <x v="1233"/>
    <n v="5"/>
    <n v="2010"/>
    <x v="1069"/>
    <x v="1"/>
    <x v="0"/>
    <x v="2"/>
    <s v="Returned"/>
    <n v="973"/>
    <n v="402"/>
    <x v="5"/>
    <x v="0"/>
    <x v="5"/>
    <x v="3"/>
    <x v="10"/>
    <m/>
  </r>
  <r>
    <d v="2027-04-26T00:00:00"/>
    <x v="0"/>
    <s v="Takeaway Boxes"/>
    <s v="Large"/>
    <x v="341"/>
    <x v="0"/>
    <x v="954"/>
    <n v="5"/>
    <n v="1035"/>
    <x v="1048"/>
    <x v="2"/>
    <x v="2"/>
    <x v="1"/>
    <s v="Delayed"/>
    <n v="995"/>
    <n v="207"/>
    <x v="7"/>
    <x v="5"/>
    <x v="7"/>
    <x v="2"/>
    <x v="3"/>
    <m/>
  </r>
  <r>
    <d v="2027-04-27T00:00:00"/>
    <x v="3"/>
    <s v="Containers"/>
    <s v="1L"/>
    <x v="374"/>
    <x v="3"/>
    <x v="1092"/>
    <n v="3"/>
    <n v="1245"/>
    <x v="965"/>
    <x v="1"/>
    <x v="1"/>
    <x v="1"/>
    <s v="Returned"/>
    <n v="609"/>
    <n v="415"/>
    <x v="19"/>
    <x v="13"/>
    <x v="18"/>
    <x v="2"/>
    <x v="1"/>
    <m/>
  </r>
  <r>
    <d v="2027-04-28T00:00:00"/>
    <x v="1"/>
    <s v="Glass &amp; Bottles"/>
    <s v="750ml"/>
    <x v="398"/>
    <x v="1"/>
    <x v="652"/>
    <n v="12"/>
    <n v="2004"/>
    <x v="612"/>
    <x v="0"/>
    <x v="3"/>
    <x v="1"/>
    <s v="Returned"/>
    <n v="650"/>
    <n v="167"/>
    <x v="8"/>
    <x v="6"/>
    <x v="8"/>
    <x v="2"/>
    <x v="0"/>
    <m/>
  </r>
  <r>
    <d v="2027-04-29T00:00:00"/>
    <x v="4"/>
    <s v="Plates &amp; Bowls"/>
    <s v="500ml"/>
    <x v="59"/>
    <x v="4"/>
    <x v="367"/>
    <n v="1.5"/>
    <n v="580.5"/>
    <x v="349"/>
    <x v="2"/>
    <x v="2"/>
    <x v="2"/>
    <s v="Delivered"/>
    <n v="610"/>
    <n v="387"/>
    <x v="8"/>
    <x v="6"/>
    <x v="8"/>
    <x v="1"/>
    <x v="4"/>
    <m/>
  </r>
  <r>
    <d v="2027-04-30T00:00:00"/>
    <x v="0"/>
    <s v="Takeaway Boxes"/>
    <s v="Large"/>
    <x v="292"/>
    <x v="0"/>
    <x v="813"/>
    <n v="5"/>
    <n v="2410"/>
    <x v="747"/>
    <x v="1"/>
    <x v="1"/>
    <x v="0"/>
    <s v="Delayed"/>
    <n v="947"/>
    <n v="482"/>
    <x v="0"/>
    <x v="0"/>
    <x v="0"/>
    <x v="2"/>
    <x v="0"/>
    <m/>
  </r>
  <r>
    <d v="2027-05-01T00:00:00"/>
    <x v="0"/>
    <s v="Takeaway Boxes"/>
    <s v="Large"/>
    <x v="140"/>
    <x v="0"/>
    <x v="570"/>
    <n v="5"/>
    <n v="1830"/>
    <x v="1070"/>
    <x v="0"/>
    <x v="0"/>
    <x v="0"/>
    <s v="Returned"/>
    <n v="518"/>
    <n v="366"/>
    <x v="7"/>
    <x v="5"/>
    <x v="7"/>
    <x v="4"/>
    <x v="0"/>
    <m/>
  </r>
  <r>
    <d v="2027-05-02T00:00:00"/>
    <x v="5"/>
    <s v="Cutlery"/>
    <s v="3pcs"/>
    <x v="359"/>
    <x v="5"/>
    <x v="1234"/>
    <n v="4"/>
    <n v="952"/>
    <x v="1019"/>
    <x v="1"/>
    <x v="0"/>
    <x v="1"/>
    <s v="Delivered"/>
    <n v="602"/>
    <n v="238"/>
    <x v="1"/>
    <x v="1"/>
    <x v="1"/>
    <x v="2"/>
    <x v="2"/>
    <m/>
  </r>
  <r>
    <d v="2027-05-03T00:00:00"/>
    <x v="3"/>
    <s v="Containers"/>
    <s v="1L"/>
    <x v="363"/>
    <x v="3"/>
    <x v="713"/>
    <n v="3"/>
    <n v="597"/>
    <x v="664"/>
    <x v="2"/>
    <x v="3"/>
    <x v="2"/>
    <s v="Delivered"/>
    <n v="691"/>
    <n v="199"/>
    <x v="6"/>
    <x v="4"/>
    <x v="6"/>
    <x v="2"/>
    <x v="9"/>
    <m/>
  </r>
  <r>
    <d v="2027-05-04T00:00:00"/>
    <x v="1"/>
    <s v="Glass &amp; Bottles"/>
    <s v="750ml"/>
    <x v="120"/>
    <x v="1"/>
    <x v="273"/>
    <n v="12"/>
    <n v="972"/>
    <x v="264"/>
    <x v="2"/>
    <x v="3"/>
    <x v="1"/>
    <s v="Delayed"/>
    <n v="554"/>
    <n v="81"/>
    <x v="7"/>
    <x v="5"/>
    <x v="7"/>
    <x v="2"/>
    <x v="8"/>
    <m/>
  </r>
  <r>
    <d v="2027-05-05T00:00:00"/>
    <x v="1"/>
    <s v="Glass &amp; Bottles"/>
    <s v="750ml"/>
    <x v="364"/>
    <x v="1"/>
    <x v="817"/>
    <n v="12"/>
    <n v="4032"/>
    <x v="751"/>
    <x v="1"/>
    <x v="3"/>
    <x v="1"/>
    <s v="Delayed"/>
    <n v="586"/>
    <n v="336"/>
    <x v="11"/>
    <x v="9"/>
    <x v="11"/>
    <x v="2"/>
    <x v="0"/>
    <m/>
  </r>
  <r>
    <d v="2027-05-06T00:00:00"/>
    <x v="1"/>
    <s v="Glass &amp; Bottles"/>
    <s v="750ml"/>
    <x v="259"/>
    <x v="1"/>
    <x v="501"/>
    <n v="12"/>
    <n v="5604"/>
    <x v="475"/>
    <x v="2"/>
    <x v="3"/>
    <x v="0"/>
    <s v="Delayed"/>
    <n v="819"/>
    <n v="467"/>
    <x v="0"/>
    <x v="0"/>
    <x v="0"/>
    <x v="3"/>
    <x v="0"/>
    <m/>
  </r>
  <r>
    <d v="2027-05-07T00:00:00"/>
    <x v="5"/>
    <s v="Cutlery"/>
    <s v="3pcs"/>
    <x v="170"/>
    <x v="5"/>
    <x v="1235"/>
    <n v="4"/>
    <n v="1916"/>
    <x v="1071"/>
    <x v="0"/>
    <x v="1"/>
    <x v="1"/>
    <s v="Delivered"/>
    <n v="559"/>
    <n v="479"/>
    <x v="15"/>
    <x v="10"/>
    <x v="14"/>
    <x v="0"/>
    <x v="5"/>
    <m/>
  </r>
  <r>
    <d v="2027-05-08T00:00:00"/>
    <x v="3"/>
    <s v="Containers"/>
    <s v="1L"/>
    <x v="44"/>
    <x v="3"/>
    <x v="454"/>
    <n v="3"/>
    <n v="1497"/>
    <x v="429"/>
    <x v="1"/>
    <x v="0"/>
    <x v="2"/>
    <s v="Delivered"/>
    <n v="839"/>
    <n v="499"/>
    <x v="4"/>
    <x v="3"/>
    <x v="4"/>
    <x v="4"/>
    <x v="4"/>
    <m/>
  </r>
  <r>
    <d v="2027-05-09T00:00:00"/>
    <x v="3"/>
    <s v="Containers"/>
    <s v="1L"/>
    <x v="458"/>
    <x v="3"/>
    <x v="1236"/>
    <n v="3"/>
    <n v="945"/>
    <x v="0"/>
    <x v="0"/>
    <x v="3"/>
    <x v="0"/>
    <s v="Delayed"/>
    <n v="631"/>
    <n v="315"/>
    <x v="9"/>
    <x v="7"/>
    <x v="9"/>
    <x v="1"/>
    <x v="11"/>
    <m/>
  </r>
  <r>
    <d v="2027-05-10T00:00:00"/>
    <x v="4"/>
    <s v="Plates &amp; Bowls"/>
    <s v="500ml"/>
    <x v="481"/>
    <x v="4"/>
    <x v="1237"/>
    <n v="1.5"/>
    <n v="412.5"/>
    <x v="1072"/>
    <x v="0"/>
    <x v="1"/>
    <x v="0"/>
    <s v="Delayed"/>
    <n v="583"/>
    <n v="275"/>
    <x v="3"/>
    <x v="2"/>
    <x v="3"/>
    <x v="1"/>
    <x v="10"/>
    <m/>
  </r>
  <r>
    <d v="2027-05-11T00:00:00"/>
    <x v="0"/>
    <s v="Takeaway Boxes"/>
    <s v="Large"/>
    <x v="200"/>
    <x v="0"/>
    <x v="510"/>
    <n v="5"/>
    <n v="1595"/>
    <x v="483"/>
    <x v="0"/>
    <x v="2"/>
    <x v="2"/>
    <s v="Delayed"/>
    <n v="504"/>
    <n v="319"/>
    <x v="7"/>
    <x v="5"/>
    <x v="7"/>
    <x v="4"/>
    <x v="2"/>
    <m/>
  </r>
  <r>
    <d v="2027-05-12T00:00:00"/>
    <x v="1"/>
    <s v="Glass &amp; Bottles"/>
    <s v="750ml"/>
    <x v="3"/>
    <x v="1"/>
    <x v="1210"/>
    <n v="12"/>
    <n v="660"/>
    <x v="1052"/>
    <x v="2"/>
    <x v="2"/>
    <x v="1"/>
    <s v="Delivered"/>
    <n v="791"/>
    <n v="55"/>
    <x v="10"/>
    <x v="8"/>
    <x v="10"/>
    <x v="4"/>
    <x v="11"/>
    <m/>
  </r>
  <r>
    <d v="2027-05-13T00:00:00"/>
    <x v="2"/>
    <s v="Housekeeping Items"/>
    <s v="Standard"/>
    <x v="156"/>
    <x v="2"/>
    <x v="446"/>
    <n v="100"/>
    <n v="22400"/>
    <x v="420"/>
    <x v="1"/>
    <x v="1"/>
    <x v="2"/>
    <s v="Delivered"/>
    <n v="510"/>
    <n v="224"/>
    <x v="18"/>
    <x v="12"/>
    <x v="17"/>
    <x v="4"/>
    <x v="1"/>
    <m/>
  </r>
  <r>
    <d v="2027-05-14T00:00:00"/>
    <x v="0"/>
    <s v="Takeaway Boxes"/>
    <s v="Large"/>
    <x v="435"/>
    <x v="0"/>
    <x v="508"/>
    <n v="5"/>
    <n v="775"/>
    <x v="749"/>
    <x v="2"/>
    <x v="3"/>
    <x v="0"/>
    <s v="Delayed"/>
    <n v="915"/>
    <n v="155"/>
    <x v="1"/>
    <x v="1"/>
    <x v="1"/>
    <x v="1"/>
    <x v="11"/>
    <m/>
  </r>
  <r>
    <d v="2027-05-15T00:00:00"/>
    <x v="0"/>
    <s v="Takeaway Boxes"/>
    <s v="Large"/>
    <x v="49"/>
    <x v="0"/>
    <x v="1238"/>
    <n v="5"/>
    <n v="1290"/>
    <x v="59"/>
    <x v="2"/>
    <x v="2"/>
    <x v="0"/>
    <s v="Delayed"/>
    <n v="819"/>
    <n v="258"/>
    <x v="13"/>
    <x v="2"/>
    <x v="12"/>
    <x v="3"/>
    <x v="11"/>
    <m/>
  </r>
  <r>
    <d v="2027-05-16T00:00:00"/>
    <x v="3"/>
    <s v="Containers"/>
    <s v="1L"/>
    <x v="464"/>
    <x v="3"/>
    <x v="613"/>
    <n v="3"/>
    <n v="144"/>
    <x v="580"/>
    <x v="2"/>
    <x v="3"/>
    <x v="0"/>
    <s v="Returned"/>
    <n v="880"/>
    <n v="48"/>
    <x v="3"/>
    <x v="2"/>
    <x v="3"/>
    <x v="1"/>
    <x v="2"/>
    <m/>
  </r>
  <r>
    <d v="2027-05-17T00:00:00"/>
    <x v="5"/>
    <s v="Cutlery"/>
    <s v="3pcs"/>
    <x v="408"/>
    <x v="5"/>
    <x v="1212"/>
    <n v="4"/>
    <n v="1228"/>
    <x v="1047"/>
    <x v="0"/>
    <x v="2"/>
    <x v="2"/>
    <s v="Delayed"/>
    <n v="961"/>
    <n v="307"/>
    <x v="14"/>
    <x v="6"/>
    <x v="13"/>
    <x v="0"/>
    <x v="8"/>
    <m/>
  </r>
  <r>
    <d v="2027-05-18T00:00:00"/>
    <x v="4"/>
    <s v="Plates &amp; Bowls"/>
    <s v="500ml"/>
    <x v="53"/>
    <x v="4"/>
    <x v="1239"/>
    <n v="1.5"/>
    <n v="229.5"/>
    <x v="1073"/>
    <x v="1"/>
    <x v="1"/>
    <x v="1"/>
    <s v="Returned"/>
    <n v="637"/>
    <n v="153"/>
    <x v="0"/>
    <x v="0"/>
    <x v="0"/>
    <x v="0"/>
    <x v="9"/>
    <m/>
  </r>
  <r>
    <d v="2027-05-19T00:00:00"/>
    <x v="1"/>
    <s v="Glass &amp; Bottles"/>
    <s v="750ml"/>
    <x v="316"/>
    <x v="1"/>
    <x v="1240"/>
    <n v="12"/>
    <n v="4308"/>
    <x v="1074"/>
    <x v="1"/>
    <x v="2"/>
    <x v="0"/>
    <s v="Returned"/>
    <n v="821"/>
    <n v="359"/>
    <x v="19"/>
    <x v="13"/>
    <x v="18"/>
    <x v="3"/>
    <x v="5"/>
    <m/>
  </r>
  <r>
    <d v="2027-05-20T00:00:00"/>
    <x v="1"/>
    <s v="Glass &amp; Bottles"/>
    <s v="750ml"/>
    <x v="350"/>
    <x v="1"/>
    <x v="1241"/>
    <n v="12"/>
    <n v="3936"/>
    <x v="1075"/>
    <x v="2"/>
    <x v="2"/>
    <x v="2"/>
    <s v="Delayed"/>
    <n v="647"/>
    <n v="328"/>
    <x v="1"/>
    <x v="1"/>
    <x v="1"/>
    <x v="3"/>
    <x v="0"/>
    <m/>
  </r>
  <r>
    <d v="2027-05-21T00:00:00"/>
    <x v="5"/>
    <s v="Cutlery"/>
    <s v="3pcs"/>
    <x v="190"/>
    <x v="5"/>
    <x v="856"/>
    <n v="4"/>
    <n v="480"/>
    <x v="956"/>
    <x v="0"/>
    <x v="2"/>
    <x v="1"/>
    <s v="Delivered"/>
    <n v="879"/>
    <n v="120"/>
    <x v="19"/>
    <x v="13"/>
    <x v="18"/>
    <x v="3"/>
    <x v="8"/>
    <m/>
  </r>
  <r>
    <d v="2027-05-22T00:00:00"/>
    <x v="4"/>
    <s v="Plates &amp; Bowls"/>
    <s v="500ml"/>
    <x v="438"/>
    <x v="4"/>
    <x v="330"/>
    <n v="1.5"/>
    <n v="666"/>
    <x v="202"/>
    <x v="2"/>
    <x v="1"/>
    <x v="1"/>
    <s v="Delivered"/>
    <n v="964"/>
    <n v="444"/>
    <x v="5"/>
    <x v="0"/>
    <x v="5"/>
    <x v="2"/>
    <x v="10"/>
    <m/>
  </r>
  <r>
    <d v="2027-05-23T00:00:00"/>
    <x v="1"/>
    <s v="Glass &amp; Bottles"/>
    <s v="750ml"/>
    <x v="184"/>
    <x v="1"/>
    <x v="1167"/>
    <n v="12"/>
    <n v="1560"/>
    <x v="1076"/>
    <x v="2"/>
    <x v="0"/>
    <x v="1"/>
    <s v="Delayed"/>
    <n v="508"/>
    <n v="130"/>
    <x v="16"/>
    <x v="4"/>
    <x v="15"/>
    <x v="0"/>
    <x v="10"/>
    <m/>
  </r>
  <r>
    <d v="2027-05-24T00:00:00"/>
    <x v="3"/>
    <s v="Containers"/>
    <s v="1L"/>
    <x v="231"/>
    <x v="3"/>
    <x v="1142"/>
    <n v="3"/>
    <n v="531"/>
    <x v="1005"/>
    <x v="1"/>
    <x v="1"/>
    <x v="1"/>
    <s v="Delayed"/>
    <n v="525"/>
    <n v="177"/>
    <x v="10"/>
    <x v="8"/>
    <x v="10"/>
    <x v="3"/>
    <x v="11"/>
    <m/>
  </r>
  <r>
    <d v="2027-05-25T00:00:00"/>
    <x v="1"/>
    <s v="Glass &amp; Bottles"/>
    <s v="750ml"/>
    <x v="478"/>
    <x v="1"/>
    <x v="1086"/>
    <n v="12"/>
    <n v="5580"/>
    <x v="1077"/>
    <x v="2"/>
    <x v="2"/>
    <x v="0"/>
    <s v="Returned"/>
    <n v="950"/>
    <n v="465"/>
    <x v="14"/>
    <x v="6"/>
    <x v="13"/>
    <x v="0"/>
    <x v="11"/>
    <m/>
  </r>
  <r>
    <d v="2027-05-26T00:00:00"/>
    <x v="3"/>
    <s v="Containers"/>
    <s v="1L"/>
    <x v="112"/>
    <x v="3"/>
    <x v="409"/>
    <n v="3"/>
    <n v="108"/>
    <x v="114"/>
    <x v="1"/>
    <x v="3"/>
    <x v="2"/>
    <s v="Returned"/>
    <n v="804"/>
    <n v="36"/>
    <x v="19"/>
    <x v="13"/>
    <x v="18"/>
    <x v="4"/>
    <x v="9"/>
    <m/>
  </r>
  <r>
    <d v="2027-05-27T00:00:00"/>
    <x v="4"/>
    <s v="Plates &amp; Bowls"/>
    <s v="500ml"/>
    <x v="455"/>
    <x v="4"/>
    <x v="1242"/>
    <n v="1.5"/>
    <n v="609"/>
    <x v="761"/>
    <x v="2"/>
    <x v="2"/>
    <x v="1"/>
    <s v="Delivered"/>
    <n v="971"/>
    <n v="406"/>
    <x v="19"/>
    <x v="13"/>
    <x v="18"/>
    <x v="0"/>
    <x v="10"/>
    <m/>
  </r>
  <r>
    <d v="2027-05-28T00:00:00"/>
    <x v="0"/>
    <s v="Takeaway Boxes"/>
    <s v="Large"/>
    <x v="116"/>
    <x v="0"/>
    <x v="1243"/>
    <n v="5"/>
    <n v="690"/>
    <x v="487"/>
    <x v="0"/>
    <x v="3"/>
    <x v="2"/>
    <s v="Delayed"/>
    <n v="666"/>
    <n v="138"/>
    <x v="17"/>
    <x v="11"/>
    <x v="16"/>
    <x v="3"/>
    <x v="10"/>
    <m/>
  </r>
  <r>
    <d v="2027-05-29T00:00:00"/>
    <x v="3"/>
    <s v="Containers"/>
    <s v="1L"/>
    <x v="117"/>
    <x v="3"/>
    <x v="1244"/>
    <n v="3"/>
    <n v="1320"/>
    <x v="119"/>
    <x v="1"/>
    <x v="0"/>
    <x v="1"/>
    <s v="Delayed"/>
    <n v="778"/>
    <n v="440"/>
    <x v="14"/>
    <x v="6"/>
    <x v="13"/>
    <x v="3"/>
    <x v="8"/>
    <m/>
  </r>
  <r>
    <d v="2027-05-30T00:00:00"/>
    <x v="3"/>
    <s v="Containers"/>
    <s v="1L"/>
    <x v="41"/>
    <x v="3"/>
    <x v="832"/>
    <n v="3"/>
    <n v="213"/>
    <x v="41"/>
    <x v="0"/>
    <x v="3"/>
    <x v="2"/>
    <s v="Delayed"/>
    <n v="620"/>
    <n v="71"/>
    <x v="12"/>
    <x v="3"/>
    <x v="10"/>
    <x v="2"/>
    <x v="11"/>
    <m/>
  </r>
  <r>
    <d v="2027-05-31T00:00:00"/>
    <x v="5"/>
    <s v="Cutlery"/>
    <s v="3pcs"/>
    <x v="163"/>
    <x v="5"/>
    <x v="917"/>
    <n v="4"/>
    <n v="1244"/>
    <x v="832"/>
    <x v="0"/>
    <x v="3"/>
    <x v="2"/>
    <s v="Returned"/>
    <n v="509"/>
    <n v="311"/>
    <x v="17"/>
    <x v="11"/>
    <x v="16"/>
    <x v="2"/>
    <x v="11"/>
    <m/>
  </r>
  <r>
    <d v="2027-06-01T00:00:00"/>
    <x v="2"/>
    <s v="Housekeeping Items"/>
    <s v="Standard"/>
    <x v="221"/>
    <x v="2"/>
    <x v="262"/>
    <n v="100"/>
    <n v="8000"/>
    <x v="254"/>
    <x v="0"/>
    <x v="0"/>
    <x v="0"/>
    <s v="Delivered"/>
    <n v="975"/>
    <n v="80"/>
    <x v="13"/>
    <x v="2"/>
    <x v="12"/>
    <x v="3"/>
    <x v="11"/>
    <m/>
  </r>
  <r>
    <d v="2027-06-02T00:00:00"/>
    <x v="5"/>
    <s v="Cutlery"/>
    <s v="3pcs"/>
    <x v="305"/>
    <x v="5"/>
    <x v="1245"/>
    <n v="4"/>
    <n v="1372"/>
    <x v="1078"/>
    <x v="2"/>
    <x v="2"/>
    <x v="2"/>
    <s v="Delivered"/>
    <n v="939"/>
    <n v="343"/>
    <x v="15"/>
    <x v="10"/>
    <x v="14"/>
    <x v="1"/>
    <x v="6"/>
    <m/>
  </r>
  <r>
    <d v="2027-06-03T00:00:00"/>
    <x v="2"/>
    <s v="Housekeeping Items"/>
    <s v="Standard"/>
    <x v="13"/>
    <x v="2"/>
    <x v="1246"/>
    <n v="100"/>
    <n v="38200"/>
    <x v="1079"/>
    <x v="0"/>
    <x v="0"/>
    <x v="1"/>
    <s v="Delivered"/>
    <n v="766"/>
    <n v="382"/>
    <x v="5"/>
    <x v="0"/>
    <x v="5"/>
    <x v="1"/>
    <x v="9"/>
    <m/>
  </r>
  <r>
    <d v="2027-06-04T00:00:00"/>
    <x v="0"/>
    <s v="Takeaway Boxes"/>
    <s v="Large"/>
    <x v="78"/>
    <x v="0"/>
    <x v="1247"/>
    <n v="5"/>
    <n v="1890"/>
    <x v="1080"/>
    <x v="2"/>
    <x v="0"/>
    <x v="1"/>
    <s v="Returned"/>
    <n v="742"/>
    <n v="378"/>
    <x v="7"/>
    <x v="5"/>
    <x v="7"/>
    <x v="4"/>
    <x v="8"/>
    <m/>
  </r>
  <r>
    <d v="2027-06-05T00:00:00"/>
    <x v="2"/>
    <s v="Housekeeping Items"/>
    <s v="Standard"/>
    <x v="482"/>
    <x v="2"/>
    <x v="1248"/>
    <n v="100"/>
    <n v="18900"/>
    <x v="1081"/>
    <x v="1"/>
    <x v="0"/>
    <x v="0"/>
    <s v="Delivered"/>
    <n v="671"/>
    <n v="189"/>
    <x v="3"/>
    <x v="2"/>
    <x v="3"/>
    <x v="4"/>
    <x v="0"/>
    <m/>
  </r>
  <r>
    <d v="2027-06-06T00:00:00"/>
    <x v="2"/>
    <s v="Housekeeping Items"/>
    <s v="Standard"/>
    <x v="476"/>
    <x v="2"/>
    <x v="704"/>
    <n v="100"/>
    <n v="5600"/>
    <x v="1082"/>
    <x v="0"/>
    <x v="1"/>
    <x v="2"/>
    <s v="Delivered"/>
    <n v="702"/>
    <n v="56"/>
    <x v="18"/>
    <x v="12"/>
    <x v="17"/>
    <x v="2"/>
    <x v="4"/>
    <m/>
  </r>
  <r>
    <d v="2027-06-07T00:00:00"/>
    <x v="1"/>
    <s v="Glass &amp; Bottles"/>
    <s v="750ml"/>
    <x v="399"/>
    <x v="1"/>
    <x v="734"/>
    <n v="12"/>
    <n v="1104"/>
    <x v="680"/>
    <x v="0"/>
    <x v="1"/>
    <x v="0"/>
    <s v="Returned"/>
    <n v="747"/>
    <n v="92"/>
    <x v="3"/>
    <x v="2"/>
    <x v="3"/>
    <x v="2"/>
    <x v="2"/>
    <m/>
  </r>
  <r>
    <d v="2027-06-08T00:00:00"/>
    <x v="0"/>
    <s v="Takeaway Boxes"/>
    <s v="Large"/>
    <x v="412"/>
    <x v="0"/>
    <x v="1249"/>
    <n v="5"/>
    <n v="580"/>
    <x v="84"/>
    <x v="2"/>
    <x v="0"/>
    <x v="0"/>
    <s v="Delayed"/>
    <n v="515"/>
    <n v="116"/>
    <x v="6"/>
    <x v="4"/>
    <x v="6"/>
    <x v="4"/>
    <x v="8"/>
    <m/>
  </r>
  <r>
    <d v="2027-06-09T00:00:00"/>
    <x v="2"/>
    <s v="Housekeeping Items"/>
    <s v="Standard"/>
    <x v="324"/>
    <x v="2"/>
    <x v="1250"/>
    <n v="100"/>
    <n v="33500"/>
    <x v="1083"/>
    <x v="0"/>
    <x v="3"/>
    <x v="0"/>
    <s v="Delayed"/>
    <n v="994"/>
    <n v="335"/>
    <x v="3"/>
    <x v="2"/>
    <x v="3"/>
    <x v="3"/>
    <x v="6"/>
    <m/>
  </r>
  <r>
    <d v="2027-06-10T00:00:00"/>
    <x v="5"/>
    <s v="Cutlery"/>
    <s v="3pcs"/>
    <x v="264"/>
    <x v="5"/>
    <x v="1251"/>
    <n v="4"/>
    <n v="248"/>
    <x v="1084"/>
    <x v="0"/>
    <x v="1"/>
    <x v="0"/>
    <s v="Delivered"/>
    <n v="609"/>
    <n v="62"/>
    <x v="3"/>
    <x v="2"/>
    <x v="3"/>
    <x v="4"/>
    <x v="2"/>
    <m/>
  </r>
  <r>
    <d v="2027-06-11T00:00:00"/>
    <x v="3"/>
    <s v="Containers"/>
    <s v="1L"/>
    <x v="289"/>
    <x v="3"/>
    <x v="703"/>
    <n v="3"/>
    <n v="399"/>
    <x v="656"/>
    <x v="1"/>
    <x v="3"/>
    <x v="0"/>
    <s v="Returned"/>
    <n v="667"/>
    <n v="133"/>
    <x v="12"/>
    <x v="3"/>
    <x v="10"/>
    <x v="2"/>
    <x v="3"/>
    <m/>
  </r>
  <r>
    <d v="2027-06-12T00:00:00"/>
    <x v="3"/>
    <s v="Containers"/>
    <s v="1L"/>
    <x v="417"/>
    <x v="3"/>
    <x v="1252"/>
    <n v="3"/>
    <n v="795"/>
    <x v="688"/>
    <x v="2"/>
    <x v="3"/>
    <x v="1"/>
    <s v="Delivered"/>
    <n v="558"/>
    <n v="265"/>
    <x v="9"/>
    <x v="7"/>
    <x v="9"/>
    <x v="1"/>
    <x v="3"/>
    <m/>
  </r>
  <r>
    <d v="2027-06-13T00:00:00"/>
    <x v="1"/>
    <s v="Glass &amp; Bottles"/>
    <s v="750ml"/>
    <x v="12"/>
    <x v="1"/>
    <x v="13"/>
    <n v="12"/>
    <n v="2016"/>
    <x v="13"/>
    <x v="2"/>
    <x v="3"/>
    <x v="2"/>
    <s v="Returned"/>
    <n v="848"/>
    <n v="168"/>
    <x v="5"/>
    <x v="0"/>
    <x v="5"/>
    <x v="1"/>
    <x v="2"/>
    <m/>
  </r>
  <r>
    <d v="2027-06-14T00:00:00"/>
    <x v="3"/>
    <s v="Containers"/>
    <s v="1L"/>
    <x v="0"/>
    <x v="3"/>
    <x v="957"/>
    <n v="3"/>
    <n v="630"/>
    <x v="1085"/>
    <x v="1"/>
    <x v="2"/>
    <x v="2"/>
    <s v="Delayed"/>
    <n v="562"/>
    <n v="210"/>
    <x v="12"/>
    <x v="3"/>
    <x v="10"/>
    <x v="1"/>
    <x v="11"/>
    <m/>
  </r>
  <r>
    <d v="2027-06-15T00:00:00"/>
    <x v="0"/>
    <s v="Takeaway Boxes"/>
    <s v="Large"/>
    <x v="39"/>
    <x v="0"/>
    <x v="1082"/>
    <n v="5"/>
    <n v="2215"/>
    <x v="959"/>
    <x v="1"/>
    <x v="3"/>
    <x v="1"/>
    <s v="Returned"/>
    <n v="846"/>
    <n v="443"/>
    <x v="8"/>
    <x v="6"/>
    <x v="8"/>
    <x v="4"/>
    <x v="5"/>
    <m/>
  </r>
  <r>
    <d v="2027-06-16T00:00:00"/>
    <x v="0"/>
    <s v="Takeaway Boxes"/>
    <s v="Large"/>
    <x v="180"/>
    <x v="0"/>
    <x v="207"/>
    <n v="5"/>
    <n v="740"/>
    <x v="202"/>
    <x v="0"/>
    <x v="0"/>
    <x v="0"/>
    <s v="Delivered"/>
    <n v="854"/>
    <n v="148"/>
    <x v="1"/>
    <x v="1"/>
    <x v="1"/>
    <x v="0"/>
    <x v="2"/>
    <m/>
  </r>
  <r>
    <d v="2027-06-17T00:00:00"/>
    <x v="3"/>
    <s v="Containers"/>
    <s v="1L"/>
    <x v="446"/>
    <x v="3"/>
    <x v="1066"/>
    <n v="3"/>
    <n v="1266"/>
    <x v="946"/>
    <x v="2"/>
    <x v="3"/>
    <x v="1"/>
    <s v="Delayed"/>
    <n v="966"/>
    <n v="422"/>
    <x v="13"/>
    <x v="2"/>
    <x v="12"/>
    <x v="4"/>
    <x v="6"/>
    <m/>
  </r>
  <r>
    <d v="2027-06-18T00:00:00"/>
    <x v="1"/>
    <s v="Glass &amp; Bottles"/>
    <s v="750ml"/>
    <x v="370"/>
    <x v="1"/>
    <x v="1253"/>
    <n v="12"/>
    <n v="3408"/>
    <x v="1086"/>
    <x v="0"/>
    <x v="2"/>
    <x v="0"/>
    <s v="Returned"/>
    <n v="949"/>
    <n v="284"/>
    <x v="10"/>
    <x v="8"/>
    <x v="10"/>
    <x v="4"/>
    <x v="2"/>
    <m/>
  </r>
  <r>
    <d v="2027-06-19T00:00:00"/>
    <x v="2"/>
    <s v="Housekeeping Items"/>
    <s v="Standard"/>
    <x v="175"/>
    <x v="2"/>
    <x v="681"/>
    <n v="100"/>
    <n v="46200"/>
    <x v="639"/>
    <x v="0"/>
    <x v="2"/>
    <x v="0"/>
    <s v="Returned"/>
    <n v="985"/>
    <n v="462"/>
    <x v="6"/>
    <x v="4"/>
    <x v="6"/>
    <x v="2"/>
    <x v="8"/>
    <m/>
  </r>
  <r>
    <d v="2027-06-20T00:00:00"/>
    <x v="0"/>
    <s v="Takeaway Boxes"/>
    <s v="Large"/>
    <x v="69"/>
    <x v="0"/>
    <x v="502"/>
    <n v="5"/>
    <n v="1860"/>
    <x v="476"/>
    <x v="0"/>
    <x v="1"/>
    <x v="0"/>
    <s v="Delayed"/>
    <n v="687"/>
    <n v="372"/>
    <x v="8"/>
    <x v="6"/>
    <x v="8"/>
    <x v="0"/>
    <x v="11"/>
    <m/>
  </r>
  <r>
    <d v="2027-06-21T00:00:00"/>
    <x v="1"/>
    <s v="Glass &amp; Bottles"/>
    <s v="750ml"/>
    <x v="70"/>
    <x v="1"/>
    <x v="1254"/>
    <n v="12"/>
    <n v="5844"/>
    <x v="1087"/>
    <x v="0"/>
    <x v="2"/>
    <x v="1"/>
    <s v="Returned"/>
    <n v="654"/>
    <n v="487"/>
    <x v="0"/>
    <x v="0"/>
    <x v="0"/>
    <x v="3"/>
    <x v="11"/>
    <m/>
  </r>
  <r>
    <d v="2027-06-22T00:00:00"/>
    <x v="2"/>
    <s v="Housekeeping Items"/>
    <s v="Standard"/>
    <x v="122"/>
    <x v="2"/>
    <x v="127"/>
    <n v="100"/>
    <n v="15600"/>
    <x v="124"/>
    <x v="0"/>
    <x v="1"/>
    <x v="2"/>
    <s v="Returned"/>
    <n v="810"/>
    <n v="156"/>
    <x v="15"/>
    <x v="10"/>
    <x v="14"/>
    <x v="3"/>
    <x v="8"/>
    <m/>
  </r>
  <r>
    <d v="2027-06-23T00:00:00"/>
    <x v="5"/>
    <s v="Cutlery"/>
    <s v="3pcs"/>
    <x v="195"/>
    <x v="5"/>
    <x v="225"/>
    <n v="4"/>
    <n v="1644"/>
    <x v="219"/>
    <x v="1"/>
    <x v="0"/>
    <x v="2"/>
    <s v="Returned"/>
    <n v="936"/>
    <n v="411"/>
    <x v="15"/>
    <x v="10"/>
    <x v="14"/>
    <x v="3"/>
    <x v="8"/>
    <m/>
  </r>
  <r>
    <d v="2027-06-24T00:00:00"/>
    <x v="2"/>
    <s v="Housekeeping Items"/>
    <s v="Standard"/>
    <x v="338"/>
    <x v="2"/>
    <x v="509"/>
    <n v="100"/>
    <n v="14200"/>
    <x v="482"/>
    <x v="2"/>
    <x v="2"/>
    <x v="1"/>
    <s v="Delayed"/>
    <n v="542"/>
    <n v="142"/>
    <x v="0"/>
    <x v="0"/>
    <x v="0"/>
    <x v="0"/>
    <x v="9"/>
    <m/>
  </r>
  <r>
    <d v="2027-06-25T00:00:00"/>
    <x v="2"/>
    <s v="Housekeeping Items"/>
    <s v="Standard"/>
    <x v="406"/>
    <x v="2"/>
    <x v="1139"/>
    <n v="100"/>
    <n v="6500"/>
    <x v="1003"/>
    <x v="0"/>
    <x v="1"/>
    <x v="1"/>
    <s v="Delayed"/>
    <n v="835"/>
    <n v="65"/>
    <x v="12"/>
    <x v="3"/>
    <x v="10"/>
    <x v="1"/>
    <x v="4"/>
    <m/>
  </r>
  <r>
    <d v="2027-06-26T00:00:00"/>
    <x v="5"/>
    <s v="Cutlery"/>
    <s v="3pcs"/>
    <x v="20"/>
    <x v="5"/>
    <x v="47"/>
    <n v="4"/>
    <n v="408"/>
    <x v="46"/>
    <x v="1"/>
    <x v="2"/>
    <x v="1"/>
    <s v="Returned"/>
    <n v="721"/>
    <n v="102"/>
    <x v="1"/>
    <x v="1"/>
    <x v="1"/>
    <x v="4"/>
    <x v="2"/>
    <m/>
  </r>
  <r>
    <d v="2027-06-27T00:00:00"/>
    <x v="3"/>
    <s v="Containers"/>
    <s v="1L"/>
    <x v="250"/>
    <x v="3"/>
    <x v="756"/>
    <n v="3"/>
    <n v="1149"/>
    <x v="703"/>
    <x v="2"/>
    <x v="2"/>
    <x v="0"/>
    <s v="Delivered"/>
    <n v="553"/>
    <n v="383"/>
    <x v="18"/>
    <x v="12"/>
    <x v="17"/>
    <x v="0"/>
    <x v="7"/>
    <m/>
  </r>
  <r>
    <d v="2027-06-28T00:00:00"/>
    <x v="1"/>
    <s v="Glass &amp; Bottles"/>
    <s v="750ml"/>
    <x v="483"/>
    <x v="1"/>
    <x v="1255"/>
    <n v="12"/>
    <n v="3228"/>
    <x v="1088"/>
    <x v="2"/>
    <x v="0"/>
    <x v="2"/>
    <s v="Delivered"/>
    <n v="716"/>
    <n v="269"/>
    <x v="10"/>
    <x v="8"/>
    <x v="10"/>
    <x v="2"/>
    <x v="3"/>
    <m/>
  </r>
  <r>
    <d v="2027-06-29T00:00:00"/>
    <x v="1"/>
    <s v="Glass &amp; Bottles"/>
    <s v="750ml"/>
    <x v="62"/>
    <x v="1"/>
    <x v="960"/>
    <n v="12"/>
    <n v="1740"/>
    <x v="865"/>
    <x v="2"/>
    <x v="1"/>
    <x v="2"/>
    <s v="Returned"/>
    <n v="759"/>
    <n v="145"/>
    <x v="7"/>
    <x v="5"/>
    <x v="7"/>
    <x v="2"/>
    <x v="6"/>
    <m/>
  </r>
  <r>
    <d v="2027-06-30T00:00:00"/>
    <x v="3"/>
    <s v="Containers"/>
    <s v="1L"/>
    <x v="157"/>
    <x v="3"/>
    <x v="800"/>
    <n v="3"/>
    <n v="570"/>
    <x v="172"/>
    <x v="2"/>
    <x v="1"/>
    <x v="2"/>
    <s v="Delayed"/>
    <n v="964"/>
    <n v="190"/>
    <x v="1"/>
    <x v="1"/>
    <x v="1"/>
    <x v="0"/>
    <x v="2"/>
    <m/>
  </r>
  <r>
    <d v="2027-07-01T00:00:00"/>
    <x v="5"/>
    <s v="Cutlery"/>
    <s v="3pcs"/>
    <x v="369"/>
    <x v="5"/>
    <x v="568"/>
    <n v="4"/>
    <n v="2000"/>
    <x v="540"/>
    <x v="0"/>
    <x v="1"/>
    <x v="1"/>
    <s v="Returned"/>
    <n v="819"/>
    <n v="500"/>
    <x v="10"/>
    <x v="8"/>
    <x v="10"/>
    <x v="4"/>
    <x v="6"/>
    <m/>
  </r>
  <r>
    <d v="2027-07-02T00:00:00"/>
    <x v="1"/>
    <s v="Glass &amp; Bottles"/>
    <s v="750ml"/>
    <x v="340"/>
    <x v="1"/>
    <x v="1256"/>
    <n v="12"/>
    <n v="5568"/>
    <x v="1089"/>
    <x v="0"/>
    <x v="1"/>
    <x v="0"/>
    <s v="Returned"/>
    <n v="713"/>
    <n v="464"/>
    <x v="0"/>
    <x v="0"/>
    <x v="0"/>
    <x v="0"/>
    <x v="5"/>
    <m/>
  </r>
  <r>
    <d v="2027-07-03T00:00:00"/>
    <x v="5"/>
    <s v="Cutlery"/>
    <s v="3pcs"/>
    <x v="175"/>
    <x v="5"/>
    <x v="200"/>
    <n v="4"/>
    <n v="1848"/>
    <x v="196"/>
    <x v="2"/>
    <x v="3"/>
    <x v="1"/>
    <s v="Delivered"/>
    <n v="671"/>
    <n v="462"/>
    <x v="18"/>
    <x v="12"/>
    <x v="17"/>
    <x v="2"/>
    <x v="7"/>
    <m/>
  </r>
  <r>
    <d v="2027-07-04T00:00:00"/>
    <x v="5"/>
    <s v="Cutlery"/>
    <s v="3pcs"/>
    <x v="357"/>
    <x v="5"/>
    <x v="1257"/>
    <n v="4"/>
    <n v="836"/>
    <x v="591"/>
    <x v="1"/>
    <x v="1"/>
    <x v="2"/>
    <s v="Delivered"/>
    <n v="989"/>
    <n v="209"/>
    <x v="3"/>
    <x v="2"/>
    <x v="3"/>
    <x v="3"/>
    <x v="10"/>
    <m/>
  </r>
  <r>
    <d v="2027-07-05T00:00:00"/>
    <x v="5"/>
    <s v="Cutlery"/>
    <s v="3pcs"/>
    <x v="239"/>
    <x v="5"/>
    <x v="29"/>
    <n v="4"/>
    <n v="1648"/>
    <x v="280"/>
    <x v="0"/>
    <x v="2"/>
    <x v="0"/>
    <s v="Delayed"/>
    <n v="720"/>
    <n v="412"/>
    <x v="17"/>
    <x v="11"/>
    <x v="16"/>
    <x v="4"/>
    <x v="0"/>
    <m/>
  </r>
  <r>
    <d v="2027-07-06T00:00:00"/>
    <x v="3"/>
    <s v="Containers"/>
    <s v="1L"/>
    <x v="115"/>
    <x v="3"/>
    <x v="352"/>
    <n v="3"/>
    <n v="420"/>
    <x v="333"/>
    <x v="2"/>
    <x v="2"/>
    <x v="1"/>
    <s v="Delivered"/>
    <n v="546"/>
    <n v="140"/>
    <x v="10"/>
    <x v="8"/>
    <x v="10"/>
    <x v="3"/>
    <x v="11"/>
    <m/>
  </r>
  <r>
    <d v="2027-07-07T00:00:00"/>
    <x v="4"/>
    <s v="Plates &amp; Bowls"/>
    <s v="500ml"/>
    <x v="335"/>
    <x v="4"/>
    <x v="844"/>
    <n v="1.5"/>
    <n v="747"/>
    <x v="163"/>
    <x v="0"/>
    <x v="2"/>
    <x v="1"/>
    <s v="Delayed"/>
    <n v="518"/>
    <n v="498"/>
    <x v="3"/>
    <x v="2"/>
    <x v="3"/>
    <x v="3"/>
    <x v="1"/>
    <m/>
  </r>
  <r>
    <d v="2027-07-08T00:00:00"/>
    <x v="0"/>
    <s v="Takeaway Boxes"/>
    <s v="Large"/>
    <x v="192"/>
    <x v="0"/>
    <x v="470"/>
    <n v="5"/>
    <n v="525"/>
    <x v="444"/>
    <x v="2"/>
    <x v="1"/>
    <x v="2"/>
    <s v="Delivered"/>
    <n v="519"/>
    <n v="105"/>
    <x v="7"/>
    <x v="5"/>
    <x v="7"/>
    <x v="4"/>
    <x v="11"/>
    <m/>
  </r>
  <r>
    <d v="2027-07-09T00:00:00"/>
    <x v="1"/>
    <s v="Glass &amp; Bottles"/>
    <s v="750ml"/>
    <x v="326"/>
    <x v="1"/>
    <x v="1258"/>
    <n v="12"/>
    <n v="2436"/>
    <x v="1090"/>
    <x v="1"/>
    <x v="3"/>
    <x v="2"/>
    <s v="Delivered"/>
    <n v="510"/>
    <n v="203"/>
    <x v="18"/>
    <x v="12"/>
    <x v="17"/>
    <x v="2"/>
    <x v="9"/>
    <m/>
  </r>
  <r>
    <d v="2027-07-10T00:00:00"/>
    <x v="2"/>
    <s v="Housekeeping Items"/>
    <s v="Standard"/>
    <x v="229"/>
    <x v="2"/>
    <x v="272"/>
    <n v="100"/>
    <n v="13600"/>
    <x v="263"/>
    <x v="1"/>
    <x v="2"/>
    <x v="2"/>
    <s v="Delivered"/>
    <n v="535"/>
    <n v="136"/>
    <x v="17"/>
    <x v="11"/>
    <x v="16"/>
    <x v="1"/>
    <x v="11"/>
    <m/>
  </r>
  <r>
    <d v="2027-07-11T00:00:00"/>
    <x v="2"/>
    <s v="Housekeeping Items"/>
    <s v="Standard"/>
    <x v="450"/>
    <x v="2"/>
    <x v="1259"/>
    <n v="100"/>
    <n v="22500"/>
    <x v="1091"/>
    <x v="0"/>
    <x v="0"/>
    <x v="2"/>
    <s v="Delayed"/>
    <n v="566"/>
    <n v="225"/>
    <x v="14"/>
    <x v="6"/>
    <x v="13"/>
    <x v="4"/>
    <x v="6"/>
    <m/>
  </r>
  <r>
    <d v="2027-07-12T00:00:00"/>
    <x v="1"/>
    <s v="Glass &amp; Bottles"/>
    <s v="750ml"/>
    <x v="469"/>
    <x v="1"/>
    <x v="1260"/>
    <n v="12"/>
    <n v="5904"/>
    <x v="1092"/>
    <x v="2"/>
    <x v="1"/>
    <x v="2"/>
    <s v="Delayed"/>
    <n v="917"/>
    <n v="492"/>
    <x v="2"/>
    <x v="2"/>
    <x v="2"/>
    <x v="0"/>
    <x v="10"/>
    <m/>
  </r>
  <r>
    <d v="2027-07-13T00:00:00"/>
    <x v="4"/>
    <s v="Plates &amp; Bowls"/>
    <s v="500ml"/>
    <x v="102"/>
    <x v="4"/>
    <x v="827"/>
    <n v="1.5"/>
    <n v="565.5"/>
    <x v="759"/>
    <x v="0"/>
    <x v="1"/>
    <x v="1"/>
    <s v="Delivered"/>
    <n v="998"/>
    <n v="377"/>
    <x v="11"/>
    <x v="9"/>
    <x v="11"/>
    <x v="3"/>
    <x v="10"/>
    <m/>
  </r>
  <r>
    <d v="2027-07-14T00:00:00"/>
    <x v="5"/>
    <s v="Cutlery"/>
    <s v="3pcs"/>
    <x v="52"/>
    <x v="5"/>
    <x v="1261"/>
    <n v="4"/>
    <n v="1820"/>
    <x v="52"/>
    <x v="1"/>
    <x v="2"/>
    <x v="1"/>
    <s v="Delivered"/>
    <n v="892"/>
    <n v="455"/>
    <x v="19"/>
    <x v="13"/>
    <x v="18"/>
    <x v="3"/>
    <x v="6"/>
    <m/>
  </r>
  <r>
    <d v="2027-07-15T00:00:00"/>
    <x v="5"/>
    <s v="Cutlery"/>
    <s v="3pcs"/>
    <x v="157"/>
    <x v="5"/>
    <x v="177"/>
    <n v="4"/>
    <n v="760"/>
    <x v="172"/>
    <x v="1"/>
    <x v="1"/>
    <x v="2"/>
    <s v="Delivered"/>
    <n v="822"/>
    <n v="190"/>
    <x v="6"/>
    <x v="4"/>
    <x v="6"/>
    <x v="3"/>
    <x v="3"/>
    <m/>
  </r>
  <r>
    <d v="2027-07-16T00:00:00"/>
    <x v="5"/>
    <s v="Cutlery"/>
    <s v="3pcs"/>
    <x v="382"/>
    <x v="5"/>
    <x v="1262"/>
    <n v="4"/>
    <n v="628"/>
    <x v="567"/>
    <x v="0"/>
    <x v="0"/>
    <x v="1"/>
    <s v="Returned"/>
    <n v="972"/>
    <n v="157"/>
    <x v="10"/>
    <x v="8"/>
    <x v="10"/>
    <x v="0"/>
    <x v="1"/>
    <m/>
  </r>
  <r>
    <d v="2027-07-17T00:00:00"/>
    <x v="2"/>
    <s v="Housekeeping Items"/>
    <s v="Standard"/>
    <x v="381"/>
    <x v="2"/>
    <x v="1263"/>
    <n v="100"/>
    <n v="20600"/>
    <x v="1093"/>
    <x v="0"/>
    <x v="3"/>
    <x v="2"/>
    <s v="Returned"/>
    <n v="686"/>
    <n v="206"/>
    <x v="17"/>
    <x v="11"/>
    <x v="16"/>
    <x v="3"/>
    <x v="10"/>
    <m/>
  </r>
  <r>
    <d v="2027-07-18T00:00:00"/>
    <x v="3"/>
    <s v="Containers"/>
    <s v="1L"/>
    <x v="387"/>
    <x v="3"/>
    <x v="1158"/>
    <n v="3"/>
    <n v="510"/>
    <x v="1015"/>
    <x v="1"/>
    <x v="0"/>
    <x v="0"/>
    <s v="Delayed"/>
    <n v="942"/>
    <n v="170"/>
    <x v="15"/>
    <x v="10"/>
    <x v="14"/>
    <x v="2"/>
    <x v="2"/>
    <m/>
  </r>
  <r>
    <d v="2027-07-19T00:00:00"/>
    <x v="5"/>
    <s v="Cutlery"/>
    <s v="3pcs"/>
    <x v="346"/>
    <x v="5"/>
    <x v="1179"/>
    <n v="4"/>
    <n v="1272"/>
    <x v="814"/>
    <x v="2"/>
    <x v="0"/>
    <x v="0"/>
    <s v="Delayed"/>
    <n v="911"/>
    <n v="318"/>
    <x v="8"/>
    <x v="6"/>
    <x v="8"/>
    <x v="4"/>
    <x v="4"/>
    <m/>
  </r>
  <r>
    <d v="2027-07-20T00:00:00"/>
    <x v="4"/>
    <s v="Plates &amp; Bowls"/>
    <s v="500ml"/>
    <x v="394"/>
    <x v="4"/>
    <x v="1264"/>
    <n v="1.5"/>
    <n v="148.5"/>
    <x v="1010"/>
    <x v="2"/>
    <x v="0"/>
    <x v="0"/>
    <s v="Delayed"/>
    <n v="848"/>
    <n v="99"/>
    <x v="14"/>
    <x v="6"/>
    <x v="13"/>
    <x v="3"/>
    <x v="9"/>
    <m/>
  </r>
  <r>
    <d v="2027-07-21T00:00:00"/>
    <x v="5"/>
    <s v="Cutlery"/>
    <s v="3pcs"/>
    <x v="251"/>
    <x v="5"/>
    <x v="1265"/>
    <n v="4"/>
    <n v="1704"/>
    <x v="564"/>
    <x v="2"/>
    <x v="0"/>
    <x v="1"/>
    <s v="Delivered"/>
    <n v="915"/>
    <n v="426"/>
    <x v="16"/>
    <x v="4"/>
    <x v="15"/>
    <x v="1"/>
    <x v="2"/>
    <m/>
  </r>
  <r>
    <d v="2027-07-22T00:00:00"/>
    <x v="5"/>
    <s v="Cutlery"/>
    <s v="3pcs"/>
    <x v="447"/>
    <x v="5"/>
    <x v="837"/>
    <n v="4"/>
    <n v="880"/>
    <x v="1052"/>
    <x v="0"/>
    <x v="3"/>
    <x v="2"/>
    <s v="Delayed"/>
    <n v="731"/>
    <n v="220"/>
    <x v="16"/>
    <x v="4"/>
    <x v="15"/>
    <x v="4"/>
    <x v="9"/>
    <m/>
  </r>
  <r>
    <d v="2027-07-23T00:00:00"/>
    <x v="5"/>
    <s v="Cutlery"/>
    <s v="3pcs"/>
    <x v="232"/>
    <x v="5"/>
    <x v="560"/>
    <n v="4"/>
    <n v="1756"/>
    <x v="532"/>
    <x v="2"/>
    <x v="3"/>
    <x v="0"/>
    <s v="Delayed"/>
    <n v="829"/>
    <n v="439"/>
    <x v="14"/>
    <x v="6"/>
    <x v="13"/>
    <x v="1"/>
    <x v="5"/>
    <m/>
  </r>
  <r>
    <d v="2027-07-24T00:00:00"/>
    <x v="5"/>
    <s v="Cutlery"/>
    <s v="3pcs"/>
    <x v="369"/>
    <x v="5"/>
    <x v="568"/>
    <n v="4"/>
    <n v="2000"/>
    <x v="540"/>
    <x v="1"/>
    <x v="0"/>
    <x v="0"/>
    <s v="Delivered"/>
    <n v="998"/>
    <n v="500"/>
    <x v="12"/>
    <x v="3"/>
    <x v="10"/>
    <x v="2"/>
    <x v="6"/>
    <m/>
  </r>
  <r>
    <d v="2027-07-25T00:00:00"/>
    <x v="3"/>
    <s v="Containers"/>
    <s v="1L"/>
    <x v="424"/>
    <x v="3"/>
    <x v="275"/>
    <n v="3"/>
    <n v="81"/>
    <x v="266"/>
    <x v="1"/>
    <x v="2"/>
    <x v="1"/>
    <s v="Delivered"/>
    <n v="549"/>
    <n v="27"/>
    <x v="7"/>
    <x v="5"/>
    <x v="7"/>
    <x v="4"/>
    <x v="0"/>
    <m/>
  </r>
  <r>
    <d v="2027-07-26T00:00:00"/>
    <x v="2"/>
    <s v="Housekeeping Items"/>
    <s v="Standard"/>
    <x v="372"/>
    <x v="2"/>
    <x v="575"/>
    <n v="100"/>
    <n v="43500"/>
    <x v="545"/>
    <x v="0"/>
    <x v="0"/>
    <x v="2"/>
    <s v="Delayed"/>
    <n v="946"/>
    <n v="435"/>
    <x v="7"/>
    <x v="5"/>
    <x v="7"/>
    <x v="2"/>
    <x v="0"/>
    <m/>
  </r>
  <r>
    <d v="2027-07-27T00:00:00"/>
    <x v="2"/>
    <s v="Housekeeping Items"/>
    <s v="Standard"/>
    <x v="354"/>
    <x v="2"/>
    <x v="792"/>
    <n v="100"/>
    <n v="28200"/>
    <x v="734"/>
    <x v="1"/>
    <x v="2"/>
    <x v="2"/>
    <s v="Delayed"/>
    <n v="711"/>
    <n v="282"/>
    <x v="18"/>
    <x v="12"/>
    <x v="17"/>
    <x v="4"/>
    <x v="1"/>
    <m/>
  </r>
  <r>
    <d v="2027-07-28T00:00:00"/>
    <x v="4"/>
    <s v="Plates &amp; Bowls"/>
    <s v="500ml"/>
    <x v="341"/>
    <x v="4"/>
    <x v="1266"/>
    <n v="1.5"/>
    <n v="310.5"/>
    <x v="1094"/>
    <x v="0"/>
    <x v="3"/>
    <x v="2"/>
    <s v="Returned"/>
    <n v="586"/>
    <n v="207"/>
    <x v="12"/>
    <x v="3"/>
    <x v="10"/>
    <x v="3"/>
    <x v="9"/>
    <m/>
  </r>
  <r>
    <d v="2027-07-29T00:00:00"/>
    <x v="4"/>
    <s v="Plates &amp; Bowls"/>
    <s v="500ml"/>
    <x v="137"/>
    <x v="4"/>
    <x v="1144"/>
    <n v="1.5"/>
    <n v="123"/>
    <x v="265"/>
    <x v="1"/>
    <x v="1"/>
    <x v="2"/>
    <s v="Delivered"/>
    <n v="580"/>
    <n v="82"/>
    <x v="1"/>
    <x v="1"/>
    <x v="1"/>
    <x v="2"/>
    <x v="8"/>
    <m/>
  </r>
  <r>
    <d v="2027-07-30T00:00:00"/>
    <x v="1"/>
    <s v="Glass &amp; Bottles"/>
    <s v="750ml"/>
    <x v="33"/>
    <x v="1"/>
    <x v="1267"/>
    <n v="12"/>
    <n v="3168"/>
    <x v="1095"/>
    <x v="2"/>
    <x v="2"/>
    <x v="1"/>
    <s v="Returned"/>
    <n v="695"/>
    <n v="264"/>
    <x v="4"/>
    <x v="3"/>
    <x v="4"/>
    <x v="0"/>
    <x v="7"/>
    <m/>
  </r>
  <r>
    <d v="2027-07-31T00:00:00"/>
    <x v="5"/>
    <s v="Cutlery"/>
    <s v="3pcs"/>
    <x v="144"/>
    <x v="5"/>
    <x v="1268"/>
    <n v="4"/>
    <n v="1652"/>
    <x v="1096"/>
    <x v="1"/>
    <x v="2"/>
    <x v="0"/>
    <s v="Delayed"/>
    <n v="804"/>
    <n v="413"/>
    <x v="10"/>
    <x v="8"/>
    <x v="10"/>
    <x v="2"/>
    <x v="0"/>
    <m/>
  </r>
  <r>
    <d v="2027-08-01T00:00:00"/>
    <x v="5"/>
    <s v="Cutlery"/>
    <s v="3pcs"/>
    <x v="306"/>
    <x v="5"/>
    <x v="1269"/>
    <n v="4"/>
    <n v="1132"/>
    <x v="895"/>
    <x v="1"/>
    <x v="0"/>
    <x v="2"/>
    <s v="Returned"/>
    <n v="720"/>
    <n v="283"/>
    <x v="5"/>
    <x v="0"/>
    <x v="5"/>
    <x v="3"/>
    <x v="6"/>
    <m/>
  </r>
  <r>
    <d v="2027-08-02T00:00:00"/>
    <x v="3"/>
    <s v="Containers"/>
    <s v="1L"/>
    <x v="263"/>
    <x v="3"/>
    <x v="247"/>
    <n v="3"/>
    <n v="555"/>
    <x v="240"/>
    <x v="2"/>
    <x v="1"/>
    <x v="0"/>
    <s v="Delayed"/>
    <n v="741"/>
    <n v="185"/>
    <x v="16"/>
    <x v="4"/>
    <x v="15"/>
    <x v="4"/>
    <x v="0"/>
    <m/>
  </r>
  <r>
    <d v="2027-08-03T00:00:00"/>
    <x v="0"/>
    <s v="Takeaway Boxes"/>
    <s v="Large"/>
    <x v="81"/>
    <x v="0"/>
    <x v="267"/>
    <n v="5"/>
    <n v="1355"/>
    <x v="259"/>
    <x v="0"/>
    <x v="2"/>
    <x v="0"/>
    <s v="Returned"/>
    <n v="828"/>
    <n v="271"/>
    <x v="11"/>
    <x v="9"/>
    <x v="11"/>
    <x v="1"/>
    <x v="7"/>
    <m/>
  </r>
  <r>
    <d v="2027-08-04T00:00:00"/>
    <x v="0"/>
    <s v="Takeaway Boxes"/>
    <s v="Large"/>
    <x v="93"/>
    <x v="0"/>
    <x v="145"/>
    <n v="5"/>
    <n v="2145"/>
    <x v="141"/>
    <x v="1"/>
    <x v="3"/>
    <x v="0"/>
    <s v="Returned"/>
    <n v="786"/>
    <n v="429"/>
    <x v="6"/>
    <x v="4"/>
    <x v="6"/>
    <x v="1"/>
    <x v="7"/>
    <m/>
  </r>
  <r>
    <d v="2027-08-05T00:00:00"/>
    <x v="0"/>
    <s v="Takeaway Boxes"/>
    <s v="Large"/>
    <x v="4"/>
    <x v="0"/>
    <x v="1270"/>
    <n v="5"/>
    <n v="1790"/>
    <x v="1097"/>
    <x v="1"/>
    <x v="2"/>
    <x v="0"/>
    <s v="Returned"/>
    <n v="837"/>
    <n v="358"/>
    <x v="16"/>
    <x v="4"/>
    <x v="15"/>
    <x v="4"/>
    <x v="10"/>
    <m/>
  </r>
  <r>
    <d v="2027-08-06T00:00:00"/>
    <x v="5"/>
    <s v="Cutlery"/>
    <s v="3pcs"/>
    <x v="323"/>
    <x v="5"/>
    <x v="1180"/>
    <n v="4"/>
    <n v="184"/>
    <x v="677"/>
    <x v="0"/>
    <x v="2"/>
    <x v="1"/>
    <s v="Returned"/>
    <n v="690"/>
    <n v="46"/>
    <x v="15"/>
    <x v="10"/>
    <x v="14"/>
    <x v="3"/>
    <x v="11"/>
    <m/>
  </r>
  <r>
    <d v="2027-08-07T00:00:00"/>
    <x v="5"/>
    <s v="Cutlery"/>
    <s v="3pcs"/>
    <x v="438"/>
    <x v="5"/>
    <x v="1198"/>
    <n v="4"/>
    <n v="1776"/>
    <x v="773"/>
    <x v="1"/>
    <x v="3"/>
    <x v="0"/>
    <s v="Delivered"/>
    <n v="898"/>
    <n v="444"/>
    <x v="11"/>
    <x v="9"/>
    <x v="11"/>
    <x v="1"/>
    <x v="3"/>
    <m/>
  </r>
  <r>
    <d v="2027-08-08T00:00:00"/>
    <x v="5"/>
    <s v="Cutlery"/>
    <s v="3pcs"/>
    <x v="89"/>
    <x v="5"/>
    <x v="1271"/>
    <n v="4"/>
    <n v="428"/>
    <x v="898"/>
    <x v="0"/>
    <x v="2"/>
    <x v="1"/>
    <s v="Returned"/>
    <n v="765"/>
    <n v="107"/>
    <x v="1"/>
    <x v="1"/>
    <x v="1"/>
    <x v="2"/>
    <x v="4"/>
    <m/>
  </r>
  <r>
    <d v="2027-08-09T00:00:00"/>
    <x v="4"/>
    <s v="Plates &amp; Bowls"/>
    <s v="500ml"/>
    <x v="392"/>
    <x v="4"/>
    <x v="1272"/>
    <n v="1.5"/>
    <n v="202.5"/>
    <x v="884"/>
    <x v="2"/>
    <x v="0"/>
    <x v="2"/>
    <s v="Returned"/>
    <n v="814"/>
    <n v="135"/>
    <x v="8"/>
    <x v="6"/>
    <x v="8"/>
    <x v="3"/>
    <x v="7"/>
    <m/>
  </r>
  <r>
    <d v="2027-08-10T00:00:00"/>
    <x v="3"/>
    <s v="Containers"/>
    <s v="1L"/>
    <x v="357"/>
    <x v="3"/>
    <x v="625"/>
    <n v="3"/>
    <n v="627"/>
    <x v="591"/>
    <x v="0"/>
    <x v="0"/>
    <x v="2"/>
    <s v="Returned"/>
    <n v="634"/>
    <n v="209"/>
    <x v="2"/>
    <x v="2"/>
    <x v="2"/>
    <x v="1"/>
    <x v="5"/>
    <m/>
  </r>
  <r>
    <d v="2027-08-11T00:00:00"/>
    <x v="0"/>
    <s v="Takeaway Boxes"/>
    <s v="Large"/>
    <x v="176"/>
    <x v="0"/>
    <x v="1273"/>
    <n v="5"/>
    <n v="185"/>
    <x v="1098"/>
    <x v="2"/>
    <x v="2"/>
    <x v="2"/>
    <s v="Returned"/>
    <n v="542"/>
    <n v="37"/>
    <x v="14"/>
    <x v="6"/>
    <x v="13"/>
    <x v="0"/>
    <x v="8"/>
    <m/>
  </r>
  <r>
    <d v="2027-08-12T00:00:00"/>
    <x v="3"/>
    <s v="Containers"/>
    <s v="1L"/>
    <x v="348"/>
    <x v="3"/>
    <x v="691"/>
    <n v="3"/>
    <n v="1176"/>
    <x v="502"/>
    <x v="0"/>
    <x v="1"/>
    <x v="2"/>
    <s v="Delayed"/>
    <n v="812"/>
    <n v="392"/>
    <x v="9"/>
    <x v="7"/>
    <x v="9"/>
    <x v="3"/>
    <x v="2"/>
    <m/>
  </r>
  <r>
    <d v="2027-08-13T00:00:00"/>
    <x v="1"/>
    <s v="Glass &amp; Bottles"/>
    <s v="750ml"/>
    <x v="426"/>
    <x v="1"/>
    <x v="1274"/>
    <n v="12"/>
    <n v="3120"/>
    <x v="1099"/>
    <x v="0"/>
    <x v="3"/>
    <x v="1"/>
    <s v="Returned"/>
    <n v="500"/>
    <n v="260"/>
    <x v="9"/>
    <x v="7"/>
    <x v="9"/>
    <x v="3"/>
    <x v="4"/>
    <m/>
  </r>
  <r>
    <d v="2027-08-14T00:00:00"/>
    <x v="2"/>
    <s v="Housekeeping Items"/>
    <s v="Standard"/>
    <x v="47"/>
    <x v="2"/>
    <x v="363"/>
    <n v="100"/>
    <n v="5800"/>
    <x v="345"/>
    <x v="0"/>
    <x v="3"/>
    <x v="0"/>
    <s v="Delivered"/>
    <n v="955"/>
    <n v="58"/>
    <x v="18"/>
    <x v="12"/>
    <x v="17"/>
    <x v="0"/>
    <x v="10"/>
    <m/>
  </r>
  <r>
    <d v="2027-08-15T00:00:00"/>
    <x v="5"/>
    <s v="Cutlery"/>
    <s v="3pcs"/>
    <x v="191"/>
    <x v="5"/>
    <x v="644"/>
    <n v="4"/>
    <n v="1700"/>
    <x v="607"/>
    <x v="1"/>
    <x v="0"/>
    <x v="0"/>
    <s v="Returned"/>
    <n v="776"/>
    <n v="425"/>
    <x v="6"/>
    <x v="4"/>
    <x v="6"/>
    <x v="3"/>
    <x v="10"/>
    <m/>
  </r>
  <r>
    <d v="2027-08-16T00:00:00"/>
    <x v="0"/>
    <s v="Takeaway Boxes"/>
    <s v="Large"/>
    <x v="452"/>
    <x v="0"/>
    <x v="1275"/>
    <n v="5"/>
    <n v="2345"/>
    <x v="1100"/>
    <x v="2"/>
    <x v="1"/>
    <x v="2"/>
    <s v="Returned"/>
    <n v="707"/>
    <n v="469"/>
    <x v="8"/>
    <x v="6"/>
    <x v="8"/>
    <x v="1"/>
    <x v="1"/>
    <m/>
  </r>
  <r>
    <d v="2027-08-17T00:00:00"/>
    <x v="1"/>
    <s v="Glass &amp; Bottles"/>
    <s v="750ml"/>
    <x v="139"/>
    <x v="1"/>
    <x v="148"/>
    <n v="12"/>
    <n v="2340"/>
    <x v="144"/>
    <x v="2"/>
    <x v="3"/>
    <x v="2"/>
    <s v="Delivered"/>
    <n v="651"/>
    <n v="195"/>
    <x v="10"/>
    <x v="8"/>
    <x v="10"/>
    <x v="1"/>
    <x v="10"/>
    <m/>
  </r>
  <r>
    <d v="2027-08-18T00:00:00"/>
    <x v="5"/>
    <s v="Cutlery"/>
    <s v="3pcs"/>
    <x v="141"/>
    <x v="5"/>
    <x v="1276"/>
    <n v="4"/>
    <n v="76"/>
    <x v="1101"/>
    <x v="2"/>
    <x v="0"/>
    <x v="2"/>
    <s v="Delivered"/>
    <n v="918"/>
    <n v="19"/>
    <x v="14"/>
    <x v="6"/>
    <x v="13"/>
    <x v="3"/>
    <x v="4"/>
    <m/>
  </r>
  <r>
    <d v="2027-08-19T00:00:00"/>
    <x v="1"/>
    <s v="Glass &amp; Bottles"/>
    <s v="750ml"/>
    <x v="19"/>
    <x v="1"/>
    <x v="1219"/>
    <n v="12"/>
    <n v="1032"/>
    <x v="1057"/>
    <x v="0"/>
    <x v="0"/>
    <x v="0"/>
    <s v="Delivered"/>
    <n v="836"/>
    <n v="86"/>
    <x v="18"/>
    <x v="12"/>
    <x v="17"/>
    <x v="3"/>
    <x v="7"/>
    <m/>
  </r>
  <r>
    <d v="2027-08-20T00:00:00"/>
    <x v="3"/>
    <s v="Containers"/>
    <s v="1L"/>
    <x v="256"/>
    <x v="3"/>
    <x v="372"/>
    <n v="3"/>
    <n v="612"/>
    <x v="354"/>
    <x v="2"/>
    <x v="1"/>
    <x v="2"/>
    <s v="Delayed"/>
    <n v="777"/>
    <n v="204"/>
    <x v="2"/>
    <x v="2"/>
    <x v="2"/>
    <x v="1"/>
    <x v="1"/>
    <m/>
  </r>
  <r>
    <d v="2027-08-21T00:00:00"/>
    <x v="2"/>
    <s v="Housekeeping Items"/>
    <s v="Standard"/>
    <x v="391"/>
    <x v="2"/>
    <x v="1277"/>
    <n v="100"/>
    <n v="47800"/>
    <x v="1102"/>
    <x v="0"/>
    <x v="1"/>
    <x v="0"/>
    <s v="Delayed"/>
    <n v="814"/>
    <n v="478"/>
    <x v="19"/>
    <x v="13"/>
    <x v="18"/>
    <x v="2"/>
    <x v="3"/>
    <m/>
  </r>
  <r>
    <d v="2027-08-22T00:00:00"/>
    <x v="5"/>
    <s v="Cutlery"/>
    <s v="3pcs"/>
    <x v="484"/>
    <x v="5"/>
    <x v="1278"/>
    <n v="4"/>
    <n v="128"/>
    <x v="609"/>
    <x v="1"/>
    <x v="3"/>
    <x v="0"/>
    <s v="Returned"/>
    <n v="769"/>
    <n v="32"/>
    <x v="4"/>
    <x v="3"/>
    <x v="4"/>
    <x v="4"/>
    <x v="5"/>
    <m/>
  </r>
  <r>
    <d v="2027-08-23T00:00:00"/>
    <x v="4"/>
    <s v="Plates &amp; Bowls"/>
    <s v="500ml"/>
    <x v="352"/>
    <x v="4"/>
    <x v="1279"/>
    <n v="1.5"/>
    <n v="439.5"/>
    <x v="1103"/>
    <x v="2"/>
    <x v="1"/>
    <x v="0"/>
    <s v="Delivered"/>
    <n v="750"/>
    <n v="293"/>
    <x v="18"/>
    <x v="12"/>
    <x v="17"/>
    <x v="4"/>
    <x v="8"/>
    <m/>
  </r>
  <r>
    <d v="2027-08-24T00:00:00"/>
    <x v="2"/>
    <s v="Housekeeping Items"/>
    <s v="Standard"/>
    <x v="44"/>
    <x v="2"/>
    <x v="769"/>
    <n v="100"/>
    <n v="49900"/>
    <x v="714"/>
    <x v="1"/>
    <x v="0"/>
    <x v="1"/>
    <s v="Delivered"/>
    <n v="621"/>
    <n v="499"/>
    <x v="1"/>
    <x v="1"/>
    <x v="1"/>
    <x v="1"/>
    <x v="11"/>
    <m/>
  </r>
  <r>
    <d v="2027-08-25T00:00:00"/>
    <x v="5"/>
    <s v="Cutlery"/>
    <s v="3pcs"/>
    <x v="237"/>
    <x v="5"/>
    <x v="867"/>
    <n v="4"/>
    <n v="496"/>
    <x v="781"/>
    <x v="1"/>
    <x v="3"/>
    <x v="1"/>
    <s v="Returned"/>
    <n v="527"/>
    <n v="124"/>
    <x v="0"/>
    <x v="0"/>
    <x v="0"/>
    <x v="2"/>
    <x v="5"/>
    <m/>
  </r>
  <r>
    <d v="2027-08-26T00:00:00"/>
    <x v="1"/>
    <s v="Glass &amp; Bottles"/>
    <s v="750ml"/>
    <x v="202"/>
    <x v="1"/>
    <x v="232"/>
    <n v="12"/>
    <n v="5340"/>
    <x v="226"/>
    <x v="0"/>
    <x v="1"/>
    <x v="1"/>
    <s v="Delivered"/>
    <n v="577"/>
    <n v="445"/>
    <x v="3"/>
    <x v="2"/>
    <x v="3"/>
    <x v="4"/>
    <x v="2"/>
    <m/>
  </r>
  <r>
    <d v="2027-08-27T00:00:00"/>
    <x v="0"/>
    <s v="Takeaway Boxes"/>
    <s v="Large"/>
    <x v="387"/>
    <x v="0"/>
    <x v="504"/>
    <n v="5"/>
    <n v="850"/>
    <x v="95"/>
    <x v="1"/>
    <x v="3"/>
    <x v="1"/>
    <s v="Delayed"/>
    <n v="512"/>
    <n v="170"/>
    <x v="8"/>
    <x v="6"/>
    <x v="8"/>
    <x v="4"/>
    <x v="6"/>
    <m/>
  </r>
  <r>
    <d v="2027-08-28T00:00:00"/>
    <x v="4"/>
    <s v="Plates &amp; Bowls"/>
    <s v="500ml"/>
    <x v="447"/>
    <x v="4"/>
    <x v="1280"/>
    <n v="1.5"/>
    <n v="330"/>
    <x v="1104"/>
    <x v="1"/>
    <x v="0"/>
    <x v="2"/>
    <s v="Delivered"/>
    <n v="941"/>
    <n v="220"/>
    <x v="6"/>
    <x v="4"/>
    <x v="6"/>
    <x v="0"/>
    <x v="3"/>
    <m/>
  </r>
  <r>
    <d v="2027-08-29T00:00:00"/>
    <x v="5"/>
    <s v="Cutlery"/>
    <s v="3pcs"/>
    <x v="480"/>
    <x v="5"/>
    <x v="1281"/>
    <n v="4"/>
    <n v="1796"/>
    <x v="1105"/>
    <x v="0"/>
    <x v="3"/>
    <x v="2"/>
    <s v="Returned"/>
    <n v="956"/>
    <n v="449"/>
    <x v="17"/>
    <x v="11"/>
    <x v="16"/>
    <x v="4"/>
    <x v="8"/>
    <m/>
  </r>
  <r>
    <d v="2027-08-30T00:00:00"/>
    <x v="0"/>
    <s v="Takeaway Boxes"/>
    <s v="Large"/>
    <x v="288"/>
    <x v="0"/>
    <x v="1282"/>
    <n v="5"/>
    <n v="1250"/>
    <x v="377"/>
    <x v="1"/>
    <x v="2"/>
    <x v="2"/>
    <s v="Delivered"/>
    <n v="960"/>
    <n v="250"/>
    <x v="10"/>
    <x v="8"/>
    <x v="10"/>
    <x v="1"/>
    <x v="9"/>
    <m/>
  </r>
  <r>
    <d v="2027-08-31T00:00:00"/>
    <x v="3"/>
    <s v="Containers"/>
    <s v="1L"/>
    <x v="466"/>
    <x v="3"/>
    <x v="1010"/>
    <n v="3"/>
    <n v="453"/>
    <x v="903"/>
    <x v="2"/>
    <x v="2"/>
    <x v="0"/>
    <s v="Returned"/>
    <n v="559"/>
    <n v="151"/>
    <x v="17"/>
    <x v="11"/>
    <x v="16"/>
    <x v="2"/>
    <x v="6"/>
    <m/>
  </r>
  <r>
    <d v="2027-09-01T00:00:00"/>
    <x v="1"/>
    <s v="Glass &amp; Bottles"/>
    <s v="750ml"/>
    <x v="357"/>
    <x v="1"/>
    <x v="1283"/>
    <n v="12"/>
    <n v="2508"/>
    <x v="1106"/>
    <x v="0"/>
    <x v="2"/>
    <x v="0"/>
    <s v="Delayed"/>
    <n v="684"/>
    <n v="209"/>
    <x v="17"/>
    <x v="11"/>
    <x v="16"/>
    <x v="0"/>
    <x v="7"/>
    <m/>
  </r>
  <r>
    <d v="2027-09-02T00:00:00"/>
    <x v="3"/>
    <s v="Containers"/>
    <s v="1L"/>
    <x v="85"/>
    <x v="3"/>
    <x v="89"/>
    <n v="3"/>
    <n v="582"/>
    <x v="86"/>
    <x v="2"/>
    <x v="0"/>
    <x v="0"/>
    <s v="Returned"/>
    <n v="588"/>
    <n v="194"/>
    <x v="15"/>
    <x v="10"/>
    <x v="14"/>
    <x v="2"/>
    <x v="7"/>
    <m/>
  </r>
  <r>
    <d v="2027-09-03T00:00:00"/>
    <x v="5"/>
    <s v="Cutlery"/>
    <s v="3pcs"/>
    <x v="132"/>
    <x v="5"/>
    <x v="140"/>
    <n v="4"/>
    <n v="1752"/>
    <x v="136"/>
    <x v="1"/>
    <x v="1"/>
    <x v="1"/>
    <s v="Delayed"/>
    <n v="589"/>
    <n v="438"/>
    <x v="4"/>
    <x v="3"/>
    <x v="4"/>
    <x v="1"/>
    <x v="0"/>
    <m/>
  </r>
  <r>
    <d v="2027-09-04T00:00:00"/>
    <x v="5"/>
    <s v="Cutlery"/>
    <s v="3pcs"/>
    <x v="251"/>
    <x v="5"/>
    <x v="1265"/>
    <n v="4"/>
    <n v="1704"/>
    <x v="564"/>
    <x v="2"/>
    <x v="1"/>
    <x v="2"/>
    <s v="Returned"/>
    <n v="768"/>
    <n v="426"/>
    <x v="19"/>
    <x v="13"/>
    <x v="18"/>
    <x v="0"/>
    <x v="11"/>
    <m/>
  </r>
  <r>
    <d v="2027-09-05T00:00:00"/>
    <x v="0"/>
    <s v="Takeaway Boxes"/>
    <s v="Large"/>
    <x v="384"/>
    <x v="0"/>
    <x v="1284"/>
    <n v="5"/>
    <n v="590"/>
    <x v="1005"/>
    <x v="1"/>
    <x v="3"/>
    <x v="0"/>
    <s v="Returned"/>
    <n v="786"/>
    <n v="118"/>
    <x v="15"/>
    <x v="10"/>
    <x v="14"/>
    <x v="1"/>
    <x v="4"/>
    <m/>
  </r>
  <r>
    <d v="2027-09-06T00:00:00"/>
    <x v="4"/>
    <s v="Plates &amp; Bowls"/>
    <s v="500ml"/>
    <x v="476"/>
    <x v="4"/>
    <x v="491"/>
    <n v="1.5"/>
    <n v="84"/>
    <x v="464"/>
    <x v="2"/>
    <x v="1"/>
    <x v="1"/>
    <s v="Delayed"/>
    <n v="827"/>
    <n v="56"/>
    <x v="14"/>
    <x v="6"/>
    <x v="13"/>
    <x v="4"/>
    <x v="7"/>
    <m/>
  </r>
  <r>
    <d v="2027-09-07T00:00:00"/>
    <x v="0"/>
    <s v="Takeaway Boxes"/>
    <s v="Large"/>
    <x v="25"/>
    <x v="0"/>
    <x v="787"/>
    <n v="5"/>
    <n v="2155"/>
    <x v="730"/>
    <x v="0"/>
    <x v="0"/>
    <x v="1"/>
    <s v="Returned"/>
    <n v="549"/>
    <n v="431"/>
    <x v="19"/>
    <x v="13"/>
    <x v="18"/>
    <x v="2"/>
    <x v="8"/>
    <m/>
  </r>
  <r>
    <d v="2027-09-08T00:00:00"/>
    <x v="2"/>
    <s v="Housekeeping Items"/>
    <s v="Standard"/>
    <x v="300"/>
    <x v="2"/>
    <x v="415"/>
    <n v="100"/>
    <n v="46000"/>
    <x v="391"/>
    <x v="2"/>
    <x v="1"/>
    <x v="0"/>
    <s v="Delayed"/>
    <n v="507"/>
    <n v="460"/>
    <x v="15"/>
    <x v="10"/>
    <x v="14"/>
    <x v="0"/>
    <x v="8"/>
    <m/>
  </r>
  <r>
    <d v="2027-09-09T00:00:00"/>
    <x v="1"/>
    <s v="Glass &amp; Bottles"/>
    <s v="750ml"/>
    <x v="210"/>
    <x v="1"/>
    <x v="1285"/>
    <n v="12"/>
    <n v="4440"/>
    <x v="1107"/>
    <x v="1"/>
    <x v="1"/>
    <x v="0"/>
    <s v="Returned"/>
    <n v="688"/>
    <n v="370"/>
    <x v="0"/>
    <x v="0"/>
    <x v="0"/>
    <x v="0"/>
    <x v="11"/>
    <m/>
  </r>
  <r>
    <d v="2027-09-10T00:00:00"/>
    <x v="1"/>
    <s v="Glass &amp; Bottles"/>
    <s v="750ml"/>
    <x v="459"/>
    <x v="1"/>
    <x v="1286"/>
    <n v="12"/>
    <n v="2724"/>
    <x v="1108"/>
    <x v="1"/>
    <x v="1"/>
    <x v="2"/>
    <s v="Delayed"/>
    <n v="994"/>
    <n v="227"/>
    <x v="11"/>
    <x v="9"/>
    <x v="11"/>
    <x v="2"/>
    <x v="8"/>
    <m/>
  </r>
  <r>
    <d v="2027-09-11T00:00:00"/>
    <x v="0"/>
    <s v="Takeaway Boxes"/>
    <s v="Large"/>
    <x v="472"/>
    <x v="0"/>
    <x v="1287"/>
    <n v="5"/>
    <n v="1435"/>
    <x v="1109"/>
    <x v="2"/>
    <x v="0"/>
    <x v="2"/>
    <s v="Returned"/>
    <n v="682"/>
    <n v="287"/>
    <x v="2"/>
    <x v="2"/>
    <x v="2"/>
    <x v="0"/>
    <x v="5"/>
    <m/>
  </r>
  <r>
    <d v="2027-09-12T00:00:00"/>
    <x v="5"/>
    <s v="Cutlery"/>
    <s v="3pcs"/>
    <x v="18"/>
    <x v="5"/>
    <x v="1123"/>
    <n v="4"/>
    <n v="1440"/>
    <x v="19"/>
    <x v="0"/>
    <x v="1"/>
    <x v="0"/>
    <s v="Delivered"/>
    <n v="978"/>
    <n v="360"/>
    <x v="17"/>
    <x v="11"/>
    <x v="16"/>
    <x v="0"/>
    <x v="2"/>
    <m/>
  </r>
  <r>
    <d v="2027-09-13T00:00:00"/>
    <x v="1"/>
    <s v="Glass &amp; Bottles"/>
    <s v="750ml"/>
    <x v="395"/>
    <x v="1"/>
    <x v="1288"/>
    <n v="12"/>
    <n v="924"/>
    <x v="1025"/>
    <x v="0"/>
    <x v="2"/>
    <x v="1"/>
    <s v="Delayed"/>
    <n v="854"/>
    <n v="77"/>
    <x v="18"/>
    <x v="12"/>
    <x v="17"/>
    <x v="2"/>
    <x v="7"/>
    <m/>
  </r>
  <r>
    <d v="2027-09-14T00:00:00"/>
    <x v="1"/>
    <s v="Glass &amp; Bottles"/>
    <s v="750ml"/>
    <x v="23"/>
    <x v="1"/>
    <x v="1289"/>
    <n v="12"/>
    <n v="3720"/>
    <x v="1110"/>
    <x v="0"/>
    <x v="2"/>
    <x v="0"/>
    <s v="Delivered"/>
    <n v="980"/>
    <n v="310"/>
    <x v="0"/>
    <x v="0"/>
    <x v="0"/>
    <x v="4"/>
    <x v="6"/>
    <m/>
  </r>
  <r>
    <d v="2027-09-15T00:00:00"/>
    <x v="5"/>
    <s v="Cutlery"/>
    <s v="3pcs"/>
    <x v="146"/>
    <x v="5"/>
    <x v="1290"/>
    <n v="4"/>
    <n v="1428"/>
    <x v="519"/>
    <x v="2"/>
    <x v="3"/>
    <x v="1"/>
    <s v="Returned"/>
    <n v="979"/>
    <n v="357"/>
    <x v="1"/>
    <x v="1"/>
    <x v="1"/>
    <x v="1"/>
    <x v="9"/>
    <m/>
  </r>
  <r>
    <d v="2027-09-16T00:00:00"/>
    <x v="5"/>
    <s v="Cutlery"/>
    <s v="3pcs"/>
    <x v="441"/>
    <x v="5"/>
    <x v="1291"/>
    <n v="4"/>
    <n v="860"/>
    <x v="1036"/>
    <x v="2"/>
    <x v="1"/>
    <x v="1"/>
    <s v="Delayed"/>
    <n v="585"/>
    <n v="215"/>
    <x v="17"/>
    <x v="11"/>
    <x v="16"/>
    <x v="3"/>
    <x v="6"/>
    <m/>
  </r>
  <r>
    <d v="2027-09-17T00:00:00"/>
    <x v="0"/>
    <s v="Takeaway Boxes"/>
    <s v="Large"/>
    <x v="332"/>
    <x v="0"/>
    <x v="1292"/>
    <n v="5"/>
    <n v="140"/>
    <x v="723"/>
    <x v="0"/>
    <x v="1"/>
    <x v="2"/>
    <s v="Returned"/>
    <n v="871"/>
    <n v="28"/>
    <x v="8"/>
    <x v="6"/>
    <x v="8"/>
    <x v="4"/>
    <x v="1"/>
    <m/>
  </r>
  <r>
    <d v="2027-09-18T00:00:00"/>
    <x v="2"/>
    <s v="Housekeeping Items"/>
    <s v="Standard"/>
    <x v="278"/>
    <x v="2"/>
    <x v="1131"/>
    <n v="100"/>
    <n v="10000"/>
    <x v="999"/>
    <x v="1"/>
    <x v="0"/>
    <x v="0"/>
    <s v="Delivered"/>
    <n v="879"/>
    <n v="100"/>
    <x v="11"/>
    <x v="9"/>
    <x v="11"/>
    <x v="0"/>
    <x v="7"/>
    <m/>
  </r>
  <r>
    <d v="2027-09-19T00:00:00"/>
    <x v="4"/>
    <s v="Plates &amp; Bowls"/>
    <s v="500ml"/>
    <x v="213"/>
    <x v="4"/>
    <x v="1293"/>
    <n v="1.5"/>
    <n v="214.5"/>
    <x v="1111"/>
    <x v="1"/>
    <x v="1"/>
    <x v="0"/>
    <s v="Delayed"/>
    <n v="701"/>
    <n v="143"/>
    <x v="19"/>
    <x v="13"/>
    <x v="18"/>
    <x v="1"/>
    <x v="7"/>
    <m/>
  </r>
  <r>
    <d v="2027-09-20T00:00:00"/>
    <x v="4"/>
    <s v="Plates &amp; Bowls"/>
    <s v="500ml"/>
    <x v="228"/>
    <x v="4"/>
    <x v="508"/>
    <n v="1.5"/>
    <n v="744"/>
    <x v="481"/>
    <x v="2"/>
    <x v="1"/>
    <x v="1"/>
    <s v="Delayed"/>
    <n v="621"/>
    <n v="496"/>
    <x v="12"/>
    <x v="3"/>
    <x v="10"/>
    <x v="3"/>
    <x v="5"/>
    <m/>
  </r>
  <r>
    <d v="2027-09-21T00:00:00"/>
    <x v="5"/>
    <s v="Cutlery"/>
    <s v="3pcs"/>
    <x v="165"/>
    <x v="5"/>
    <x v="384"/>
    <n v="4"/>
    <n v="100"/>
    <x v="1112"/>
    <x v="1"/>
    <x v="1"/>
    <x v="2"/>
    <s v="Returned"/>
    <n v="687"/>
    <n v="25"/>
    <x v="2"/>
    <x v="2"/>
    <x v="2"/>
    <x v="4"/>
    <x v="3"/>
    <m/>
  </r>
  <r>
    <d v="2027-09-22T00:00:00"/>
    <x v="4"/>
    <s v="Plates &amp; Bowls"/>
    <s v="500ml"/>
    <x v="52"/>
    <x v="4"/>
    <x v="1294"/>
    <n v="1.5"/>
    <n v="682.5"/>
    <x v="1113"/>
    <x v="2"/>
    <x v="1"/>
    <x v="1"/>
    <s v="Returned"/>
    <n v="575"/>
    <n v="455"/>
    <x v="7"/>
    <x v="5"/>
    <x v="7"/>
    <x v="1"/>
    <x v="0"/>
    <m/>
  </r>
  <r>
    <d v="2027-09-23T00:00:00"/>
    <x v="5"/>
    <s v="Cutlery"/>
    <s v="3pcs"/>
    <x v="366"/>
    <x v="5"/>
    <x v="667"/>
    <n v="4"/>
    <n v="1884"/>
    <x v="531"/>
    <x v="2"/>
    <x v="2"/>
    <x v="0"/>
    <s v="Delivered"/>
    <n v="535"/>
    <n v="471"/>
    <x v="7"/>
    <x v="5"/>
    <x v="7"/>
    <x v="1"/>
    <x v="6"/>
    <m/>
  </r>
  <r>
    <d v="2027-09-24T00:00:00"/>
    <x v="5"/>
    <s v="Cutlery"/>
    <s v="3pcs"/>
    <x v="418"/>
    <x v="5"/>
    <x v="744"/>
    <n v="4"/>
    <n v="356"/>
    <x v="689"/>
    <x v="1"/>
    <x v="2"/>
    <x v="1"/>
    <s v="Returned"/>
    <n v="950"/>
    <n v="89"/>
    <x v="4"/>
    <x v="3"/>
    <x v="4"/>
    <x v="4"/>
    <x v="3"/>
    <m/>
  </r>
  <r>
    <d v="2027-09-25T00:00:00"/>
    <x v="3"/>
    <s v="Containers"/>
    <s v="1L"/>
    <x v="67"/>
    <x v="3"/>
    <x v="513"/>
    <n v="3"/>
    <n v="141"/>
    <x v="486"/>
    <x v="0"/>
    <x v="1"/>
    <x v="1"/>
    <s v="Delivered"/>
    <n v="769"/>
    <n v="47"/>
    <x v="4"/>
    <x v="3"/>
    <x v="4"/>
    <x v="0"/>
    <x v="8"/>
    <m/>
  </r>
  <r>
    <d v="2027-09-26T00:00:00"/>
    <x v="1"/>
    <s v="Glass &amp; Bottles"/>
    <s v="750ml"/>
    <x v="253"/>
    <x v="1"/>
    <x v="584"/>
    <n v="12"/>
    <n v="252"/>
    <x v="468"/>
    <x v="1"/>
    <x v="0"/>
    <x v="0"/>
    <s v="Delivered"/>
    <n v="765"/>
    <n v="21"/>
    <x v="15"/>
    <x v="10"/>
    <x v="14"/>
    <x v="1"/>
    <x v="0"/>
    <m/>
  </r>
  <r>
    <d v="2027-09-27T00:00:00"/>
    <x v="1"/>
    <s v="Glass &amp; Bottles"/>
    <s v="750ml"/>
    <x v="334"/>
    <x v="1"/>
    <x v="837"/>
    <n v="12"/>
    <n v="792"/>
    <x v="767"/>
    <x v="1"/>
    <x v="0"/>
    <x v="0"/>
    <s v="Returned"/>
    <n v="568"/>
    <n v="66"/>
    <x v="18"/>
    <x v="12"/>
    <x v="17"/>
    <x v="3"/>
    <x v="11"/>
    <m/>
  </r>
  <r>
    <d v="2027-09-28T00:00:00"/>
    <x v="4"/>
    <s v="Plates &amp; Bowls"/>
    <s v="500ml"/>
    <x v="8"/>
    <x v="4"/>
    <x v="943"/>
    <n v="1.5"/>
    <n v="274.5"/>
    <x v="853"/>
    <x v="2"/>
    <x v="2"/>
    <x v="2"/>
    <s v="Delayed"/>
    <n v="942"/>
    <n v="183"/>
    <x v="3"/>
    <x v="2"/>
    <x v="3"/>
    <x v="1"/>
    <x v="4"/>
    <m/>
  </r>
  <r>
    <d v="2027-09-29T00:00:00"/>
    <x v="5"/>
    <s v="Cutlery"/>
    <s v="3pcs"/>
    <x v="439"/>
    <x v="5"/>
    <x v="1169"/>
    <n v="4"/>
    <n v="1116"/>
    <x v="225"/>
    <x v="1"/>
    <x v="1"/>
    <x v="2"/>
    <s v="Returned"/>
    <n v="913"/>
    <n v="279"/>
    <x v="4"/>
    <x v="3"/>
    <x v="4"/>
    <x v="3"/>
    <x v="7"/>
    <m/>
  </r>
  <r>
    <d v="2027-09-30T00:00:00"/>
    <x v="1"/>
    <s v="Glass &amp; Bottles"/>
    <s v="750ml"/>
    <x v="347"/>
    <x v="1"/>
    <x v="835"/>
    <n v="12"/>
    <n v="1968"/>
    <x v="765"/>
    <x v="2"/>
    <x v="3"/>
    <x v="0"/>
    <s v="Returned"/>
    <n v="912"/>
    <n v="164"/>
    <x v="6"/>
    <x v="4"/>
    <x v="6"/>
    <x v="0"/>
    <x v="5"/>
    <m/>
  </r>
  <r>
    <d v="2027-10-01T00:00:00"/>
    <x v="3"/>
    <s v="Containers"/>
    <s v="1L"/>
    <x v="346"/>
    <x v="3"/>
    <x v="743"/>
    <n v="3"/>
    <n v="954"/>
    <x v="814"/>
    <x v="2"/>
    <x v="3"/>
    <x v="2"/>
    <s v="Delayed"/>
    <n v="995"/>
    <n v="318"/>
    <x v="15"/>
    <x v="10"/>
    <x v="14"/>
    <x v="2"/>
    <x v="11"/>
    <m/>
  </r>
  <r>
    <d v="2027-10-02T00:00:00"/>
    <x v="2"/>
    <s v="Housekeeping Items"/>
    <s v="Standard"/>
    <x v="127"/>
    <x v="2"/>
    <x v="562"/>
    <n v="100"/>
    <n v="8700"/>
    <x v="534"/>
    <x v="0"/>
    <x v="1"/>
    <x v="1"/>
    <s v="Returned"/>
    <n v="772"/>
    <n v="87"/>
    <x v="15"/>
    <x v="10"/>
    <x v="14"/>
    <x v="4"/>
    <x v="11"/>
    <m/>
  </r>
  <r>
    <d v="2027-10-03T00:00:00"/>
    <x v="4"/>
    <s v="Plates &amp; Bowls"/>
    <s v="500ml"/>
    <x v="335"/>
    <x v="4"/>
    <x v="844"/>
    <n v="1.5"/>
    <n v="747"/>
    <x v="163"/>
    <x v="2"/>
    <x v="0"/>
    <x v="0"/>
    <s v="Returned"/>
    <n v="610"/>
    <n v="498"/>
    <x v="12"/>
    <x v="3"/>
    <x v="10"/>
    <x v="2"/>
    <x v="10"/>
    <m/>
  </r>
  <r>
    <d v="2027-10-04T00:00:00"/>
    <x v="5"/>
    <s v="Cutlery"/>
    <s v="3pcs"/>
    <x v="462"/>
    <x v="5"/>
    <x v="1295"/>
    <n v="4"/>
    <n v="180"/>
    <x v="77"/>
    <x v="2"/>
    <x v="3"/>
    <x v="2"/>
    <s v="Delayed"/>
    <n v="956"/>
    <n v="45"/>
    <x v="5"/>
    <x v="0"/>
    <x v="5"/>
    <x v="3"/>
    <x v="10"/>
    <m/>
  </r>
  <r>
    <d v="2027-10-05T00:00:00"/>
    <x v="2"/>
    <s v="Housekeeping Items"/>
    <s v="Standard"/>
    <x v="384"/>
    <x v="2"/>
    <x v="1296"/>
    <n v="100"/>
    <n v="11800"/>
    <x v="1114"/>
    <x v="1"/>
    <x v="3"/>
    <x v="2"/>
    <s v="Returned"/>
    <n v="707"/>
    <n v="118"/>
    <x v="14"/>
    <x v="6"/>
    <x v="13"/>
    <x v="3"/>
    <x v="7"/>
    <m/>
  </r>
  <r>
    <d v="2027-10-06T00:00:00"/>
    <x v="4"/>
    <s v="Plates &amp; Bowls"/>
    <s v="500ml"/>
    <x v="144"/>
    <x v="4"/>
    <x v="996"/>
    <n v="1.5"/>
    <n v="619.5"/>
    <x v="894"/>
    <x v="2"/>
    <x v="1"/>
    <x v="1"/>
    <s v="Delivered"/>
    <n v="531"/>
    <n v="413"/>
    <x v="4"/>
    <x v="3"/>
    <x v="4"/>
    <x v="3"/>
    <x v="1"/>
    <m/>
  </r>
  <r>
    <d v="2027-10-07T00:00:00"/>
    <x v="3"/>
    <s v="Containers"/>
    <s v="1L"/>
    <x v="284"/>
    <x v="3"/>
    <x v="443"/>
    <n v="3"/>
    <n v="417"/>
    <x v="418"/>
    <x v="2"/>
    <x v="2"/>
    <x v="1"/>
    <s v="Delivered"/>
    <n v="890"/>
    <n v="139"/>
    <x v="14"/>
    <x v="6"/>
    <x v="13"/>
    <x v="3"/>
    <x v="4"/>
    <m/>
  </r>
  <r>
    <d v="2027-10-08T00:00:00"/>
    <x v="2"/>
    <s v="Housekeeping Items"/>
    <s v="Standard"/>
    <x v="253"/>
    <x v="2"/>
    <x v="387"/>
    <n v="100"/>
    <n v="2100"/>
    <x v="368"/>
    <x v="2"/>
    <x v="1"/>
    <x v="1"/>
    <s v="Delivered"/>
    <n v="972"/>
    <n v="21"/>
    <x v="11"/>
    <x v="9"/>
    <x v="11"/>
    <x v="1"/>
    <x v="10"/>
    <m/>
  </r>
  <r>
    <d v="2027-10-09T00:00:00"/>
    <x v="5"/>
    <s v="Cutlery"/>
    <s v="3pcs"/>
    <x v="302"/>
    <x v="5"/>
    <x v="1297"/>
    <n v="4"/>
    <n v="1892"/>
    <x v="1115"/>
    <x v="2"/>
    <x v="3"/>
    <x v="2"/>
    <s v="Delayed"/>
    <n v="942"/>
    <n v="473"/>
    <x v="4"/>
    <x v="3"/>
    <x v="4"/>
    <x v="3"/>
    <x v="7"/>
    <m/>
  </r>
  <r>
    <d v="2027-10-10T00:00:00"/>
    <x v="3"/>
    <s v="Containers"/>
    <s v="1L"/>
    <x v="191"/>
    <x v="3"/>
    <x v="1298"/>
    <n v="3"/>
    <n v="1275"/>
    <x v="607"/>
    <x v="2"/>
    <x v="2"/>
    <x v="0"/>
    <s v="Returned"/>
    <n v="791"/>
    <n v="425"/>
    <x v="10"/>
    <x v="8"/>
    <x v="10"/>
    <x v="3"/>
    <x v="11"/>
    <m/>
  </r>
  <r>
    <d v="2027-10-11T00:00:00"/>
    <x v="4"/>
    <s v="Plates &amp; Bowls"/>
    <s v="500ml"/>
    <x v="81"/>
    <x v="4"/>
    <x v="85"/>
    <n v="1.5"/>
    <n v="406.5"/>
    <x v="83"/>
    <x v="1"/>
    <x v="3"/>
    <x v="1"/>
    <s v="Returned"/>
    <n v="514"/>
    <n v="271"/>
    <x v="17"/>
    <x v="11"/>
    <x v="16"/>
    <x v="3"/>
    <x v="11"/>
    <m/>
  </r>
  <r>
    <d v="2027-10-12T00:00:00"/>
    <x v="1"/>
    <s v="Glass &amp; Bottles"/>
    <s v="750ml"/>
    <x v="338"/>
    <x v="1"/>
    <x v="592"/>
    <n v="12"/>
    <n v="1704"/>
    <x v="1116"/>
    <x v="2"/>
    <x v="2"/>
    <x v="1"/>
    <s v="Returned"/>
    <n v="822"/>
    <n v="142"/>
    <x v="8"/>
    <x v="6"/>
    <x v="8"/>
    <x v="0"/>
    <x v="6"/>
    <m/>
  </r>
  <r>
    <d v="2027-10-13T00:00:00"/>
    <x v="0"/>
    <s v="Takeaway Boxes"/>
    <s v="Large"/>
    <x v="77"/>
    <x v="0"/>
    <x v="1299"/>
    <n v="5"/>
    <n v="1360"/>
    <x v="21"/>
    <x v="2"/>
    <x v="3"/>
    <x v="2"/>
    <s v="Delivered"/>
    <n v="519"/>
    <n v="272"/>
    <x v="14"/>
    <x v="6"/>
    <x v="13"/>
    <x v="0"/>
    <x v="9"/>
    <m/>
  </r>
  <r>
    <d v="2027-10-14T00:00:00"/>
    <x v="4"/>
    <s v="Plates &amp; Bowls"/>
    <s v="500ml"/>
    <x v="413"/>
    <x v="4"/>
    <x v="171"/>
    <n v="1.5"/>
    <n v="105"/>
    <x v="166"/>
    <x v="0"/>
    <x v="3"/>
    <x v="1"/>
    <s v="Delivered"/>
    <n v="658"/>
    <n v="70"/>
    <x v="0"/>
    <x v="0"/>
    <x v="0"/>
    <x v="0"/>
    <x v="7"/>
    <m/>
  </r>
  <r>
    <d v="2027-10-15T00:00:00"/>
    <x v="3"/>
    <s v="Containers"/>
    <s v="1L"/>
    <x v="237"/>
    <x v="3"/>
    <x v="858"/>
    <n v="3"/>
    <n v="372"/>
    <x v="781"/>
    <x v="1"/>
    <x v="0"/>
    <x v="1"/>
    <s v="Delivered"/>
    <n v="593"/>
    <n v="124"/>
    <x v="15"/>
    <x v="10"/>
    <x v="14"/>
    <x v="1"/>
    <x v="11"/>
    <m/>
  </r>
  <r>
    <d v="2027-10-16T00:00:00"/>
    <x v="5"/>
    <s v="Cutlery"/>
    <s v="3pcs"/>
    <x v="119"/>
    <x v="5"/>
    <x v="890"/>
    <n v="4"/>
    <n v="1028"/>
    <x v="490"/>
    <x v="0"/>
    <x v="3"/>
    <x v="0"/>
    <s v="Delivered"/>
    <n v="567"/>
    <n v="257"/>
    <x v="2"/>
    <x v="2"/>
    <x v="2"/>
    <x v="3"/>
    <x v="4"/>
    <m/>
  </r>
  <r>
    <d v="2027-10-17T00:00:00"/>
    <x v="5"/>
    <s v="Cutlery"/>
    <s v="3pcs"/>
    <x v="134"/>
    <x v="5"/>
    <x v="142"/>
    <n v="4"/>
    <n v="960"/>
    <x v="138"/>
    <x v="0"/>
    <x v="1"/>
    <x v="0"/>
    <s v="Delayed"/>
    <n v="615"/>
    <n v="240"/>
    <x v="15"/>
    <x v="10"/>
    <x v="14"/>
    <x v="4"/>
    <x v="0"/>
    <m/>
  </r>
  <r>
    <d v="2027-10-18T00:00:00"/>
    <x v="3"/>
    <s v="Containers"/>
    <s v="1L"/>
    <x v="441"/>
    <x v="3"/>
    <x v="1192"/>
    <n v="3"/>
    <n v="645"/>
    <x v="1036"/>
    <x v="2"/>
    <x v="0"/>
    <x v="1"/>
    <s v="Delivered"/>
    <n v="527"/>
    <n v="215"/>
    <x v="17"/>
    <x v="11"/>
    <x v="16"/>
    <x v="0"/>
    <x v="1"/>
    <m/>
  </r>
  <r>
    <d v="2027-10-19T00:00:00"/>
    <x v="1"/>
    <s v="Glass &amp; Bottles"/>
    <s v="750ml"/>
    <x v="443"/>
    <x v="1"/>
    <x v="1300"/>
    <n v="12"/>
    <n v="4548"/>
    <x v="1117"/>
    <x v="0"/>
    <x v="2"/>
    <x v="1"/>
    <s v="Delayed"/>
    <n v="836"/>
    <n v="379"/>
    <x v="3"/>
    <x v="2"/>
    <x v="3"/>
    <x v="2"/>
    <x v="10"/>
    <m/>
  </r>
  <r>
    <d v="2027-10-20T00:00:00"/>
    <x v="2"/>
    <s v="Housekeeping Items"/>
    <s v="Standard"/>
    <x v="109"/>
    <x v="2"/>
    <x v="253"/>
    <n v="100"/>
    <n v="35600"/>
    <x v="246"/>
    <x v="2"/>
    <x v="3"/>
    <x v="2"/>
    <s v="Returned"/>
    <n v="917"/>
    <n v="356"/>
    <x v="18"/>
    <x v="12"/>
    <x v="17"/>
    <x v="4"/>
    <x v="10"/>
    <m/>
  </r>
  <r>
    <d v="2027-10-21T00:00:00"/>
    <x v="3"/>
    <s v="Containers"/>
    <s v="1L"/>
    <x v="475"/>
    <x v="3"/>
    <x v="805"/>
    <n v="3"/>
    <n v="54"/>
    <x v="742"/>
    <x v="0"/>
    <x v="1"/>
    <x v="0"/>
    <s v="Delayed"/>
    <n v="979"/>
    <n v="18"/>
    <x v="3"/>
    <x v="2"/>
    <x v="3"/>
    <x v="1"/>
    <x v="7"/>
    <m/>
  </r>
  <r>
    <d v="2027-10-22T00:00:00"/>
    <x v="1"/>
    <s v="Glass &amp; Bottles"/>
    <s v="750ml"/>
    <x v="254"/>
    <x v="1"/>
    <x v="1301"/>
    <n v="12"/>
    <n v="4344"/>
    <x v="1118"/>
    <x v="1"/>
    <x v="1"/>
    <x v="0"/>
    <s v="Delayed"/>
    <n v="599"/>
    <n v="362"/>
    <x v="14"/>
    <x v="6"/>
    <x v="13"/>
    <x v="4"/>
    <x v="11"/>
    <m/>
  </r>
  <r>
    <d v="2027-10-23T00:00:00"/>
    <x v="0"/>
    <s v="Takeaway Boxes"/>
    <s v="Large"/>
    <x v="127"/>
    <x v="0"/>
    <x v="133"/>
    <n v="5"/>
    <n v="435"/>
    <x v="128"/>
    <x v="0"/>
    <x v="0"/>
    <x v="1"/>
    <s v="Returned"/>
    <n v="720"/>
    <n v="87"/>
    <x v="7"/>
    <x v="5"/>
    <x v="7"/>
    <x v="2"/>
    <x v="10"/>
    <m/>
  </r>
  <r>
    <d v="2027-10-24T00:00:00"/>
    <x v="5"/>
    <s v="Cutlery"/>
    <s v="3pcs"/>
    <x v="65"/>
    <x v="5"/>
    <x v="206"/>
    <n v="4"/>
    <n v="208"/>
    <x v="108"/>
    <x v="2"/>
    <x v="1"/>
    <x v="1"/>
    <s v="Returned"/>
    <n v="524"/>
    <n v="52"/>
    <x v="15"/>
    <x v="10"/>
    <x v="14"/>
    <x v="4"/>
    <x v="4"/>
    <m/>
  </r>
  <r>
    <d v="2027-10-25T00:00:00"/>
    <x v="2"/>
    <s v="Housekeeping Items"/>
    <s v="Standard"/>
    <x v="343"/>
    <x v="2"/>
    <x v="522"/>
    <n v="100"/>
    <n v="30800"/>
    <x v="494"/>
    <x v="0"/>
    <x v="1"/>
    <x v="2"/>
    <s v="Delayed"/>
    <n v="897"/>
    <n v="308"/>
    <x v="15"/>
    <x v="10"/>
    <x v="14"/>
    <x v="3"/>
    <x v="11"/>
    <m/>
  </r>
  <r>
    <d v="2027-10-26T00:00:00"/>
    <x v="2"/>
    <s v="Housekeeping Items"/>
    <s v="Standard"/>
    <x v="364"/>
    <x v="2"/>
    <x v="555"/>
    <n v="100"/>
    <n v="33600"/>
    <x v="527"/>
    <x v="2"/>
    <x v="3"/>
    <x v="0"/>
    <s v="Delivered"/>
    <n v="935"/>
    <n v="336"/>
    <x v="5"/>
    <x v="0"/>
    <x v="5"/>
    <x v="0"/>
    <x v="10"/>
    <m/>
  </r>
  <r>
    <d v="2027-10-27T00:00:00"/>
    <x v="1"/>
    <s v="Glass &amp; Bottles"/>
    <s v="750ml"/>
    <x v="175"/>
    <x v="1"/>
    <x v="239"/>
    <n v="12"/>
    <n v="5544"/>
    <x v="233"/>
    <x v="2"/>
    <x v="2"/>
    <x v="2"/>
    <s v="Returned"/>
    <n v="789"/>
    <n v="462"/>
    <x v="1"/>
    <x v="1"/>
    <x v="1"/>
    <x v="2"/>
    <x v="10"/>
    <m/>
  </r>
  <r>
    <d v="2027-10-28T00:00:00"/>
    <x v="0"/>
    <s v="Takeaway Boxes"/>
    <s v="Large"/>
    <x v="411"/>
    <x v="0"/>
    <x v="310"/>
    <n v="5"/>
    <n v="1215"/>
    <x v="1119"/>
    <x v="1"/>
    <x v="1"/>
    <x v="1"/>
    <s v="Returned"/>
    <n v="889"/>
    <n v="243"/>
    <x v="19"/>
    <x v="13"/>
    <x v="18"/>
    <x v="3"/>
    <x v="9"/>
    <m/>
  </r>
  <r>
    <d v="2027-10-29T00:00:00"/>
    <x v="3"/>
    <s v="Containers"/>
    <s v="1L"/>
    <x v="68"/>
    <x v="3"/>
    <x v="70"/>
    <n v="3"/>
    <n v="810"/>
    <x v="69"/>
    <x v="0"/>
    <x v="3"/>
    <x v="0"/>
    <s v="Delayed"/>
    <n v="965"/>
    <n v="270"/>
    <x v="14"/>
    <x v="6"/>
    <x v="13"/>
    <x v="3"/>
    <x v="9"/>
    <m/>
  </r>
  <r>
    <d v="2027-10-30T00:00:00"/>
    <x v="3"/>
    <s v="Containers"/>
    <s v="1L"/>
    <x v="326"/>
    <x v="3"/>
    <x v="1242"/>
    <n v="3"/>
    <n v="609"/>
    <x v="761"/>
    <x v="1"/>
    <x v="1"/>
    <x v="0"/>
    <s v="Delayed"/>
    <n v="895"/>
    <n v="203"/>
    <x v="5"/>
    <x v="0"/>
    <x v="5"/>
    <x v="3"/>
    <x v="5"/>
    <m/>
  </r>
  <r>
    <d v="2027-10-31T00:00:00"/>
    <x v="3"/>
    <s v="Containers"/>
    <s v="1L"/>
    <x v="459"/>
    <x v="3"/>
    <x v="1302"/>
    <n v="3"/>
    <n v="681"/>
    <x v="1120"/>
    <x v="2"/>
    <x v="3"/>
    <x v="1"/>
    <s v="Returned"/>
    <n v="934"/>
    <n v="227"/>
    <x v="15"/>
    <x v="10"/>
    <x v="14"/>
    <x v="3"/>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43BA07-9F51-42A7-9BFD-08BFA72AA6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D8" firstHeaderRow="0" firstDataRow="1" firstDataCol="1"/>
  <pivotFields count="22">
    <pivotField numFmtId="14" showAll="0"/>
    <pivotField showAll="0">
      <items count="7">
        <item x="1"/>
        <item h="1" x="2"/>
        <item h="1" x="4"/>
        <item h="1" x="3"/>
        <item h="1" x="0"/>
        <item h="1" x="5"/>
        <item t="default"/>
      </items>
    </pivotField>
    <pivotField showAll="0"/>
    <pivotField showAll="0"/>
    <pivotField showAll="0">
      <items count="486">
        <item x="451"/>
        <item x="273"/>
        <item x="442"/>
        <item x="79"/>
        <item x="378"/>
        <item x="293"/>
        <item x="474"/>
        <item x="152"/>
        <item x="475"/>
        <item x="141"/>
        <item x="45"/>
        <item x="253"/>
        <item x="121"/>
        <item x="371"/>
        <item x="188"/>
        <item x="165"/>
        <item x="422"/>
        <item x="424"/>
        <item x="332"/>
        <item x="433"/>
        <item x="286"/>
        <item x="220"/>
        <item x="484"/>
        <item x="106"/>
        <item x="356"/>
        <item x="75"/>
        <item x="112"/>
        <item x="176"/>
        <item x="414"/>
        <item x="179"/>
        <item x="189"/>
        <item x="214"/>
        <item x="355"/>
        <item x="185"/>
        <item x="456"/>
        <item x="462"/>
        <item x="323"/>
        <item x="67"/>
        <item x="464"/>
        <item x="321"/>
        <item x="136"/>
        <item x="282"/>
        <item x="65"/>
        <item x="238"/>
        <item x="230"/>
        <item x="3"/>
        <item x="476"/>
        <item x="103"/>
        <item x="47"/>
        <item x="407"/>
        <item x="84"/>
        <item x="337"/>
        <item x="264"/>
        <item x="71"/>
        <item x="60"/>
        <item x="406"/>
        <item x="334"/>
        <item x="252"/>
        <item x="22"/>
        <item x="413"/>
        <item x="41"/>
        <item x="299"/>
        <item x="331"/>
        <item x="172"/>
        <item x="365"/>
        <item x="236"/>
        <item x="395"/>
        <item x="166"/>
        <item x="268"/>
        <item x="221"/>
        <item x="120"/>
        <item x="137"/>
        <item x="272"/>
        <item x="317"/>
        <item x="211"/>
        <item x="19"/>
        <item x="127"/>
        <item x="461"/>
        <item x="418"/>
        <item x="73"/>
        <item x="42"/>
        <item x="399"/>
        <item x="193"/>
        <item x="298"/>
        <item x="168"/>
        <item x="376"/>
        <item x="244"/>
        <item x="303"/>
        <item x="394"/>
        <item x="278"/>
        <item x="419"/>
        <item x="20"/>
        <item x="257"/>
        <item x="107"/>
        <item x="192"/>
        <item x="367"/>
        <item x="89"/>
        <item x="470"/>
        <item x="276"/>
        <item x="361"/>
        <item x="226"/>
        <item x="291"/>
        <item x="313"/>
        <item x="124"/>
        <item x="285"/>
        <item x="412"/>
        <item x="143"/>
        <item x="384"/>
        <item x="274"/>
        <item x="190"/>
        <item x="198"/>
        <item x="315"/>
        <item x="344"/>
        <item x="237"/>
        <item x="477"/>
        <item x="301"/>
        <item x="169"/>
        <item x="36"/>
        <item x="440"/>
        <item x="184"/>
        <item x="287"/>
        <item x="373"/>
        <item x="289"/>
        <item x="35"/>
        <item x="392"/>
        <item x="229"/>
        <item x="425"/>
        <item x="116"/>
        <item x="284"/>
        <item x="115"/>
        <item x="64"/>
        <item x="338"/>
        <item x="213"/>
        <item x="377"/>
        <item x="62"/>
        <item x="98"/>
        <item x="135"/>
        <item x="180"/>
        <item x="471"/>
        <item x="467"/>
        <item x="466"/>
        <item x="101"/>
        <item x="53"/>
        <item x="435"/>
        <item x="122"/>
        <item x="382"/>
        <item x="58"/>
        <item x="6"/>
        <item x="149"/>
        <item x="310"/>
        <item x="197"/>
        <item x="88"/>
        <item x="347"/>
        <item x="186"/>
        <item x="151"/>
        <item x="398"/>
        <item x="12"/>
        <item x="249"/>
        <item x="387"/>
        <item x="54"/>
        <item x="294"/>
        <item x="216"/>
        <item x="82"/>
        <item x="7"/>
        <item x="437"/>
        <item x="231"/>
        <item x="449"/>
        <item x="410"/>
        <item x="280"/>
        <item x="345"/>
        <item x="222"/>
        <item x="8"/>
        <item x="72"/>
        <item x="263"/>
        <item x="201"/>
        <item x="261"/>
        <item x="80"/>
        <item x="482"/>
        <item x="157"/>
        <item x="30"/>
        <item x="358"/>
        <item x="266"/>
        <item x="85"/>
        <item x="139"/>
        <item x="1"/>
        <item x="183"/>
        <item x="208"/>
        <item x="363"/>
        <item x="145"/>
        <item x="2"/>
        <item x="5"/>
        <item x="326"/>
        <item x="256"/>
        <item x="196"/>
        <item x="381"/>
        <item x="341"/>
        <item x="357"/>
        <item x="0"/>
        <item x="279"/>
        <item x="453"/>
        <item x="325"/>
        <item x="270"/>
        <item x="441"/>
        <item x="125"/>
        <item x="312"/>
        <item x="460"/>
        <item x="322"/>
        <item x="447"/>
        <item x="242"/>
        <item x="91"/>
        <item x="219"/>
        <item x="156"/>
        <item x="450"/>
        <item x="333"/>
        <item x="459"/>
        <item x="465"/>
        <item x="21"/>
        <item x="97"/>
        <item x="95"/>
        <item x="104"/>
        <item x="281"/>
        <item x="454"/>
        <item x="320"/>
        <item x="16"/>
        <item x="160"/>
        <item x="359"/>
        <item x="159"/>
        <item x="134"/>
        <item x="55"/>
        <item x="206"/>
        <item x="411"/>
        <item x="318"/>
        <item x="375"/>
        <item x="173"/>
        <item x="37"/>
        <item x="383"/>
        <item x="390"/>
        <item x="288"/>
        <item x="111"/>
        <item x="182"/>
        <item x="167"/>
        <item x="205"/>
        <item x="94"/>
        <item x="245"/>
        <item x="119"/>
        <item x="49"/>
        <item x="339"/>
        <item x="426"/>
        <item x="86"/>
        <item x="243"/>
        <item x="319"/>
        <item x="33"/>
        <item x="417"/>
        <item x="118"/>
        <item x="368"/>
        <item x="161"/>
        <item x="483"/>
        <item x="68"/>
        <item x="81"/>
        <item x="77"/>
        <item x="204"/>
        <item x="241"/>
        <item x="481"/>
        <item x="218"/>
        <item x="349"/>
        <item x="362"/>
        <item x="439"/>
        <item x="314"/>
        <item x="114"/>
        <item x="354"/>
        <item x="306"/>
        <item x="370"/>
        <item x="457"/>
        <item x="401"/>
        <item x="472"/>
        <item x="258"/>
        <item x="148"/>
        <item x="385"/>
        <item x="155"/>
        <item x="351"/>
        <item x="352"/>
        <item x="96"/>
        <item x="29"/>
        <item x="448"/>
        <item x="479"/>
        <item x="468"/>
        <item x="473"/>
        <item x="108"/>
        <item x="14"/>
        <item x="429"/>
        <item x="40"/>
        <item x="297"/>
        <item x="48"/>
        <item x="408"/>
        <item x="343"/>
        <item x="28"/>
        <item x="23"/>
        <item x="163"/>
        <item x="76"/>
        <item x="415"/>
        <item x="308"/>
        <item x="458"/>
        <item x="38"/>
        <item x="105"/>
        <item x="346"/>
        <item x="200"/>
        <item x="187"/>
        <item x="311"/>
        <item x="432"/>
        <item x="181"/>
        <item x="153"/>
        <item x="330"/>
        <item x="24"/>
        <item x="400"/>
        <item x="350"/>
        <item x="113"/>
        <item x="309"/>
        <item x="130"/>
        <item x="32"/>
        <item x="174"/>
        <item x="150"/>
        <item x="324"/>
        <item x="364"/>
        <item x="203"/>
        <item x="34"/>
        <item x="177"/>
        <item x="31"/>
        <item x="50"/>
        <item x="404"/>
        <item x="305"/>
        <item x="353"/>
        <item x="178"/>
        <item x="74"/>
        <item x="128"/>
        <item x="396"/>
        <item x="403"/>
        <item x="110"/>
        <item x="171"/>
        <item x="307"/>
        <item x="386"/>
        <item x="379"/>
        <item x="109"/>
        <item x="146"/>
        <item x="4"/>
        <item x="316"/>
        <item x="18"/>
        <item x="162"/>
        <item x="254"/>
        <item x="271"/>
        <item x="283"/>
        <item x="140"/>
        <item x="423"/>
        <item x="436"/>
        <item x="15"/>
        <item x="210"/>
        <item x="296"/>
        <item x="69"/>
        <item x="342"/>
        <item x="99"/>
        <item x="9"/>
        <item x="164"/>
        <item x="102"/>
        <item x="78"/>
        <item x="443"/>
        <item x="431"/>
        <item x="212"/>
        <item x="13"/>
        <item x="250"/>
        <item x="66"/>
        <item x="444"/>
        <item x="295"/>
        <item x="59"/>
        <item x="290"/>
        <item x="11"/>
        <item x="131"/>
        <item x="328"/>
        <item x="348"/>
        <item x="427"/>
        <item x="194"/>
        <item x="235"/>
        <item x="227"/>
        <item x="224"/>
        <item x="61"/>
        <item x="17"/>
        <item x="199"/>
        <item x="275"/>
        <item x="409"/>
        <item x="223"/>
        <item x="240"/>
        <item x="26"/>
        <item x="455"/>
        <item x="209"/>
        <item x="27"/>
        <item x="234"/>
        <item x="260"/>
        <item x="195"/>
        <item x="239"/>
        <item x="144"/>
        <item x="142"/>
        <item x="374"/>
        <item x="380"/>
        <item x="233"/>
        <item x="43"/>
        <item x="267"/>
        <item x="388"/>
        <item x="277"/>
        <item x="446"/>
        <item x="445"/>
        <item x="327"/>
        <item x="191"/>
        <item x="251"/>
        <item x="46"/>
        <item x="63"/>
        <item x="93"/>
        <item x="123"/>
        <item x="25"/>
        <item x="92"/>
        <item x="248"/>
        <item x="57"/>
        <item x="372"/>
        <item x="126"/>
        <item x="56"/>
        <item x="132"/>
        <item x="232"/>
        <item x="117"/>
        <item x="217"/>
        <item x="389"/>
        <item x="39"/>
        <item x="438"/>
        <item x="202"/>
        <item x="265"/>
        <item x="360"/>
        <item x="304"/>
        <item x="480"/>
        <item x="430"/>
        <item x="463"/>
        <item x="416"/>
        <item x="133"/>
        <item x="207"/>
        <item x="52"/>
        <item x="393"/>
        <item x="90"/>
        <item x="225"/>
        <item x="246"/>
        <item x="300"/>
        <item x="434"/>
        <item x="175"/>
        <item x="420"/>
        <item x="340"/>
        <item x="478"/>
        <item x="397"/>
        <item x="259"/>
        <item x="83"/>
        <item x="452"/>
        <item x="428"/>
        <item x="366"/>
        <item x="51"/>
        <item x="302"/>
        <item x="154"/>
        <item x="158"/>
        <item x="100"/>
        <item x="336"/>
        <item x="391"/>
        <item x="170"/>
        <item x="405"/>
        <item x="421"/>
        <item x="292"/>
        <item x="269"/>
        <item x="329"/>
        <item x="262"/>
        <item x="255"/>
        <item x="70"/>
        <item x="129"/>
        <item x="147"/>
        <item x="215"/>
        <item x="138"/>
        <item x="469"/>
        <item x="10"/>
        <item x="402"/>
        <item x="87"/>
        <item x="228"/>
        <item x="247"/>
        <item x="335"/>
        <item x="44"/>
        <item x="369"/>
        <item t="default"/>
      </items>
    </pivotField>
    <pivotField showAll="0">
      <items count="7">
        <item x="4"/>
        <item x="3"/>
        <item x="5"/>
        <item x="0"/>
        <item x="1"/>
        <item x="2"/>
        <item t="default"/>
      </items>
    </pivotField>
    <pivotField dataField="1" showAll="0">
      <items count="1304">
        <item x="885"/>
        <item x="1112"/>
        <item x="778"/>
        <item x="1080"/>
        <item x="905"/>
        <item x="126"/>
        <item x="245"/>
        <item x="753"/>
        <item x="347"/>
        <item x="1177"/>
        <item x="822"/>
        <item x="1222"/>
        <item x="904"/>
        <item x="1217"/>
        <item x="260"/>
        <item x="482"/>
        <item x="1143"/>
        <item x="1076"/>
        <item x="805"/>
        <item x="202"/>
        <item x="46"/>
        <item x="429"/>
        <item x="83"/>
        <item x="314"/>
        <item x="843"/>
        <item x="1122"/>
        <item x="588"/>
        <item x="1063"/>
        <item x="1276"/>
        <item x="475"/>
        <item x="69"/>
        <item x="1134"/>
        <item x="716"/>
        <item x="1056"/>
        <item x="1109"/>
        <item x="275"/>
        <item x="169"/>
        <item x="574"/>
        <item x="491"/>
        <item x="217"/>
        <item x="384"/>
        <item x="1106"/>
        <item x="335"/>
        <item x="278"/>
        <item x="648"/>
        <item x="647"/>
        <item x="605"/>
        <item x="313"/>
        <item x="925"/>
        <item x="897"/>
        <item x="171"/>
        <item x="1023"/>
        <item x="409"/>
        <item x="1214"/>
        <item x="1040"/>
        <item x="1141"/>
        <item x="1278"/>
        <item x="719"/>
        <item x="188"/>
        <item x="1002"/>
        <item x="1144"/>
        <item x="815"/>
        <item x="780"/>
        <item x="990"/>
        <item x="20"/>
        <item x="117"/>
        <item x="1162"/>
        <item x="1292"/>
        <item x="79"/>
        <item x="469"/>
        <item x="731"/>
        <item x="513"/>
        <item x="1200"/>
        <item x="613"/>
        <item x="296"/>
        <item x="922"/>
        <item x="274"/>
        <item x="1264"/>
        <item x="1190"/>
        <item x="846"/>
        <item x="320"/>
        <item x="111"/>
        <item x="222"/>
        <item x="1153"/>
        <item x="1193"/>
        <item x="924"/>
        <item x="1295"/>
        <item x="692"/>
        <item x="548"/>
        <item x="1180"/>
        <item x="823"/>
        <item x="321"/>
        <item x="49"/>
        <item x="156"/>
        <item x="606"/>
        <item x="1273"/>
        <item x="194"/>
        <item x="723"/>
        <item x="783"/>
        <item x="683"/>
        <item x="206"/>
        <item x="416"/>
        <item x="970"/>
        <item x="37"/>
        <item x="212"/>
        <item x="576"/>
        <item x="36"/>
        <item x="1272"/>
        <item x="450"/>
        <item x="213"/>
        <item x="174"/>
        <item x="774"/>
        <item x="906"/>
        <item x="682"/>
        <item x="832"/>
        <item x="1293"/>
        <item x="271"/>
        <item x="1223"/>
        <item x="1016"/>
        <item x="757"/>
        <item x="1251"/>
        <item x="1036"/>
        <item x="1012"/>
        <item x="277"/>
        <item x="150"/>
        <item x="1239"/>
        <item x="851"/>
        <item x="626"/>
        <item x="537"/>
        <item x="468"/>
        <item x="711"/>
        <item x="642"/>
        <item x="496"/>
        <item x="144"/>
        <item x="676"/>
        <item x="1136"/>
        <item x="364"/>
        <item x="151"/>
        <item x="215"/>
        <item x="23"/>
        <item x="620"/>
        <item x="584"/>
        <item x="42"/>
        <item x="1075"/>
        <item x="1017"/>
        <item x="354"/>
        <item x="664"/>
        <item x="544"/>
        <item x="1171"/>
        <item x="888"/>
        <item x="634"/>
        <item x="129"/>
        <item x="943"/>
        <item x="912"/>
        <item x="223"/>
        <item x="373"/>
        <item x="1115"/>
        <item x="799"/>
        <item x="1160"/>
        <item x="425"/>
        <item x="88"/>
        <item x="337"/>
        <item x="395"/>
        <item x="125"/>
        <item x="803"/>
        <item x="963"/>
        <item x="853"/>
        <item x="146"/>
        <item x="737"/>
        <item x="344"/>
        <item x="158"/>
        <item x="167"/>
        <item x="323"/>
        <item x="480"/>
        <item x="1089"/>
        <item x="1049"/>
        <item x="567"/>
        <item x="1266"/>
        <item x="680"/>
        <item x="586"/>
        <item x="540"/>
        <item x="186"/>
        <item x="710"/>
        <item x="1026"/>
        <item x="744"/>
        <item x="1003"/>
        <item x="1126"/>
        <item x="76"/>
        <item x="1147"/>
        <item x="43"/>
        <item x="1280"/>
        <item x="1176"/>
        <item x="240"/>
        <item x="259"/>
        <item x="176"/>
        <item x="1170"/>
        <item x="442"/>
        <item x="958"/>
        <item x="455"/>
        <item x="916"/>
        <item x="377"/>
        <item x="804"/>
        <item x="386"/>
        <item x="1020"/>
        <item x="1078"/>
        <item x="602"/>
        <item x="228"/>
        <item x="745"/>
        <item x="720"/>
        <item x="47"/>
        <item x="908"/>
        <item x="718"/>
        <item x="385"/>
        <item x="858"/>
        <item x="189"/>
        <item x="389"/>
        <item x="637"/>
        <item x="339"/>
        <item x="235"/>
        <item x="793"/>
        <item x="791"/>
        <item x="684"/>
        <item x="1271"/>
        <item x="382"/>
        <item x="511"/>
        <item x="935"/>
        <item x="1195"/>
        <item x="214"/>
        <item x="295"/>
        <item x="461"/>
        <item x="110"/>
        <item x="703"/>
        <item x="714"/>
        <item x="686"/>
        <item x="1127"/>
        <item x="85"/>
        <item x="645"/>
        <item x="292"/>
        <item x="411"/>
        <item x="1237"/>
        <item x="871"/>
        <item x="707"/>
        <item x="443"/>
        <item x="133"/>
        <item x="854"/>
        <item x="352"/>
        <item x="541"/>
        <item x="933"/>
        <item x="979"/>
        <item x="1152"/>
        <item x="1074"/>
        <item x="959"/>
        <item x="348"/>
        <item x="856"/>
        <item x="566"/>
        <item x="353"/>
        <item x="839"/>
        <item x="413"/>
        <item x="1279"/>
        <item x="100"/>
        <item x="653"/>
        <item x="516"/>
        <item x="867"/>
        <item x="1015"/>
        <item x="845"/>
        <item x="1133"/>
        <item x="1010"/>
        <item x="1151"/>
        <item x="191"/>
        <item x="1155"/>
        <item x="689"/>
        <item x="580"/>
        <item x="1070"/>
        <item x="24"/>
        <item x="399"/>
        <item x="185"/>
        <item x="155"/>
        <item x="738"/>
        <item x="418"/>
        <item x="600"/>
        <item x="388"/>
        <item x="956"/>
        <item x="59"/>
        <item x="9"/>
        <item x="219"/>
        <item x="439"/>
        <item x="227"/>
        <item x="727"/>
        <item x="1226"/>
        <item x="252"/>
        <item x="1064"/>
        <item x="1163"/>
        <item x="879"/>
        <item x="257"/>
        <item x="33"/>
        <item x="1117"/>
        <item x="470"/>
        <item x="503"/>
        <item x="1158"/>
        <item x="999"/>
        <item x="1105"/>
        <item x="251"/>
        <item x="401"/>
        <item x="255"/>
        <item x="628"/>
        <item x="465"/>
        <item x="836"/>
        <item x="332"/>
        <item x="428"/>
        <item x="1142"/>
        <item x="1186"/>
        <item x="1119"/>
        <item x="484"/>
        <item x="1048"/>
        <item x="453"/>
        <item x="733"/>
        <item x="1061"/>
        <item x="825"/>
        <item x="598"/>
        <item x="263"/>
        <item x="130"/>
        <item x="910"/>
        <item x="1097"/>
        <item x="346"/>
        <item x="247"/>
        <item x="408"/>
        <item x="1249"/>
        <item x="410"/>
        <item x="812"/>
        <item x="84"/>
        <item x="1262"/>
        <item x="827"/>
        <item x="1284"/>
        <item x="73"/>
        <item x="800"/>
        <item x="982"/>
        <item x="14"/>
        <item x="830"/>
        <item x="865"/>
        <item x="1059"/>
        <item x="367"/>
        <item x="89"/>
        <item x="1009"/>
        <item x="12"/>
        <item x="196"/>
        <item x="92"/>
        <item x="926"/>
        <item x="1037"/>
        <item x="915"/>
        <item x="463"/>
        <item x="1182"/>
        <item x="713"/>
        <item x="1079"/>
        <item x="1146"/>
        <item x="1161"/>
        <item x="552"/>
        <item x="297"/>
        <item x="5"/>
        <item x="305"/>
        <item x="1242"/>
        <item x="365"/>
        <item x="244"/>
        <item x="372"/>
        <item x="112"/>
        <item x="226"/>
        <item x="55"/>
        <item x="441"/>
        <item x="931"/>
        <item x="996"/>
        <item x="899"/>
        <item x="390"/>
        <item x="67"/>
        <item x="86"/>
        <item x="625"/>
        <item x="957"/>
        <item x="866"/>
        <item x="392"/>
        <item x="946"/>
        <item x="393"/>
        <item x="309"/>
        <item x="1060"/>
        <item x="876"/>
        <item x="557"/>
        <item x="1091"/>
        <item x="715"/>
        <item x="1192"/>
        <item x="460"/>
        <item x="521"/>
        <item x="58"/>
        <item x="527"/>
        <item x="966"/>
        <item x="264"/>
        <item x="773"/>
        <item x="1210"/>
        <item x="256"/>
        <item x="1243"/>
        <item x="293"/>
        <item x="40"/>
        <item x="330"/>
        <item x="376"/>
        <item x="1129"/>
        <item x="831"/>
        <item x="795"/>
        <item x="884"/>
        <item x="66"/>
        <item x="419"/>
        <item x="1302"/>
        <item x="1294"/>
        <item x="177"/>
        <item x="919"/>
        <item x="22"/>
        <item x="299"/>
        <item x="651"/>
        <item x="1216"/>
        <item x="1062"/>
        <item x="261"/>
        <item x="646"/>
        <item x="1044"/>
        <item x="420"/>
        <item x="17"/>
        <item x="583"/>
        <item x="417"/>
        <item x="207"/>
        <item x="941"/>
        <item x="1145"/>
        <item x="242"/>
        <item x="1165"/>
        <item x="179"/>
        <item x="673"/>
        <item x="767"/>
        <item x="398"/>
        <item x="965"/>
        <item x="886"/>
        <item x="980"/>
        <item x="1103"/>
        <item x="726"/>
        <item x="829"/>
        <item x="507"/>
        <item x="736"/>
        <item x="64"/>
        <item x="578"/>
        <item x="147"/>
        <item x="1018"/>
        <item x="11"/>
        <item x="679"/>
        <item x="599"/>
        <item x="91"/>
        <item x="508"/>
        <item x="514"/>
        <item x="430"/>
        <item x="844"/>
        <item x="913"/>
        <item x="1257"/>
        <item x="742"/>
        <item x="761"/>
        <item x="190"/>
        <item x="357"/>
        <item x="6"/>
        <item x="98"/>
        <item x="477"/>
        <item x="61"/>
        <item x="518"/>
        <item x="779"/>
        <item x="1291"/>
        <item x="775"/>
        <item x="934"/>
        <item x="1028"/>
        <item x="1132"/>
        <item x="837"/>
        <item x="1252"/>
        <item x="168"/>
        <item x="472"/>
        <item x="1068"/>
        <item x="1043"/>
        <item x="70"/>
        <item x="893"/>
        <item x="1128"/>
        <item x="504"/>
        <item x="1228"/>
        <item x="291"/>
        <item x="241"/>
        <item x="101"/>
        <item x="360"/>
        <item x="1164"/>
        <item x="99"/>
        <item x="1077"/>
        <item x="849"/>
        <item x="434"/>
        <item x="7"/>
        <item x="1207"/>
        <item x="464"/>
        <item x="997"/>
        <item x="1014"/>
        <item x="569"/>
        <item x="955"/>
        <item x="1234"/>
        <item x="303"/>
        <item x="142"/>
        <item x="201"/>
        <item x="581"/>
        <item x="975"/>
        <item x="1007"/>
        <item x="533"/>
        <item x="493"/>
        <item x="534"/>
        <item x="932"/>
        <item x="467"/>
        <item x="880"/>
        <item x="197"/>
        <item x="807"/>
        <item x="231"/>
        <item x="558"/>
        <item x="887"/>
        <item x="209"/>
        <item x="294"/>
        <item x="286"/>
        <item x="515"/>
        <item x="1205"/>
        <item x="665"/>
        <item x="1288"/>
        <item x="890"/>
        <item x="1220"/>
        <item x="768"/>
        <item x="923"/>
        <item x="153"/>
        <item x="433"/>
        <item x="1236"/>
        <item x="210"/>
        <item x="766"/>
        <item x="743"/>
        <item x="553"/>
        <item x="123"/>
        <item x="216"/>
        <item x="643"/>
        <item x="2"/>
        <item x="1231"/>
        <item x="208"/>
        <item x="1029"/>
        <item x="273"/>
        <item x="607"/>
        <item x="445"/>
        <item x="118"/>
        <item x="725"/>
        <item x="137"/>
        <item x="954"/>
        <item x="531"/>
        <item x="1169"/>
        <item x="0"/>
        <item x="988"/>
        <item x="1004"/>
        <item x="1098"/>
        <item x="368"/>
        <item x="900"/>
        <item x="1269"/>
        <item x="724"/>
        <item x="285"/>
        <item x="983"/>
        <item x="658"/>
        <item x="1219"/>
        <item x="593"/>
        <item x="77"/>
        <item x="115"/>
        <item x="1104"/>
        <item x="195"/>
        <item x="1005"/>
        <item x="695"/>
        <item x="873"/>
        <item x="874"/>
        <item x="1051"/>
        <item x="19"/>
        <item x="211"/>
        <item x="315"/>
        <item x="789"/>
        <item x="343"/>
        <item x="656"/>
        <item x="1000"/>
        <item x="1071"/>
        <item x="734"/>
        <item x="1212"/>
        <item x="319"/>
        <item x="412"/>
        <item x="951"/>
        <item x="108"/>
        <item x="135"/>
        <item x="561"/>
        <item x="917"/>
        <item x="103"/>
        <item x="80"/>
        <item x="366"/>
        <item x="702"/>
        <item x="106"/>
        <item x="82"/>
        <item x="994"/>
        <item x="961"/>
        <item x="1232"/>
        <item x="939"/>
        <item x="546"/>
        <item x="749"/>
        <item x="1179"/>
        <item x="756"/>
        <item x="603"/>
        <item x="1137"/>
        <item x="56"/>
        <item x="60"/>
        <item x="796"/>
        <item x="310"/>
        <item x="1094"/>
        <item x="25"/>
        <item x="691"/>
        <item x="532"/>
        <item x="1045"/>
        <item x="283"/>
        <item x="859"/>
        <item x="269"/>
        <item x="601"/>
        <item x="1183"/>
        <item x="976"/>
        <item x="1282"/>
        <item x="116"/>
        <item x="542"/>
        <item x="550"/>
        <item x="717"/>
        <item x="1201"/>
        <item x="1057"/>
        <item x="1033"/>
        <item x="21"/>
        <item x="861"/>
        <item x="1011"/>
        <item x="821"/>
        <item x="124"/>
        <item x="1245"/>
        <item x="289"/>
        <item x="1238"/>
        <item x="180"/>
        <item x="765"/>
        <item x="1092"/>
        <item x="840"/>
        <item x="281"/>
        <item x="806"/>
        <item x="1140"/>
        <item x="1041"/>
        <item x="690"/>
        <item x="1066"/>
        <item x="394"/>
        <item x="1298"/>
        <item x="1069"/>
        <item x="597"/>
        <item x="333"/>
        <item x="159"/>
        <item x="1290"/>
        <item x="311"/>
        <item x="304"/>
        <item x="1030"/>
        <item x="790"/>
        <item x="1123"/>
        <item x="302"/>
        <item x="525"/>
        <item x="267"/>
        <item x="678"/>
        <item x="1299"/>
        <item x="936"/>
        <item x="1095"/>
        <item x="57"/>
        <item x="1244"/>
        <item x="894"/>
        <item x="1189"/>
        <item x="850"/>
        <item x="741"/>
        <item x="551"/>
        <item x="986"/>
        <item x="1087"/>
        <item x="781"/>
        <item x="1008"/>
        <item x="801"/>
        <item x="1035"/>
        <item x="992"/>
        <item x="810"/>
        <item x="400"/>
        <item x="672"/>
        <item x="1084"/>
        <item x="141"/>
        <item x="53"/>
        <item x="1093"/>
        <item x="94"/>
        <item x="870"/>
        <item x="1046"/>
        <item x="1175"/>
        <item x="1032"/>
        <item x="1287"/>
        <item x="892"/>
        <item x="794"/>
        <item x="324"/>
        <item x="949"/>
        <item x="1096"/>
        <item x="776"/>
        <item x="1148"/>
        <item x="1072"/>
        <item x="896"/>
        <item x="205"/>
        <item x="483"/>
        <item x="530"/>
        <item x="559"/>
        <item x="811"/>
        <item x="30"/>
        <item x="479"/>
        <item x="1187"/>
        <item x="306"/>
        <item x="178"/>
        <item x="163"/>
        <item x="1099"/>
        <item x="220"/>
        <item x="751"/>
        <item x="995"/>
        <item x="944"/>
        <item x="987"/>
        <item x="1181"/>
        <item x="818"/>
        <item x="881"/>
        <item x="826"/>
        <item x="72"/>
        <item x="1116"/>
        <item x="50"/>
        <item x="28"/>
        <item x="254"/>
        <item x="327"/>
        <item x="1213"/>
        <item x="621"/>
        <item x="225"/>
        <item x="674"/>
        <item x="29"/>
        <item x="1268"/>
        <item x="287"/>
        <item x="1204"/>
        <item x="454"/>
        <item x="595"/>
        <item x="44"/>
        <item x="1197"/>
        <item x="877"/>
        <item x="109"/>
        <item x="528"/>
        <item x="644"/>
        <item x="510"/>
        <item x="1265"/>
        <item x="1173"/>
        <item x="444"/>
        <item x="964"/>
        <item x="128"/>
        <item x="1031"/>
        <item x="26"/>
        <item x="170"/>
        <item x="1168"/>
        <item x="1167"/>
        <item x="334"/>
        <item x="728"/>
        <item x="140"/>
        <item x="752"/>
        <item x="560"/>
        <item x="122"/>
        <item x="524"/>
        <item x="1157"/>
        <item x="740"/>
        <item x="1198"/>
        <item x="857"/>
        <item x="166"/>
        <item x="547"/>
        <item x="1281"/>
        <item x="474"/>
        <item x="616"/>
        <item x="440"/>
        <item x="739"/>
        <item x="1172"/>
        <item x="529"/>
        <item x="52"/>
        <item x="1261"/>
        <item x="1154"/>
        <item x="422"/>
        <item x="290"/>
        <item x="635"/>
        <item x="204"/>
        <item x="200"/>
        <item x="748"/>
        <item x="730"/>
        <item x="636"/>
        <item x="971"/>
        <item x="456"/>
        <item x="1199"/>
        <item x="667"/>
        <item x="609"/>
        <item x="1297"/>
        <item x="592"/>
        <item x="172"/>
        <item x="631"/>
        <item x="1058"/>
        <item x="967"/>
        <item x="1270"/>
        <item x="1050"/>
        <item x="1235"/>
        <item x="183"/>
        <item x="898"/>
        <item x="763"/>
        <item x="960"/>
        <item x="329"/>
        <item x="624"/>
        <item x="102"/>
        <item x="570"/>
        <item x="161"/>
        <item x="758"/>
        <item x="143"/>
        <item x="447"/>
        <item x="638"/>
        <item x="633"/>
        <item x="502"/>
        <item x="300"/>
        <item x="929"/>
        <item x="706"/>
        <item x="568"/>
        <item x="187"/>
        <item x="701"/>
        <item x="1247"/>
        <item x="864"/>
        <item x="54"/>
        <item x="243"/>
        <item x="407"/>
        <item x="396"/>
        <item x="1110"/>
        <item x="490"/>
        <item x="785"/>
        <item x="387"/>
        <item x="1120"/>
        <item x="1206"/>
        <item x="1230"/>
        <item x="699"/>
        <item x="1178"/>
        <item x="1233"/>
        <item x="438"/>
        <item x="265"/>
        <item x="326"/>
        <item x="27"/>
        <item x="938"/>
        <item x="1225"/>
        <item x="697"/>
        <item x="573"/>
        <item x="835"/>
        <item x="520"/>
        <item x="808"/>
        <item x="157"/>
        <item x="1025"/>
        <item x="838"/>
        <item x="652"/>
        <item x="539"/>
        <item x="338"/>
        <item x="13"/>
        <item x="351"/>
        <item x="471"/>
        <item x="481"/>
        <item x="221"/>
        <item x="65"/>
        <item x="145"/>
        <item x="1052"/>
        <item x="787"/>
        <item x="96"/>
        <item x="1114"/>
        <item x="587"/>
        <item x="132"/>
        <item x="458"/>
        <item x="630"/>
        <item x="280"/>
        <item x="426"/>
        <item x="612"/>
        <item x="1150"/>
        <item x="1082"/>
        <item x="1221"/>
        <item x="1166"/>
        <item x="1055"/>
        <item x="1194"/>
        <item x="945"/>
        <item x="816"/>
        <item x="1121"/>
        <item x="556"/>
        <item x="8"/>
        <item x="75"/>
        <item x="814"/>
        <item x="1088"/>
        <item x="820"/>
        <item x="362"/>
        <item x="318"/>
        <item x="1275"/>
        <item x="788"/>
        <item x="104"/>
        <item x="772"/>
        <item x="1102"/>
        <item x="813"/>
        <item x="485"/>
        <item x="379"/>
        <item x="301"/>
        <item x="148"/>
        <item x="1"/>
        <item x="654"/>
        <item x="649"/>
        <item x="270"/>
        <item x="594"/>
        <item x="45"/>
        <item x="358"/>
        <item x="554"/>
        <item x="762"/>
        <item x="1258"/>
        <item x="872"/>
        <item x="1283"/>
        <item x="572"/>
        <item x="930"/>
        <item x="907"/>
        <item x="342"/>
        <item x="855"/>
        <item x="131"/>
        <item x="1067"/>
        <item x="878"/>
        <item x="1138"/>
        <item x="95"/>
        <item x="841"/>
        <item x="705"/>
        <item x="1286"/>
        <item x="139"/>
        <item x="998"/>
        <item x="608"/>
        <item x="1111"/>
        <item x="359"/>
        <item x="735"/>
        <item x="969"/>
        <item x="38"/>
        <item x="1149"/>
        <item x="842"/>
        <item x="614"/>
        <item x="834"/>
        <item x="538"/>
        <item x="402"/>
        <item x="371"/>
        <item x="1274"/>
        <item x="549"/>
        <item x="78"/>
        <item x="1267"/>
        <item x="1113"/>
        <item x="182"/>
        <item x="1255"/>
        <item x="1229"/>
        <item x="81"/>
        <item x="234"/>
        <item x="882"/>
        <item x="948"/>
        <item x="604"/>
        <item x="675"/>
        <item x="677"/>
        <item x="1253"/>
        <item x="1174"/>
        <item x="162"/>
        <item x="1196"/>
        <item x="173"/>
        <item x="435"/>
        <item x="663"/>
        <item x="523"/>
        <item x="113"/>
        <item x="927"/>
        <item x="1027"/>
        <item x="764"/>
        <item x="1289"/>
        <item x="378"/>
        <item x="466"/>
        <item x="582"/>
        <item x="782"/>
        <item x="381"/>
        <item x="498"/>
        <item x="627"/>
        <item x="488"/>
        <item x="1241"/>
        <item x="436"/>
        <item x="199"/>
        <item x="427"/>
        <item x="476"/>
        <item x="817"/>
        <item x="35"/>
        <item x="203"/>
        <item x="585"/>
        <item x="671"/>
        <item x="784"/>
        <item x="977"/>
        <item x="331"/>
        <item x="114"/>
        <item x="160"/>
        <item x="536"/>
        <item x="1240"/>
        <item x="237"/>
        <item x="862"/>
        <item x="1301"/>
        <item x="375"/>
        <item x="596"/>
        <item x="16"/>
        <item x="1285"/>
        <item x="71"/>
        <item x="519"/>
        <item x="340"/>
        <item x="10"/>
        <item x="1159"/>
        <item x="1300"/>
        <item x="824"/>
        <item x="462"/>
        <item x="175"/>
        <item x="777"/>
        <item x="478"/>
        <item x="754"/>
        <item x="685"/>
        <item x="138"/>
        <item x="1208"/>
        <item x="224"/>
        <item x="266"/>
        <item x="288"/>
        <item x="62"/>
        <item x="229"/>
        <item x="349"/>
        <item x="709"/>
        <item x="1191"/>
        <item x="848"/>
        <item x="282"/>
        <item x="1156"/>
        <item x="1065"/>
        <item x="3"/>
        <item x="632"/>
        <item x="786"/>
        <item x="847"/>
        <item x="819"/>
        <item x="704"/>
        <item x="1085"/>
        <item x="914"/>
        <item x="696"/>
        <item x="298"/>
        <item x="107"/>
        <item x="641"/>
        <item x="363"/>
        <item x="972"/>
        <item x="312"/>
        <item x="164"/>
        <item x="369"/>
        <item x="1224"/>
        <item x="747"/>
        <item x="232"/>
        <item x="952"/>
        <item x="712"/>
        <item x="1215"/>
        <item x="991"/>
        <item x="238"/>
        <item x="432"/>
        <item x="622"/>
        <item x="666"/>
        <item x="619"/>
        <item x="1081"/>
        <item x="1047"/>
        <item x="239"/>
        <item x="902"/>
        <item x="1256"/>
        <item x="1086"/>
        <item x="501"/>
        <item x="87"/>
        <item x="889"/>
        <item x="921"/>
        <item x="918"/>
        <item x="74"/>
        <item x="615"/>
        <item x="937"/>
        <item x="1053"/>
        <item x="341"/>
        <item x="391"/>
        <item x="1254"/>
        <item x="1139"/>
        <item x="590"/>
        <item x="452"/>
        <item x="1260"/>
        <item x="732"/>
        <item x="662"/>
        <item x="968"/>
        <item x="650"/>
        <item x="688"/>
        <item x="136"/>
        <item x="722"/>
        <item x="489"/>
        <item x="374"/>
        <item x="405"/>
        <item x="262"/>
        <item x="449"/>
        <item x="505"/>
        <item x="1211"/>
        <item x="457"/>
        <item x="248"/>
        <item x="1118"/>
        <item x="562"/>
        <item x="617"/>
        <item x="345"/>
        <item x="974"/>
        <item x="623"/>
        <item x="1131"/>
        <item x="1083"/>
        <item x="760"/>
        <item x="404"/>
        <item x="1107"/>
        <item x="563"/>
        <item x="93"/>
        <item x="350"/>
        <item x="1100"/>
        <item x="1021"/>
        <item x="721"/>
        <item x="833"/>
        <item x="1296"/>
        <item x="1001"/>
        <item x="1022"/>
        <item x="448"/>
        <item x="526"/>
        <item x="495"/>
        <item x="192"/>
        <item x="852"/>
        <item x="993"/>
        <item x="589"/>
        <item x="272"/>
        <item x="121"/>
        <item x="120"/>
        <item x="660"/>
        <item x="509"/>
        <item x="1054"/>
        <item x="63"/>
        <item x="973"/>
        <item x="1209"/>
        <item x="1006"/>
        <item x="105"/>
        <item x="127"/>
        <item x="165"/>
        <item x="659"/>
        <item x="1101"/>
        <item x="246"/>
        <item x="451"/>
        <item x="655"/>
        <item x="1202"/>
        <item x="694"/>
        <item x="279"/>
        <item x="883"/>
        <item x="361"/>
        <item x="564"/>
        <item x="770"/>
        <item x="328"/>
        <item x="437"/>
        <item x="1248"/>
        <item x="486"/>
        <item x="31"/>
        <item x="798"/>
        <item x="591"/>
        <item x="920"/>
        <item x="1108"/>
        <item x="962"/>
        <item x="517"/>
        <item x="639"/>
        <item x="431"/>
        <item x="729"/>
        <item x="317"/>
        <item x="911"/>
        <item x="1263"/>
        <item x="1130"/>
        <item x="1124"/>
        <item x="940"/>
        <item x="640"/>
        <item x="978"/>
        <item x="869"/>
        <item x="746"/>
        <item x="446"/>
        <item x="1259"/>
        <item x="494"/>
        <item x="184"/>
        <item x="492"/>
        <item x="370"/>
        <item x="903"/>
        <item x="1184"/>
        <item x="181"/>
        <item x="414"/>
        <item x="236"/>
        <item x="459"/>
        <item x="981"/>
        <item x="198"/>
        <item x="1125"/>
        <item x="1019"/>
        <item x="895"/>
        <item x="698"/>
        <item x="543"/>
        <item x="51"/>
        <item x="947"/>
        <item x="90"/>
        <item x="759"/>
        <item x="34"/>
        <item x="565"/>
        <item x="809"/>
        <item x="901"/>
        <item x="258"/>
        <item x="119"/>
        <item x="792"/>
        <item x="423"/>
        <item x="1090"/>
        <item x="1039"/>
        <item x="1042"/>
        <item x="755"/>
        <item x="1034"/>
        <item x="1188"/>
        <item x="618"/>
        <item x="15"/>
        <item x="41"/>
        <item x="1073"/>
        <item x="522"/>
        <item x="218"/>
        <item x="828"/>
        <item x="1038"/>
        <item x="39"/>
        <item x="487"/>
        <item x="230"/>
        <item x="802"/>
        <item x="909"/>
        <item x="657"/>
        <item x="1024"/>
        <item x="708"/>
        <item x="383"/>
        <item x="545"/>
        <item x="1250"/>
        <item x="555"/>
        <item x="233"/>
        <item x="32"/>
        <item x="891"/>
        <item x="535"/>
        <item x="134"/>
        <item x="668"/>
        <item x="950"/>
        <item x="253"/>
        <item x="629"/>
        <item x="4"/>
        <item x="356"/>
        <item x="355"/>
        <item x="149"/>
        <item x="1135"/>
        <item x="687"/>
        <item x="397"/>
        <item x="985"/>
        <item x="250"/>
        <item x="1246"/>
        <item x="308"/>
        <item x="68"/>
        <item x="953"/>
        <item x="863"/>
        <item x="276"/>
        <item x="506"/>
        <item x="18"/>
        <item x="989"/>
        <item x="1185"/>
        <item x="497"/>
        <item x="424"/>
        <item x="984"/>
        <item x="307"/>
        <item x="1013"/>
        <item x="942"/>
        <item x="154"/>
        <item x="577"/>
        <item x="693"/>
        <item x="403"/>
        <item x="284"/>
        <item x="610"/>
        <item x="406"/>
        <item x="868"/>
        <item x="661"/>
        <item x="48"/>
        <item x="579"/>
        <item x="97"/>
        <item x="1203"/>
        <item x="380"/>
        <item x="249"/>
        <item x="928"/>
        <item x="575"/>
        <item x="700"/>
        <item x="473"/>
        <item x="611"/>
        <item x="669"/>
        <item x="336"/>
        <item x="670"/>
        <item x="421"/>
        <item x="797"/>
        <item x="860"/>
        <item x="152"/>
        <item x="268"/>
        <item x="415"/>
        <item x="681"/>
        <item x="512"/>
        <item x="325"/>
        <item x="322"/>
        <item x="571"/>
        <item x="500"/>
        <item x="1277"/>
        <item x="193"/>
        <item x="1218"/>
        <item x="316"/>
        <item x="771"/>
        <item x="750"/>
        <item x="875"/>
        <item x="1227"/>
        <item x="499"/>
        <item x="769"/>
        <item t="default"/>
      </items>
    </pivotField>
    <pivotField showAll="0"/>
    <pivotField showAll="0"/>
    <pivotField dataField="1" showAll="0">
      <items count="1122">
        <item x="802"/>
        <item x="981"/>
        <item x="721"/>
        <item x="957"/>
        <item x="820"/>
        <item x="123"/>
        <item x="238"/>
        <item x="700"/>
        <item x="1026"/>
        <item x="755"/>
        <item x="819"/>
        <item x="1055"/>
        <item x="253"/>
        <item x="454"/>
        <item x="404"/>
        <item x="742"/>
        <item x="198"/>
        <item x="1101"/>
        <item x="81"/>
        <item x="45"/>
        <item x="299"/>
        <item x="770"/>
        <item x="991"/>
        <item x="943"/>
        <item x="448"/>
        <item x="68"/>
        <item x="211"/>
        <item x="1112"/>
        <item x="164"/>
        <item x="978"/>
        <item x="266"/>
        <item x="464"/>
        <item x="975"/>
        <item x="811"/>
        <item x="366"/>
        <item x="317"/>
        <item x="269"/>
        <item x="609"/>
        <item x="608"/>
        <item x="298"/>
        <item x="840"/>
        <item x="166"/>
        <item x="913"/>
        <item x="114"/>
        <item x="183"/>
        <item x="668"/>
        <item x="907"/>
        <item x="265"/>
        <item x="723"/>
        <item x="889"/>
        <item x="20"/>
        <item x="1017"/>
        <item x="77"/>
        <item x="443"/>
        <item x="677"/>
        <item x="486"/>
        <item x="1043"/>
        <item x="580"/>
        <item x="286"/>
        <item x="838"/>
        <item x="1010"/>
        <item x="1034"/>
        <item x="647"/>
        <item x="305"/>
        <item x="108"/>
        <item x="216"/>
        <item x="875"/>
        <item x="839"/>
        <item x="521"/>
        <item x="1098"/>
        <item x="756"/>
        <item x="306"/>
        <item x="48"/>
        <item x="151"/>
        <item x="572"/>
        <item x="190"/>
        <item x="726"/>
        <item x="640"/>
        <item x="1084"/>
        <item x="268"/>
        <item x="36"/>
        <item x="208"/>
        <item x="207"/>
        <item x="470"/>
        <item x="35"/>
        <item x="884"/>
        <item x="425"/>
        <item x="23"/>
        <item x="718"/>
        <item x="41"/>
        <item x="1111"/>
        <item x="554"/>
        <item x="1061"/>
        <item x="442"/>
        <item x="928"/>
        <item x="140"/>
        <item x="146"/>
        <item x="1073"/>
        <item x="592"/>
        <item x="510"/>
        <item x="662"/>
        <item x="605"/>
        <item x="994"/>
        <item x="634"/>
        <item x="122"/>
        <item x="346"/>
        <item x="142"/>
        <item x="209"/>
        <item x="326"/>
        <item x="468"/>
        <item x="954"/>
        <item x="539"/>
        <item x="334"/>
        <item x="625"/>
        <item x="517"/>
        <item x="689"/>
        <item x="804"/>
        <item x="74"/>
        <item x="42"/>
        <item x="853"/>
        <item x="827"/>
        <item x="217"/>
        <item x="355"/>
        <item x="986"/>
        <item x="308"/>
        <item x="400"/>
        <item x="516"/>
        <item x="319"/>
        <item x="373"/>
        <item x="638"/>
        <item x="777"/>
        <item x="683"/>
        <item x="153"/>
        <item x="162"/>
        <item x="690"/>
        <item x="452"/>
        <item x="46"/>
        <item x="367"/>
        <item x="1094"/>
        <item x="513"/>
        <item x="181"/>
        <item x="661"/>
        <item x="735"/>
        <item x="917"/>
        <item x="898"/>
        <item x="995"/>
        <item x="926"/>
        <item x="1104"/>
        <item x="234"/>
        <item x="252"/>
        <item x="171"/>
        <item x="1022"/>
        <item x="417"/>
        <item x="864"/>
        <item x="387"/>
        <item x="831"/>
        <item x="359"/>
        <item x="667"/>
        <item x="741"/>
        <item x="184"/>
        <item x="321"/>
        <item x="329"/>
        <item x="956"/>
        <item x="569"/>
        <item x="222"/>
        <item x="669"/>
        <item x="823"/>
        <item x="781"/>
        <item x="369"/>
        <item x="613"/>
        <item x="229"/>
        <item x="733"/>
        <item x="641"/>
        <item x="364"/>
        <item x="484"/>
        <item x="1038"/>
        <item x="128"/>
        <item x="285"/>
        <item x="436"/>
        <item x="107"/>
        <item x="656"/>
        <item x="643"/>
        <item x="996"/>
        <item x="916"/>
        <item x="83"/>
        <item x="283"/>
        <item x="944"/>
        <item x="1072"/>
        <item x="614"/>
        <item x="418"/>
        <item x="778"/>
        <item x="333"/>
        <item x="844"/>
        <item x="1000"/>
        <item x="953"/>
        <item x="186"/>
        <item x="244"/>
        <item x="549"/>
        <item x="538"/>
        <item x="376"/>
        <item x="389"/>
        <item x="1103"/>
        <item x="97"/>
        <item x="488"/>
        <item x="906"/>
        <item x="337"/>
        <item x="903"/>
        <item x="774"/>
        <item x="1012"/>
        <item x="645"/>
        <item x="24"/>
        <item x="180"/>
        <item x="150"/>
        <item x="684"/>
        <item x="567"/>
        <item x="444"/>
        <item x="58"/>
        <item x="9"/>
        <item x="213"/>
        <item x="414"/>
        <item x="221"/>
        <item x="674"/>
        <item x="89"/>
        <item x="245"/>
        <item x="1018"/>
        <item x="796"/>
        <item x="250"/>
        <item x="32"/>
        <item x="1031"/>
        <item x="287"/>
        <item x="292"/>
        <item x="477"/>
        <item x="1015"/>
        <item x="54"/>
        <item x="378"/>
        <item x="430"/>
        <item x="248"/>
        <item x="84"/>
        <item x="594"/>
        <item x="439"/>
        <item x="766"/>
        <item x="403"/>
        <item x="1005"/>
        <item x="793"/>
        <item x="456"/>
        <item x="665"/>
        <item x="428"/>
        <item x="679"/>
        <item x="942"/>
        <item x="499"/>
        <item x="565"/>
        <item x="255"/>
        <item x="825"/>
        <item x="969"/>
        <item x="328"/>
        <item x="240"/>
        <item x="385"/>
        <item x="386"/>
        <item x="746"/>
        <item x="82"/>
        <item x="759"/>
        <item x="812"/>
        <item x="172"/>
        <item x="347"/>
        <item x="14"/>
        <item x="109"/>
        <item x="787"/>
        <item x="940"/>
        <item x="349"/>
        <item x="86"/>
        <item x="12"/>
        <item x="192"/>
        <item x="394"/>
        <item x="552"/>
        <item x="830"/>
        <item x="235"/>
        <item x="1027"/>
        <item x="664"/>
        <item x="372"/>
        <item x="870"/>
        <item x="524"/>
        <item x="5"/>
        <item x="850"/>
        <item x="761"/>
        <item x="237"/>
        <item x="354"/>
        <item x="220"/>
        <item x="416"/>
        <item x="566"/>
        <item x="894"/>
        <item x="487"/>
        <item x="66"/>
        <item x="358"/>
        <item x="591"/>
        <item x="1085"/>
        <item x="338"/>
        <item x="65"/>
        <item x="371"/>
        <item x="855"/>
        <item x="295"/>
        <item x="941"/>
        <item x="529"/>
        <item x="835"/>
        <item x="1036"/>
        <item x="435"/>
        <item x="493"/>
        <item x="57"/>
        <item x="871"/>
        <item x="256"/>
        <item x="1052"/>
        <item x="249"/>
        <item x="284"/>
        <item x="39"/>
        <item x="202"/>
        <item x="948"/>
        <item x="762"/>
        <item x="801"/>
        <item x="997"/>
        <item x="393"/>
        <item x="1120"/>
        <item x="1113"/>
        <item x="673"/>
        <item x="22"/>
        <item x="63"/>
        <item x="98"/>
        <item x="96"/>
        <item x="984"/>
        <item x="749"/>
        <item x="409"/>
        <item x="438"/>
        <item x="17"/>
        <item x="392"/>
        <item x="851"/>
        <item x="1006"/>
        <item x="1019"/>
        <item x="6"/>
        <item x="174"/>
        <item x="138"/>
        <item x="712"/>
        <item x="197"/>
        <item x="722"/>
        <item x="803"/>
        <item x="974"/>
        <item x="466"/>
        <item x="682"/>
        <item x="547"/>
        <item x="143"/>
        <item x="908"/>
        <item x="11"/>
        <item x="637"/>
        <item x="88"/>
        <item x="481"/>
        <item x="405"/>
        <item x="163"/>
        <item x="828"/>
        <item x="687"/>
        <item x="204"/>
        <item x="185"/>
        <item x="95"/>
        <item x="60"/>
        <item x="490"/>
        <item x="341"/>
        <item x="719"/>
        <item x="955"/>
        <item x="919"/>
        <item x="7"/>
        <item x="767"/>
        <item x="688"/>
        <item x="905"/>
        <item x="120"/>
        <item x="606"/>
        <item x="69"/>
        <item x="808"/>
        <item x="550"/>
        <item x="478"/>
        <item x="282"/>
        <item x="441"/>
        <item x="503"/>
        <item x="225"/>
        <item x="421"/>
        <item x="887"/>
        <item x="509"/>
        <item x="895"/>
        <item x="541"/>
        <item x="395"/>
        <item x="619"/>
        <item x="627"/>
        <item x="1058"/>
        <item x="879"/>
        <item x="713"/>
        <item x="505"/>
        <item x="506"/>
        <item x="148"/>
        <item x="797"/>
        <item x="205"/>
        <item x="193"/>
        <item x="525"/>
        <item x="935"/>
        <item x="530"/>
        <item x="206"/>
        <item x="2"/>
        <item x="732"/>
        <item x="920"/>
        <item x="277"/>
        <item x="952"/>
        <item x="573"/>
        <item x="1047"/>
        <item x="1025"/>
        <item x="672"/>
        <item x="130"/>
        <item x="1048"/>
        <item x="832"/>
        <item x="78"/>
        <item x="408"/>
        <item x="0"/>
        <item x="711"/>
        <item x="899"/>
        <item x="848"/>
        <item x="814"/>
        <item x="210"/>
        <item x="1067"/>
        <item x="203"/>
        <item x="264"/>
        <item x="25"/>
        <item x="504"/>
        <item x="115"/>
        <item x="805"/>
        <item x="133"/>
        <item x="900"/>
        <item x="912"/>
        <item x="514"/>
        <item x="927"/>
        <item x="821"/>
        <item x="970"/>
        <item x="350"/>
        <item x="169"/>
        <item x="276"/>
        <item x="754"/>
        <item x="1078"/>
        <item x="1057"/>
        <item x="304"/>
        <item x="75"/>
        <item x="105"/>
        <item x="1004"/>
        <item x="533"/>
        <item x="112"/>
        <item x="191"/>
        <item x="461"/>
        <item x="650"/>
        <item x="791"/>
        <item x="866"/>
        <item x="519"/>
        <item x="921"/>
        <item x="19"/>
        <item x="497"/>
        <item x="55"/>
        <item x="300"/>
        <item x="325"/>
        <item x="617"/>
        <item x="1119"/>
        <item x="950"/>
        <item x="868"/>
        <item x="680"/>
        <item x="775"/>
        <item x="388"/>
        <item x="782"/>
        <item x="860"/>
        <item x="568"/>
        <item x="925"/>
        <item x="880"/>
        <item x="100"/>
        <item x="377"/>
        <item x="348"/>
        <item x="113"/>
        <item x="103"/>
        <item x="80"/>
        <item x="892"/>
        <item x="666"/>
        <item x="1068"/>
        <item x="694"/>
        <item x="187"/>
        <item x="703"/>
        <item x="570"/>
        <item x="968"/>
        <item x="121"/>
        <item x="59"/>
        <item x="737"/>
        <item x="710"/>
        <item x="810"/>
        <item x="344"/>
        <item x="455"/>
        <item x="502"/>
        <item x="745"/>
        <item x="451"/>
        <item x="274"/>
        <item x="261"/>
        <item x="1028"/>
        <item x="949"/>
        <item x="893"/>
        <item x="296"/>
        <item x="752"/>
        <item x="523"/>
        <item x="987"/>
        <item x="259"/>
        <item x="21"/>
        <item x="967"/>
        <item x="312"/>
        <item x="219"/>
        <item x="280"/>
        <item x="1096"/>
        <item x="175"/>
        <item x="965"/>
        <item x="562"/>
        <item x="272"/>
        <item x="43"/>
        <item x="931"/>
        <item x="646"/>
        <item x="794"/>
        <item x="946"/>
        <item x="607"/>
        <item x="564"/>
        <item x="316"/>
        <item x="154"/>
        <item x="869"/>
        <item x="125"/>
        <item x="1109"/>
        <item x="26"/>
        <item x="309"/>
        <item x="291"/>
        <item x="636"/>
        <item x="845"/>
        <item x="56"/>
        <item x="136"/>
        <item x="532"/>
        <item x="119"/>
        <item x="901"/>
        <item x="1014"/>
        <item x="29"/>
        <item x="773"/>
        <item x="780"/>
        <item x="724"/>
        <item x="520"/>
        <item x="1105"/>
        <item x="982"/>
        <item x="685"/>
        <item x="137"/>
        <item x="501"/>
        <item x="52"/>
        <item x="966"/>
        <item x="91"/>
        <item x="49"/>
        <item x="281"/>
        <item x="923"/>
        <item x="736"/>
        <item x="858"/>
        <item x="196"/>
        <item x="693"/>
        <item x="28"/>
        <item x="676"/>
        <item x="1007"/>
        <item x="600"/>
        <item x="1046"/>
        <item x="201"/>
        <item x="1042"/>
        <item x="531"/>
        <item x="816"/>
        <item x="1115"/>
        <item x="167"/>
        <item x="173"/>
        <item x="106"/>
        <item x="158"/>
        <item x="500"/>
        <item x="934"/>
        <item x="483"/>
        <item x="1071"/>
        <item x="214"/>
        <item x="698"/>
        <item x="419"/>
        <item x="708"/>
        <item x="798"/>
        <item x="922"/>
        <item x="314"/>
        <item x="165"/>
        <item x="71"/>
        <item x="1021"/>
        <item x="131"/>
        <item x="156"/>
        <item x="247"/>
        <item x="422"/>
        <item x="587"/>
        <item x="699"/>
        <item x="632"/>
        <item x="696"/>
        <item x="278"/>
        <item x="496"/>
        <item x="289"/>
        <item x="686"/>
        <item x="429"/>
        <item x="1041"/>
        <item x="540"/>
        <item x="161"/>
        <item x="1040"/>
        <item x="447"/>
        <item x="415"/>
        <item x="834"/>
        <item x="51"/>
        <item x="1011"/>
        <item x="397"/>
        <item x="200"/>
        <item x="1076"/>
        <item x="368"/>
        <item x="431"/>
        <item x="575"/>
        <item x="559"/>
        <item x="596"/>
        <item x="1097"/>
        <item x="583"/>
        <item x="178"/>
        <item x="813"/>
        <item x="1023"/>
        <item x="590"/>
        <item x="1070"/>
        <item x="743"/>
        <item x="704"/>
        <item x="599"/>
        <item x="601"/>
        <item x="757"/>
        <item x="476"/>
        <item x="182"/>
        <item x="655"/>
        <item x="1080"/>
        <item x="1116"/>
        <item x="786"/>
        <item x="872"/>
        <item x="236"/>
        <item x="384"/>
        <item x="865"/>
        <item x="374"/>
        <item x="979"/>
        <item x="99"/>
        <item x="139"/>
        <item x="728"/>
        <item x="989"/>
        <item x="598"/>
        <item x="1049"/>
        <item x="1066"/>
        <item x="653"/>
        <item x="939"/>
        <item x="1069"/>
        <item x="257"/>
        <item x="311"/>
        <item x="27"/>
        <item x="847"/>
        <item x="1063"/>
        <item x="53"/>
        <item x="544"/>
        <item x="492"/>
        <item x="152"/>
        <item x="915"/>
        <item x="463"/>
        <item x="303"/>
        <item x="512"/>
        <item x="320"/>
        <item x="332"/>
        <item x="453"/>
        <item x="215"/>
        <item x="64"/>
        <item x="141"/>
        <item x="413"/>
        <item x="936"/>
        <item x="730"/>
        <item x="93"/>
        <item x="985"/>
        <item x="555"/>
        <item x="127"/>
        <item x="433"/>
        <item x="765"/>
        <item x="271"/>
        <item x="401"/>
        <item x="579"/>
        <item x="1009"/>
        <item x="959"/>
        <item x="612"/>
        <item x="1059"/>
        <item x="13"/>
        <item x="707"/>
        <item x="445"/>
        <item x="1037"/>
        <item x="576"/>
        <item x="750"/>
        <item x="990"/>
        <item x="528"/>
        <item x="863"/>
        <item x="748"/>
        <item x="963"/>
        <item x="1033"/>
        <item x="543"/>
        <item x="1100"/>
        <item x="731"/>
        <item x="101"/>
        <item x="717"/>
        <item x="1020"/>
        <item x="973"/>
        <item x="747"/>
        <item x="854"/>
        <item x="457"/>
        <item x="697"/>
        <item x="290"/>
        <item x="8"/>
        <item x="73"/>
        <item x="615"/>
        <item x="610"/>
        <item x="262"/>
        <item x="343"/>
        <item x="44"/>
        <item x="560"/>
        <item x="574"/>
        <item x="361"/>
        <item x="144"/>
        <item x="1"/>
        <item x="561"/>
        <item x="339"/>
        <item x="526"/>
        <item x="1090"/>
        <item x="1008"/>
        <item x="790"/>
        <item x="1106"/>
        <item x="843"/>
        <item x="511"/>
        <item x="822"/>
        <item x="324"/>
        <item x="779"/>
        <item x="126"/>
        <item x="947"/>
        <item x="76"/>
        <item x="795"/>
        <item x="1002"/>
        <item x="92"/>
        <item x="768"/>
        <item x="658"/>
        <item x="1108"/>
        <item x="135"/>
        <item x="896"/>
        <item x="980"/>
        <item x="340"/>
        <item x="410"/>
        <item x="681"/>
        <item x="874"/>
        <item x="37"/>
        <item x="769"/>
        <item x="581"/>
        <item x="764"/>
        <item x="379"/>
        <item x="709"/>
        <item x="353"/>
        <item x="1099"/>
        <item x="522"/>
        <item x="1095"/>
        <item x="983"/>
        <item x="177"/>
        <item x="1088"/>
        <item x="1065"/>
        <item x="79"/>
        <item x="228"/>
        <item x="799"/>
        <item x="857"/>
        <item x="571"/>
        <item x="633"/>
        <item x="635"/>
        <item x="1086"/>
        <item x="1024"/>
        <item x="157"/>
        <item x="1039"/>
        <item x="168"/>
        <item x="624"/>
        <item x="495"/>
        <item x="110"/>
        <item x="841"/>
        <item x="563"/>
        <item x="918"/>
        <item x="1110"/>
        <item x="360"/>
        <item x="440"/>
        <item x="551"/>
        <item x="725"/>
        <item x="363"/>
        <item x="472"/>
        <item x="593"/>
        <item x="460"/>
        <item x="1075"/>
        <item x="411"/>
        <item x="279"/>
        <item x="195"/>
        <item x="402"/>
        <item x="449"/>
        <item x="751"/>
        <item x="1035"/>
        <item x="34"/>
        <item x="199"/>
        <item x="553"/>
        <item x="631"/>
        <item x="3"/>
        <item x="727"/>
        <item x="881"/>
        <item x="1082"/>
        <item x="315"/>
        <item x="111"/>
        <item x="104"/>
        <item x="155"/>
        <item x="508"/>
        <item x="1074"/>
        <item x="231"/>
        <item x="784"/>
        <item x="1118"/>
        <item x="345"/>
        <item x="357"/>
        <item x="16"/>
        <item x="1107"/>
        <item x="70"/>
        <item x="491"/>
        <item x="322"/>
        <item x="10"/>
        <item x="1016"/>
        <item x="1117"/>
        <item x="758"/>
        <item x="437"/>
        <item x="626"/>
        <item x="170"/>
        <item x="720"/>
        <item x="450"/>
        <item x="962"/>
        <item x="701"/>
        <item x="642"/>
        <item x="134"/>
        <item x="1050"/>
        <item x="72"/>
        <item x="218"/>
        <item x="258"/>
        <item x="61"/>
        <item x="223"/>
        <item x="330"/>
        <item x="660"/>
        <item x="1003"/>
        <item x="772"/>
        <item x="273"/>
        <item x="1013"/>
        <item x="945"/>
        <item x="1060"/>
        <item x="597"/>
        <item x="729"/>
        <item x="771"/>
        <item x="753"/>
        <item x="657"/>
        <item x="961"/>
        <item x="829"/>
        <item x="651"/>
        <item x="288"/>
        <item x="604"/>
        <item x="132"/>
        <item x="876"/>
        <item x="297"/>
        <item x="671"/>
        <item x="159"/>
        <item x="351"/>
        <item x="1062"/>
        <item x="692"/>
        <item x="226"/>
        <item x="861"/>
        <item x="663"/>
        <item x="1054"/>
        <item x="890"/>
        <item x="232"/>
        <item x="407"/>
        <item x="588"/>
        <item x="462"/>
        <item x="586"/>
        <item x="958"/>
        <item x="933"/>
        <item x="233"/>
        <item x="356"/>
        <item x="817"/>
        <item x="1089"/>
        <item x="1077"/>
        <item x="475"/>
        <item x="85"/>
        <item x="806"/>
        <item x="837"/>
        <item x="833"/>
        <item x="382"/>
        <item x="582"/>
        <item x="846"/>
        <item x="937"/>
        <item x="323"/>
        <item x="370"/>
        <item x="1087"/>
        <item x="557"/>
        <item x="427"/>
        <item x="1092"/>
        <item x="678"/>
        <item x="623"/>
        <item x="873"/>
        <item x="611"/>
        <item x="254"/>
        <item x="424"/>
        <item x="479"/>
        <item x="1053"/>
        <item x="432"/>
        <item x="241"/>
        <item x="988"/>
        <item x="534"/>
        <item x="584"/>
        <item x="327"/>
        <item x="878"/>
        <item x="589"/>
        <item x="999"/>
        <item x="960"/>
        <item x="706"/>
        <item x="381"/>
        <item x="976"/>
        <item x="535"/>
        <item x="90"/>
        <item x="331"/>
        <item x="971"/>
        <item x="910"/>
        <item x="670"/>
        <item x="763"/>
        <item x="1114"/>
        <item x="897"/>
        <item x="911"/>
        <item x="423"/>
        <item x="498"/>
        <item x="469"/>
        <item x="188"/>
        <item x="776"/>
        <item x="891"/>
        <item x="556"/>
        <item x="263"/>
        <item x="118"/>
        <item x="117"/>
        <item x="621"/>
        <item x="482"/>
        <item x="938"/>
        <item x="62"/>
        <item x="877"/>
        <item x="1051"/>
        <item x="902"/>
        <item x="102"/>
        <item x="124"/>
        <item x="160"/>
        <item x="620"/>
        <item x="972"/>
        <item x="239"/>
        <item x="426"/>
        <item x="616"/>
        <item x="1044"/>
        <item x="649"/>
        <item x="270"/>
        <item x="800"/>
        <item x="342"/>
        <item x="536"/>
        <item x="715"/>
        <item x="313"/>
        <item x="412"/>
        <item x="1081"/>
        <item x="458"/>
        <item x="30"/>
        <item x="739"/>
        <item x="558"/>
        <item x="836"/>
        <item x="977"/>
        <item x="867"/>
        <item x="489"/>
        <item x="602"/>
        <item x="406"/>
        <item x="675"/>
        <item x="302"/>
        <item x="826"/>
        <item x="1093"/>
        <item x="998"/>
        <item x="992"/>
        <item x="849"/>
        <item x="603"/>
        <item x="882"/>
        <item x="789"/>
        <item x="691"/>
        <item x="420"/>
        <item x="1091"/>
        <item x="467"/>
        <item x="179"/>
        <item x="465"/>
        <item x="352"/>
        <item x="818"/>
        <item x="1029"/>
        <item x="176"/>
        <item x="390"/>
        <item x="230"/>
        <item x="434"/>
        <item x="883"/>
        <item x="194"/>
        <item x="993"/>
        <item x="909"/>
        <item x="809"/>
        <item x="652"/>
        <item x="515"/>
        <item x="50"/>
        <item x="856"/>
        <item x="87"/>
        <item x="705"/>
        <item x="33"/>
        <item x="537"/>
        <item x="744"/>
        <item x="815"/>
        <item x="251"/>
        <item x="116"/>
        <item x="734"/>
        <item x="398"/>
        <item x="964"/>
        <item x="930"/>
        <item x="932"/>
        <item x="702"/>
        <item x="924"/>
        <item x="1032"/>
        <item x="585"/>
        <item x="15"/>
        <item x="40"/>
        <item x="951"/>
        <item x="494"/>
        <item x="212"/>
        <item x="760"/>
        <item x="929"/>
        <item x="38"/>
        <item x="459"/>
        <item x="224"/>
        <item x="740"/>
        <item x="824"/>
        <item x="618"/>
        <item x="914"/>
        <item x="659"/>
        <item x="365"/>
        <item x="518"/>
        <item x="1083"/>
        <item x="527"/>
        <item x="227"/>
        <item x="31"/>
        <item x="807"/>
        <item x="507"/>
        <item x="129"/>
        <item x="628"/>
        <item x="859"/>
        <item x="246"/>
        <item x="595"/>
        <item x="4"/>
        <item x="336"/>
        <item x="335"/>
        <item x="145"/>
        <item x="1001"/>
        <item x="644"/>
        <item x="375"/>
        <item x="886"/>
        <item x="243"/>
        <item x="1079"/>
        <item x="294"/>
        <item x="67"/>
        <item x="862"/>
        <item x="785"/>
        <item x="267"/>
        <item x="480"/>
        <item x="18"/>
        <item x="888"/>
        <item x="1030"/>
        <item x="471"/>
        <item x="399"/>
        <item x="885"/>
        <item x="293"/>
        <item x="904"/>
        <item x="852"/>
        <item x="149"/>
        <item x="546"/>
        <item x="648"/>
        <item x="380"/>
        <item x="275"/>
        <item x="577"/>
        <item x="383"/>
        <item x="788"/>
        <item x="622"/>
        <item x="47"/>
        <item x="548"/>
        <item x="94"/>
        <item x="1045"/>
        <item x="362"/>
        <item x="242"/>
        <item x="842"/>
        <item x="545"/>
        <item x="654"/>
        <item x="446"/>
        <item x="578"/>
        <item x="629"/>
        <item x="318"/>
        <item x="630"/>
        <item x="396"/>
        <item x="738"/>
        <item x="783"/>
        <item x="147"/>
        <item x="260"/>
        <item x="391"/>
        <item x="639"/>
        <item x="485"/>
        <item x="310"/>
        <item x="307"/>
        <item x="542"/>
        <item x="474"/>
        <item x="1102"/>
        <item x="189"/>
        <item x="1056"/>
        <item x="301"/>
        <item x="716"/>
        <item x="695"/>
        <item x="792"/>
        <item x="1064"/>
        <item x="473"/>
        <item x="714"/>
        <item t="default"/>
      </items>
    </pivotField>
    <pivotField showAll="0">
      <items count="4">
        <item x="1"/>
        <item h="1" x="0"/>
        <item h="1" x="2"/>
        <item t="default"/>
      </items>
    </pivotField>
    <pivotField showAll="0">
      <items count="5">
        <item h="1" x="0"/>
        <item h="1" x="2"/>
        <item h="1" x="1"/>
        <item x="3"/>
        <item t="default"/>
      </items>
    </pivotField>
    <pivotField showAll="0">
      <items count="4">
        <item x="1"/>
        <item h="1" x="2"/>
        <item x="0"/>
        <item t="default"/>
      </items>
    </pivotField>
    <pivotField showAll="0"/>
    <pivotField showAll="0"/>
    <pivotField showAll="0"/>
    <pivotField showAll="0">
      <items count="21">
        <item x="5"/>
        <item x="7"/>
        <item x="6"/>
        <item x="10"/>
        <item x="14"/>
        <item x="8"/>
        <item x="15"/>
        <item x="9"/>
        <item x="17"/>
        <item x="16"/>
        <item x="18"/>
        <item x="1"/>
        <item x="4"/>
        <item x="2"/>
        <item x="3"/>
        <item x="12"/>
        <item x="11"/>
        <item x="13"/>
        <item x="19"/>
        <item x="0"/>
        <item t="default"/>
      </items>
    </pivotField>
    <pivotField showAll="0">
      <items count="15">
        <item x="7"/>
        <item x="9"/>
        <item x="10"/>
        <item x="0"/>
        <item x="13"/>
        <item x="5"/>
        <item x="4"/>
        <item x="2"/>
        <item h="1" x="8"/>
        <item h="1" x="12"/>
        <item h="1" x="6"/>
        <item h="1" x="11"/>
        <item x="3"/>
        <item h="1" x="1"/>
        <item t="default"/>
      </items>
    </pivotField>
    <pivotField showAll="0"/>
    <pivotField axis="axisRow" showAll="0">
      <items count="6">
        <item x="1"/>
        <item x="3"/>
        <item x="0"/>
        <item x="2"/>
        <item h="1" x="4"/>
        <item t="default"/>
      </items>
    </pivotField>
    <pivotField showAll="0">
      <items count="13">
        <item h="1" x="0"/>
        <item x="5"/>
        <item x="6"/>
        <item h="1" x="1"/>
        <item h="1" x="3"/>
        <item h="1" x="7"/>
        <item x="4"/>
        <item h="1" x="9"/>
        <item x="2"/>
        <item h="1" x="8"/>
        <item x="10"/>
        <item x="11"/>
        <item t="default"/>
      </items>
    </pivotField>
    <pivotField showAll="0"/>
  </pivotFields>
  <rowFields count="1">
    <field x="19"/>
  </rowFields>
  <rowItems count="5">
    <i>
      <x/>
    </i>
    <i>
      <x v="1"/>
    </i>
    <i>
      <x v="2"/>
    </i>
    <i>
      <x v="3"/>
    </i>
    <i t="grand">
      <x/>
    </i>
  </rowItems>
  <colFields count="1">
    <field x="-2"/>
  </colFields>
  <colItems count="2">
    <i>
      <x/>
    </i>
    <i i="1">
      <x v="1"/>
    </i>
  </colItems>
  <dataFields count="2">
    <dataField name="Sum of Total Sale" fld="6" baseField="0" baseItem="0"/>
    <dataField name="Sum of Profit/Loss" fld="9" baseField="0" baseItem="0"/>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A01EB6-CC75-417E-9D9D-F05646AAAD5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I10" firstHeaderRow="0" firstDataRow="1" firstDataCol="1"/>
  <pivotFields count="22">
    <pivotField numFmtId="14" showAll="0"/>
    <pivotField showAll="0">
      <items count="7">
        <item x="1"/>
        <item h="1" x="2"/>
        <item h="1" x="4"/>
        <item h="1" x="3"/>
        <item h="1" x="0"/>
        <item h="1" x="5"/>
        <item t="default"/>
      </items>
    </pivotField>
    <pivotField showAll="0"/>
    <pivotField showAll="0"/>
    <pivotField dataField="1" showAll="0">
      <items count="486">
        <item x="451"/>
        <item x="273"/>
        <item x="442"/>
        <item x="79"/>
        <item x="378"/>
        <item x="293"/>
        <item x="474"/>
        <item x="152"/>
        <item x="475"/>
        <item x="141"/>
        <item x="45"/>
        <item x="253"/>
        <item x="121"/>
        <item x="371"/>
        <item x="188"/>
        <item x="165"/>
        <item x="422"/>
        <item x="424"/>
        <item x="332"/>
        <item x="433"/>
        <item x="286"/>
        <item x="220"/>
        <item x="484"/>
        <item x="106"/>
        <item x="356"/>
        <item x="75"/>
        <item x="112"/>
        <item x="176"/>
        <item x="414"/>
        <item x="179"/>
        <item x="189"/>
        <item x="214"/>
        <item x="355"/>
        <item x="185"/>
        <item x="456"/>
        <item x="462"/>
        <item x="323"/>
        <item x="67"/>
        <item x="464"/>
        <item x="321"/>
        <item x="136"/>
        <item x="282"/>
        <item x="65"/>
        <item x="238"/>
        <item x="230"/>
        <item x="3"/>
        <item x="476"/>
        <item x="103"/>
        <item x="47"/>
        <item x="407"/>
        <item x="84"/>
        <item x="337"/>
        <item x="264"/>
        <item x="71"/>
        <item x="60"/>
        <item x="406"/>
        <item x="334"/>
        <item x="252"/>
        <item x="22"/>
        <item x="413"/>
        <item x="41"/>
        <item x="299"/>
        <item x="331"/>
        <item x="172"/>
        <item x="365"/>
        <item x="236"/>
        <item x="395"/>
        <item x="166"/>
        <item x="268"/>
        <item x="221"/>
        <item x="120"/>
        <item x="137"/>
        <item x="272"/>
        <item x="317"/>
        <item x="211"/>
        <item x="19"/>
        <item x="127"/>
        <item x="461"/>
        <item x="418"/>
        <item x="73"/>
        <item x="42"/>
        <item x="399"/>
        <item x="193"/>
        <item x="298"/>
        <item x="168"/>
        <item x="376"/>
        <item x="244"/>
        <item x="303"/>
        <item x="394"/>
        <item x="278"/>
        <item x="419"/>
        <item x="20"/>
        <item x="257"/>
        <item x="107"/>
        <item x="192"/>
        <item x="367"/>
        <item x="89"/>
        <item x="470"/>
        <item x="276"/>
        <item x="361"/>
        <item x="226"/>
        <item x="291"/>
        <item x="313"/>
        <item x="124"/>
        <item x="285"/>
        <item x="412"/>
        <item x="143"/>
        <item x="384"/>
        <item x="274"/>
        <item x="190"/>
        <item x="198"/>
        <item x="315"/>
        <item x="344"/>
        <item x="237"/>
        <item x="477"/>
        <item x="301"/>
        <item x="169"/>
        <item x="36"/>
        <item x="440"/>
        <item x="184"/>
        <item x="287"/>
        <item x="373"/>
        <item x="289"/>
        <item x="35"/>
        <item x="392"/>
        <item x="229"/>
        <item x="425"/>
        <item x="116"/>
        <item x="284"/>
        <item x="115"/>
        <item x="64"/>
        <item x="338"/>
        <item x="213"/>
        <item x="377"/>
        <item x="62"/>
        <item x="98"/>
        <item x="135"/>
        <item x="180"/>
        <item x="471"/>
        <item x="467"/>
        <item x="466"/>
        <item x="101"/>
        <item x="53"/>
        <item x="435"/>
        <item x="122"/>
        <item x="382"/>
        <item x="58"/>
        <item x="6"/>
        <item x="149"/>
        <item x="310"/>
        <item x="197"/>
        <item x="88"/>
        <item x="347"/>
        <item x="186"/>
        <item x="151"/>
        <item x="398"/>
        <item x="12"/>
        <item x="249"/>
        <item x="387"/>
        <item x="54"/>
        <item x="294"/>
        <item x="216"/>
        <item x="82"/>
        <item x="7"/>
        <item x="437"/>
        <item x="231"/>
        <item x="449"/>
        <item x="410"/>
        <item x="280"/>
        <item x="345"/>
        <item x="222"/>
        <item x="8"/>
        <item x="72"/>
        <item x="263"/>
        <item x="201"/>
        <item x="261"/>
        <item x="80"/>
        <item x="482"/>
        <item x="157"/>
        <item x="30"/>
        <item x="358"/>
        <item x="266"/>
        <item x="85"/>
        <item x="139"/>
        <item x="1"/>
        <item x="183"/>
        <item x="208"/>
        <item x="363"/>
        <item x="145"/>
        <item x="2"/>
        <item x="5"/>
        <item x="326"/>
        <item x="256"/>
        <item x="196"/>
        <item x="381"/>
        <item x="341"/>
        <item x="357"/>
        <item x="0"/>
        <item x="279"/>
        <item x="453"/>
        <item x="325"/>
        <item x="270"/>
        <item x="441"/>
        <item x="125"/>
        <item x="312"/>
        <item x="460"/>
        <item x="322"/>
        <item x="447"/>
        <item x="242"/>
        <item x="91"/>
        <item x="219"/>
        <item x="156"/>
        <item x="450"/>
        <item x="333"/>
        <item x="459"/>
        <item x="465"/>
        <item x="21"/>
        <item x="97"/>
        <item x="95"/>
        <item x="104"/>
        <item x="281"/>
        <item x="454"/>
        <item x="320"/>
        <item x="16"/>
        <item x="160"/>
        <item x="359"/>
        <item x="159"/>
        <item x="134"/>
        <item x="55"/>
        <item x="206"/>
        <item x="411"/>
        <item x="318"/>
        <item x="375"/>
        <item x="173"/>
        <item x="37"/>
        <item x="383"/>
        <item x="390"/>
        <item x="288"/>
        <item x="111"/>
        <item x="182"/>
        <item x="167"/>
        <item x="205"/>
        <item x="94"/>
        <item x="245"/>
        <item x="119"/>
        <item x="49"/>
        <item x="339"/>
        <item x="426"/>
        <item x="86"/>
        <item x="243"/>
        <item x="319"/>
        <item x="33"/>
        <item x="417"/>
        <item x="118"/>
        <item x="368"/>
        <item x="161"/>
        <item x="483"/>
        <item x="68"/>
        <item x="81"/>
        <item x="77"/>
        <item x="204"/>
        <item x="241"/>
        <item x="481"/>
        <item x="218"/>
        <item x="349"/>
        <item x="362"/>
        <item x="439"/>
        <item x="314"/>
        <item x="114"/>
        <item x="354"/>
        <item x="306"/>
        <item x="370"/>
        <item x="457"/>
        <item x="401"/>
        <item x="472"/>
        <item x="258"/>
        <item x="148"/>
        <item x="385"/>
        <item x="155"/>
        <item x="351"/>
        <item x="352"/>
        <item x="96"/>
        <item x="29"/>
        <item x="448"/>
        <item x="479"/>
        <item x="468"/>
        <item x="473"/>
        <item x="108"/>
        <item x="14"/>
        <item x="429"/>
        <item x="40"/>
        <item x="297"/>
        <item x="48"/>
        <item x="408"/>
        <item x="343"/>
        <item x="28"/>
        <item x="23"/>
        <item x="163"/>
        <item x="76"/>
        <item x="415"/>
        <item x="308"/>
        <item x="458"/>
        <item x="38"/>
        <item x="105"/>
        <item x="346"/>
        <item x="200"/>
        <item x="187"/>
        <item x="311"/>
        <item x="432"/>
        <item x="181"/>
        <item x="153"/>
        <item x="330"/>
        <item x="24"/>
        <item x="400"/>
        <item x="350"/>
        <item x="113"/>
        <item x="309"/>
        <item x="130"/>
        <item x="32"/>
        <item x="174"/>
        <item x="150"/>
        <item x="324"/>
        <item x="364"/>
        <item x="203"/>
        <item x="34"/>
        <item x="177"/>
        <item x="31"/>
        <item x="50"/>
        <item x="404"/>
        <item x="305"/>
        <item x="353"/>
        <item x="178"/>
        <item x="74"/>
        <item x="128"/>
        <item x="396"/>
        <item x="403"/>
        <item x="110"/>
        <item x="171"/>
        <item x="307"/>
        <item x="386"/>
        <item x="379"/>
        <item x="109"/>
        <item x="146"/>
        <item x="4"/>
        <item x="316"/>
        <item x="18"/>
        <item x="162"/>
        <item x="254"/>
        <item x="271"/>
        <item x="283"/>
        <item x="140"/>
        <item x="423"/>
        <item x="436"/>
        <item x="15"/>
        <item x="210"/>
        <item x="296"/>
        <item x="69"/>
        <item x="342"/>
        <item x="99"/>
        <item x="9"/>
        <item x="164"/>
        <item x="102"/>
        <item x="78"/>
        <item x="443"/>
        <item x="431"/>
        <item x="212"/>
        <item x="13"/>
        <item x="250"/>
        <item x="66"/>
        <item x="444"/>
        <item x="295"/>
        <item x="59"/>
        <item x="290"/>
        <item x="11"/>
        <item x="131"/>
        <item x="328"/>
        <item x="348"/>
        <item x="427"/>
        <item x="194"/>
        <item x="235"/>
        <item x="227"/>
        <item x="224"/>
        <item x="61"/>
        <item x="17"/>
        <item x="199"/>
        <item x="275"/>
        <item x="409"/>
        <item x="223"/>
        <item x="240"/>
        <item x="26"/>
        <item x="455"/>
        <item x="209"/>
        <item x="27"/>
        <item x="234"/>
        <item x="260"/>
        <item x="195"/>
        <item x="239"/>
        <item x="144"/>
        <item x="142"/>
        <item x="374"/>
        <item x="380"/>
        <item x="233"/>
        <item x="43"/>
        <item x="267"/>
        <item x="388"/>
        <item x="277"/>
        <item x="446"/>
        <item x="445"/>
        <item x="327"/>
        <item x="191"/>
        <item x="251"/>
        <item x="46"/>
        <item x="63"/>
        <item x="93"/>
        <item x="123"/>
        <item x="25"/>
        <item x="92"/>
        <item x="248"/>
        <item x="57"/>
        <item x="372"/>
        <item x="126"/>
        <item x="56"/>
        <item x="132"/>
        <item x="232"/>
        <item x="117"/>
        <item x="217"/>
        <item x="389"/>
        <item x="39"/>
        <item x="438"/>
        <item x="202"/>
        <item x="265"/>
        <item x="360"/>
        <item x="304"/>
        <item x="480"/>
        <item x="430"/>
        <item x="463"/>
        <item x="416"/>
        <item x="133"/>
        <item x="207"/>
        <item x="52"/>
        <item x="393"/>
        <item x="90"/>
        <item x="225"/>
        <item x="246"/>
        <item x="300"/>
        <item x="434"/>
        <item x="175"/>
        <item x="420"/>
        <item x="340"/>
        <item x="478"/>
        <item x="397"/>
        <item x="259"/>
        <item x="83"/>
        <item x="452"/>
        <item x="428"/>
        <item x="366"/>
        <item x="51"/>
        <item x="302"/>
        <item x="154"/>
        <item x="158"/>
        <item x="100"/>
        <item x="336"/>
        <item x="391"/>
        <item x="170"/>
        <item x="405"/>
        <item x="421"/>
        <item x="292"/>
        <item x="269"/>
        <item x="329"/>
        <item x="262"/>
        <item x="255"/>
        <item x="70"/>
        <item x="129"/>
        <item x="147"/>
        <item x="215"/>
        <item x="138"/>
        <item x="469"/>
        <item x="10"/>
        <item x="402"/>
        <item x="87"/>
        <item x="228"/>
        <item x="247"/>
        <item x="335"/>
        <item x="44"/>
        <item x="369"/>
        <item t="default"/>
      </items>
    </pivotField>
    <pivotField showAll="0"/>
    <pivotField showAll="0">
      <items count="1304">
        <item x="885"/>
        <item x="1112"/>
        <item x="778"/>
        <item x="1080"/>
        <item x="905"/>
        <item x="126"/>
        <item x="245"/>
        <item x="753"/>
        <item x="347"/>
        <item x="1177"/>
        <item x="822"/>
        <item x="1222"/>
        <item x="904"/>
        <item x="1217"/>
        <item x="260"/>
        <item x="482"/>
        <item x="1143"/>
        <item x="1076"/>
        <item x="805"/>
        <item x="202"/>
        <item x="46"/>
        <item x="429"/>
        <item x="83"/>
        <item x="314"/>
        <item x="843"/>
        <item x="1122"/>
        <item x="588"/>
        <item x="1063"/>
        <item x="1276"/>
        <item x="475"/>
        <item x="69"/>
        <item x="1134"/>
        <item x="716"/>
        <item x="1056"/>
        <item x="1109"/>
        <item x="275"/>
        <item x="169"/>
        <item x="574"/>
        <item x="491"/>
        <item x="217"/>
        <item x="384"/>
        <item x="1106"/>
        <item x="335"/>
        <item x="278"/>
        <item x="648"/>
        <item x="647"/>
        <item x="605"/>
        <item x="313"/>
        <item x="925"/>
        <item x="897"/>
        <item x="171"/>
        <item x="1023"/>
        <item x="409"/>
        <item x="1214"/>
        <item x="1040"/>
        <item x="1141"/>
        <item x="1278"/>
        <item x="719"/>
        <item x="188"/>
        <item x="1002"/>
        <item x="1144"/>
        <item x="815"/>
        <item x="780"/>
        <item x="990"/>
        <item x="20"/>
        <item x="117"/>
        <item x="1162"/>
        <item x="1292"/>
        <item x="79"/>
        <item x="469"/>
        <item x="731"/>
        <item x="513"/>
        <item x="1200"/>
        <item x="613"/>
        <item x="296"/>
        <item x="922"/>
        <item x="274"/>
        <item x="1264"/>
        <item x="1190"/>
        <item x="846"/>
        <item x="320"/>
        <item x="111"/>
        <item x="222"/>
        <item x="1153"/>
        <item x="1193"/>
        <item x="924"/>
        <item x="1295"/>
        <item x="692"/>
        <item x="548"/>
        <item x="1180"/>
        <item x="823"/>
        <item x="321"/>
        <item x="49"/>
        <item x="156"/>
        <item x="606"/>
        <item x="1273"/>
        <item x="194"/>
        <item x="723"/>
        <item x="783"/>
        <item x="683"/>
        <item x="206"/>
        <item x="416"/>
        <item x="970"/>
        <item x="37"/>
        <item x="212"/>
        <item x="576"/>
        <item x="36"/>
        <item x="1272"/>
        <item x="450"/>
        <item x="213"/>
        <item x="174"/>
        <item x="774"/>
        <item x="906"/>
        <item x="682"/>
        <item x="832"/>
        <item x="1293"/>
        <item x="271"/>
        <item x="1223"/>
        <item x="1016"/>
        <item x="757"/>
        <item x="1251"/>
        <item x="1036"/>
        <item x="1012"/>
        <item x="277"/>
        <item x="150"/>
        <item x="1239"/>
        <item x="851"/>
        <item x="626"/>
        <item x="537"/>
        <item x="468"/>
        <item x="711"/>
        <item x="642"/>
        <item x="496"/>
        <item x="144"/>
        <item x="676"/>
        <item x="1136"/>
        <item x="364"/>
        <item x="151"/>
        <item x="215"/>
        <item x="23"/>
        <item x="620"/>
        <item x="584"/>
        <item x="42"/>
        <item x="1075"/>
        <item x="1017"/>
        <item x="354"/>
        <item x="664"/>
        <item x="544"/>
        <item x="1171"/>
        <item x="888"/>
        <item x="634"/>
        <item x="129"/>
        <item x="943"/>
        <item x="912"/>
        <item x="223"/>
        <item x="373"/>
        <item x="1115"/>
        <item x="799"/>
        <item x="1160"/>
        <item x="425"/>
        <item x="88"/>
        <item x="337"/>
        <item x="395"/>
        <item x="125"/>
        <item x="803"/>
        <item x="963"/>
        <item x="853"/>
        <item x="146"/>
        <item x="737"/>
        <item x="344"/>
        <item x="158"/>
        <item x="167"/>
        <item x="323"/>
        <item x="480"/>
        <item x="1089"/>
        <item x="1049"/>
        <item x="567"/>
        <item x="1266"/>
        <item x="680"/>
        <item x="586"/>
        <item x="540"/>
        <item x="186"/>
        <item x="710"/>
        <item x="1026"/>
        <item x="744"/>
        <item x="1003"/>
        <item x="1126"/>
        <item x="76"/>
        <item x="1147"/>
        <item x="43"/>
        <item x="1280"/>
        <item x="1176"/>
        <item x="240"/>
        <item x="259"/>
        <item x="176"/>
        <item x="1170"/>
        <item x="442"/>
        <item x="958"/>
        <item x="455"/>
        <item x="916"/>
        <item x="377"/>
        <item x="804"/>
        <item x="386"/>
        <item x="1020"/>
        <item x="1078"/>
        <item x="602"/>
        <item x="228"/>
        <item x="745"/>
        <item x="720"/>
        <item x="47"/>
        <item x="908"/>
        <item x="718"/>
        <item x="385"/>
        <item x="858"/>
        <item x="189"/>
        <item x="389"/>
        <item x="637"/>
        <item x="339"/>
        <item x="235"/>
        <item x="793"/>
        <item x="791"/>
        <item x="684"/>
        <item x="1271"/>
        <item x="382"/>
        <item x="511"/>
        <item x="935"/>
        <item x="1195"/>
        <item x="214"/>
        <item x="295"/>
        <item x="461"/>
        <item x="110"/>
        <item x="703"/>
        <item x="714"/>
        <item x="686"/>
        <item x="1127"/>
        <item x="85"/>
        <item x="645"/>
        <item x="292"/>
        <item x="411"/>
        <item x="1237"/>
        <item x="871"/>
        <item x="707"/>
        <item x="443"/>
        <item x="133"/>
        <item x="854"/>
        <item x="352"/>
        <item x="541"/>
        <item x="933"/>
        <item x="979"/>
        <item x="1152"/>
        <item x="1074"/>
        <item x="959"/>
        <item x="348"/>
        <item x="856"/>
        <item x="566"/>
        <item x="353"/>
        <item x="839"/>
        <item x="413"/>
        <item x="1279"/>
        <item x="100"/>
        <item x="653"/>
        <item x="516"/>
        <item x="867"/>
        <item x="1015"/>
        <item x="845"/>
        <item x="1133"/>
        <item x="1010"/>
        <item x="1151"/>
        <item x="191"/>
        <item x="1155"/>
        <item x="689"/>
        <item x="580"/>
        <item x="1070"/>
        <item x="24"/>
        <item x="399"/>
        <item x="185"/>
        <item x="155"/>
        <item x="738"/>
        <item x="418"/>
        <item x="600"/>
        <item x="388"/>
        <item x="956"/>
        <item x="59"/>
        <item x="9"/>
        <item x="219"/>
        <item x="439"/>
        <item x="227"/>
        <item x="727"/>
        <item x="1226"/>
        <item x="252"/>
        <item x="1064"/>
        <item x="1163"/>
        <item x="879"/>
        <item x="257"/>
        <item x="33"/>
        <item x="1117"/>
        <item x="470"/>
        <item x="503"/>
        <item x="1158"/>
        <item x="999"/>
        <item x="1105"/>
        <item x="251"/>
        <item x="401"/>
        <item x="255"/>
        <item x="628"/>
        <item x="465"/>
        <item x="836"/>
        <item x="332"/>
        <item x="428"/>
        <item x="1142"/>
        <item x="1186"/>
        <item x="1119"/>
        <item x="484"/>
        <item x="1048"/>
        <item x="453"/>
        <item x="733"/>
        <item x="1061"/>
        <item x="825"/>
        <item x="598"/>
        <item x="263"/>
        <item x="130"/>
        <item x="910"/>
        <item x="1097"/>
        <item x="346"/>
        <item x="247"/>
        <item x="408"/>
        <item x="1249"/>
        <item x="410"/>
        <item x="812"/>
        <item x="84"/>
        <item x="1262"/>
        <item x="827"/>
        <item x="1284"/>
        <item x="73"/>
        <item x="800"/>
        <item x="982"/>
        <item x="14"/>
        <item x="830"/>
        <item x="865"/>
        <item x="1059"/>
        <item x="367"/>
        <item x="89"/>
        <item x="1009"/>
        <item x="12"/>
        <item x="196"/>
        <item x="92"/>
        <item x="926"/>
        <item x="1037"/>
        <item x="915"/>
        <item x="463"/>
        <item x="1182"/>
        <item x="713"/>
        <item x="1079"/>
        <item x="1146"/>
        <item x="1161"/>
        <item x="552"/>
        <item x="297"/>
        <item x="5"/>
        <item x="305"/>
        <item x="1242"/>
        <item x="365"/>
        <item x="244"/>
        <item x="372"/>
        <item x="112"/>
        <item x="226"/>
        <item x="55"/>
        <item x="441"/>
        <item x="931"/>
        <item x="996"/>
        <item x="899"/>
        <item x="390"/>
        <item x="67"/>
        <item x="86"/>
        <item x="625"/>
        <item x="957"/>
        <item x="866"/>
        <item x="392"/>
        <item x="946"/>
        <item x="393"/>
        <item x="309"/>
        <item x="1060"/>
        <item x="876"/>
        <item x="557"/>
        <item x="1091"/>
        <item x="715"/>
        <item x="1192"/>
        <item x="460"/>
        <item x="521"/>
        <item x="58"/>
        <item x="527"/>
        <item x="966"/>
        <item x="264"/>
        <item x="773"/>
        <item x="1210"/>
        <item x="256"/>
        <item x="1243"/>
        <item x="293"/>
        <item x="40"/>
        <item x="330"/>
        <item x="376"/>
        <item x="1129"/>
        <item x="831"/>
        <item x="795"/>
        <item x="884"/>
        <item x="66"/>
        <item x="419"/>
        <item x="1302"/>
        <item x="1294"/>
        <item x="177"/>
        <item x="919"/>
        <item x="22"/>
        <item x="299"/>
        <item x="651"/>
        <item x="1216"/>
        <item x="1062"/>
        <item x="261"/>
        <item x="646"/>
        <item x="1044"/>
        <item x="420"/>
        <item x="17"/>
        <item x="583"/>
        <item x="417"/>
        <item x="207"/>
        <item x="941"/>
        <item x="1145"/>
        <item x="242"/>
        <item x="1165"/>
        <item x="179"/>
        <item x="673"/>
        <item x="767"/>
        <item x="398"/>
        <item x="965"/>
        <item x="886"/>
        <item x="980"/>
        <item x="1103"/>
        <item x="726"/>
        <item x="829"/>
        <item x="507"/>
        <item x="736"/>
        <item x="64"/>
        <item x="578"/>
        <item x="147"/>
        <item x="1018"/>
        <item x="11"/>
        <item x="679"/>
        <item x="599"/>
        <item x="91"/>
        <item x="508"/>
        <item x="514"/>
        <item x="430"/>
        <item x="844"/>
        <item x="913"/>
        <item x="1257"/>
        <item x="742"/>
        <item x="761"/>
        <item x="190"/>
        <item x="357"/>
        <item x="6"/>
        <item x="98"/>
        <item x="477"/>
        <item x="61"/>
        <item x="518"/>
        <item x="779"/>
        <item x="1291"/>
        <item x="775"/>
        <item x="934"/>
        <item x="1028"/>
        <item x="1132"/>
        <item x="837"/>
        <item x="1252"/>
        <item x="168"/>
        <item x="472"/>
        <item x="1068"/>
        <item x="1043"/>
        <item x="70"/>
        <item x="893"/>
        <item x="1128"/>
        <item x="504"/>
        <item x="1228"/>
        <item x="291"/>
        <item x="241"/>
        <item x="101"/>
        <item x="360"/>
        <item x="1164"/>
        <item x="99"/>
        <item x="1077"/>
        <item x="849"/>
        <item x="434"/>
        <item x="7"/>
        <item x="1207"/>
        <item x="464"/>
        <item x="997"/>
        <item x="1014"/>
        <item x="569"/>
        <item x="955"/>
        <item x="1234"/>
        <item x="303"/>
        <item x="142"/>
        <item x="201"/>
        <item x="581"/>
        <item x="975"/>
        <item x="1007"/>
        <item x="533"/>
        <item x="493"/>
        <item x="534"/>
        <item x="932"/>
        <item x="467"/>
        <item x="880"/>
        <item x="197"/>
        <item x="807"/>
        <item x="231"/>
        <item x="558"/>
        <item x="887"/>
        <item x="209"/>
        <item x="294"/>
        <item x="286"/>
        <item x="515"/>
        <item x="1205"/>
        <item x="665"/>
        <item x="1288"/>
        <item x="890"/>
        <item x="1220"/>
        <item x="768"/>
        <item x="923"/>
        <item x="153"/>
        <item x="433"/>
        <item x="1236"/>
        <item x="210"/>
        <item x="766"/>
        <item x="743"/>
        <item x="553"/>
        <item x="123"/>
        <item x="216"/>
        <item x="643"/>
        <item x="2"/>
        <item x="1231"/>
        <item x="208"/>
        <item x="1029"/>
        <item x="273"/>
        <item x="607"/>
        <item x="445"/>
        <item x="118"/>
        <item x="725"/>
        <item x="137"/>
        <item x="954"/>
        <item x="531"/>
        <item x="1169"/>
        <item x="0"/>
        <item x="988"/>
        <item x="1004"/>
        <item x="1098"/>
        <item x="368"/>
        <item x="900"/>
        <item x="1269"/>
        <item x="724"/>
        <item x="285"/>
        <item x="983"/>
        <item x="658"/>
        <item x="1219"/>
        <item x="593"/>
        <item x="77"/>
        <item x="115"/>
        <item x="1104"/>
        <item x="195"/>
        <item x="1005"/>
        <item x="695"/>
        <item x="873"/>
        <item x="874"/>
        <item x="1051"/>
        <item x="19"/>
        <item x="211"/>
        <item x="315"/>
        <item x="789"/>
        <item x="343"/>
        <item x="656"/>
        <item x="1000"/>
        <item x="1071"/>
        <item x="734"/>
        <item x="1212"/>
        <item x="319"/>
        <item x="412"/>
        <item x="951"/>
        <item x="108"/>
        <item x="135"/>
        <item x="561"/>
        <item x="917"/>
        <item x="103"/>
        <item x="80"/>
        <item x="366"/>
        <item x="702"/>
        <item x="106"/>
        <item x="82"/>
        <item x="994"/>
        <item x="961"/>
        <item x="1232"/>
        <item x="939"/>
        <item x="546"/>
        <item x="749"/>
        <item x="1179"/>
        <item x="756"/>
        <item x="603"/>
        <item x="1137"/>
        <item x="56"/>
        <item x="60"/>
        <item x="796"/>
        <item x="310"/>
        <item x="1094"/>
        <item x="25"/>
        <item x="691"/>
        <item x="532"/>
        <item x="1045"/>
        <item x="283"/>
        <item x="859"/>
        <item x="269"/>
        <item x="601"/>
        <item x="1183"/>
        <item x="976"/>
        <item x="1282"/>
        <item x="116"/>
        <item x="542"/>
        <item x="550"/>
        <item x="717"/>
        <item x="1201"/>
        <item x="1057"/>
        <item x="1033"/>
        <item x="21"/>
        <item x="861"/>
        <item x="1011"/>
        <item x="821"/>
        <item x="124"/>
        <item x="1245"/>
        <item x="289"/>
        <item x="1238"/>
        <item x="180"/>
        <item x="765"/>
        <item x="1092"/>
        <item x="840"/>
        <item x="281"/>
        <item x="806"/>
        <item x="1140"/>
        <item x="1041"/>
        <item x="690"/>
        <item x="1066"/>
        <item x="394"/>
        <item x="1298"/>
        <item x="1069"/>
        <item x="597"/>
        <item x="333"/>
        <item x="159"/>
        <item x="1290"/>
        <item x="311"/>
        <item x="304"/>
        <item x="1030"/>
        <item x="790"/>
        <item x="1123"/>
        <item x="302"/>
        <item x="525"/>
        <item x="267"/>
        <item x="678"/>
        <item x="1299"/>
        <item x="936"/>
        <item x="1095"/>
        <item x="57"/>
        <item x="1244"/>
        <item x="894"/>
        <item x="1189"/>
        <item x="850"/>
        <item x="741"/>
        <item x="551"/>
        <item x="986"/>
        <item x="1087"/>
        <item x="781"/>
        <item x="1008"/>
        <item x="801"/>
        <item x="1035"/>
        <item x="992"/>
        <item x="810"/>
        <item x="400"/>
        <item x="672"/>
        <item x="1084"/>
        <item x="141"/>
        <item x="53"/>
        <item x="1093"/>
        <item x="94"/>
        <item x="870"/>
        <item x="1046"/>
        <item x="1175"/>
        <item x="1032"/>
        <item x="1287"/>
        <item x="892"/>
        <item x="794"/>
        <item x="324"/>
        <item x="949"/>
        <item x="1096"/>
        <item x="776"/>
        <item x="1148"/>
        <item x="1072"/>
        <item x="896"/>
        <item x="205"/>
        <item x="483"/>
        <item x="530"/>
        <item x="559"/>
        <item x="811"/>
        <item x="30"/>
        <item x="479"/>
        <item x="1187"/>
        <item x="306"/>
        <item x="178"/>
        <item x="163"/>
        <item x="1099"/>
        <item x="220"/>
        <item x="751"/>
        <item x="995"/>
        <item x="944"/>
        <item x="987"/>
        <item x="1181"/>
        <item x="818"/>
        <item x="881"/>
        <item x="826"/>
        <item x="72"/>
        <item x="1116"/>
        <item x="50"/>
        <item x="28"/>
        <item x="254"/>
        <item x="327"/>
        <item x="1213"/>
        <item x="621"/>
        <item x="225"/>
        <item x="674"/>
        <item x="29"/>
        <item x="1268"/>
        <item x="287"/>
        <item x="1204"/>
        <item x="454"/>
        <item x="595"/>
        <item x="44"/>
        <item x="1197"/>
        <item x="877"/>
        <item x="109"/>
        <item x="528"/>
        <item x="644"/>
        <item x="510"/>
        <item x="1265"/>
        <item x="1173"/>
        <item x="444"/>
        <item x="964"/>
        <item x="128"/>
        <item x="1031"/>
        <item x="26"/>
        <item x="170"/>
        <item x="1168"/>
        <item x="1167"/>
        <item x="334"/>
        <item x="728"/>
        <item x="140"/>
        <item x="752"/>
        <item x="560"/>
        <item x="122"/>
        <item x="524"/>
        <item x="1157"/>
        <item x="740"/>
        <item x="1198"/>
        <item x="857"/>
        <item x="166"/>
        <item x="547"/>
        <item x="1281"/>
        <item x="474"/>
        <item x="616"/>
        <item x="440"/>
        <item x="739"/>
        <item x="1172"/>
        <item x="529"/>
        <item x="52"/>
        <item x="1261"/>
        <item x="1154"/>
        <item x="422"/>
        <item x="290"/>
        <item x="635"/>
        <item x="204"/>
        <item x="200"/>
        <item x="748"/>
        <item x="730"/>
        <item x="636"/>
        <item x="971"/>
        <item x="456"/>
        <item x="1199"/>
        <item x="667"/>
        <item x="609"/>
        <item x="1297"/>
        <item x="592"/>
        <item x="172"/>
        <item x="631"/>
        <item x="1058"/>
        <item x="967"/>
        <item x="1270"/>
        <item x="1050"/>
        <item x="1235"/>
        <item x="183"/>
        <item x="898"/>
        <item x="763"/>
        <item x="960"/>
        <item x="329"/>
        <item x="624"/>
        <item x="102"/>
        <item x="570"/>
        <item x="161"/>
        <item x="758"/>
        <item x="143"/>
        <item x="447"/>
        <item x="638"/>
        <item x="633"/>
        <item x="502"/>
        <item x="300"/>
        <item x="929"/>
        <item x="706"/>
        <item x="568"/>
        <item x="187"/>
        <item x="701"/>
        <item x="1247"/>
        <item x="864"/>
        <item x="54"/>
        <item x="243"/>
        <item x="407"/>
        <item x="396"/>
        <item x="1110"/>
        <item x="490"/>
        <item x="785"/>
        <item x="387"/>
        <item x="1120"/>
        <item x="1206"/>
        <item x="1230"/>
        <item x="699"/>
        <item x="1178"/>
        <item x="1233"/>
        <item x="438"/>
        <item x="265"/>
        <item x="326"/>
        <item x="27"/>
        <item x="938"/>
        <item x="1225"/>
        <item x="697"/>
        <item x="573"/>
        <item x="835"/>
        <item x="520"/>
        <item x="808"/>
        <item x="157"/>
        <item x="1025"/>
        <item x="838"/>
        <item x="652"/>
        <item x="539"/>
        <item x="338"/>
        <item x="13"/>
        <item x="351"/>
        <item x="471"/>
        <item x="481"/>
        <item x="221"/>
        <item x="65"/>
        <item x="145"/>
        <item x="1052"/>
        <item x="787"/>
        <item x="96"/>
        <item x="1114"/>
        <item x="587"/>
        <item x="132"/>
        <item x="458"/>
        <item x="630"/>
        <item x="280"/>
        <item x="426"/>
        <item x="612"/>
        <item x="1150"/>
        <item x="1082"/>
        <item x="1221"/>
        <item x="1166"/>
        <item x="1055"/>
        <item x="1194"/>
        <item x="945"/>
        <item x="816"/>
        <item x="1121"/>
        <item x="556"/>
        <item x="8"/>
        <item x="75"/>
        <item x="814"/>
        <item x="1088"/>
        <item x="820"/>
        <item x="362"/>
        <item x="318"/>
        <item x="1275"/>
        <item x="788"/>
        <item x="104"/>
        <item x="772"/>
        <item x="1102"/>
        <item x="813"/>
        <item x="485"/>
        <item x="379"/>
        <item x="301"/>
        <item x="148"/>
        <item x="1"/>
        <item x="654"/>
        <item x="649"/>
        <item x="270"/>
        <item x="594"/>
        <item x="45"/>
        <item x="358"/>
        <item x="554"/>
        <item x="762"/>
        <item x="1258"/>
        <item x="872"/>
        <item x="1283"/>
        <item x="572"/>
        <item x="930"/>
        <item x="907"/>
        <item x="342"/>
        <item x="855"/>
        <item x="131"/>
        <item x="1067"/>
        <item x="878"/>
        <item x="1138"/>
        <item x="95"/>
        <item x="841"/>
        <item x="705"/>
        <item x="1286"/>
        <item x="139"/>
        <item x="998"/>
        <item x="608"/>
        <item x="1111"/>
        <item x="359"/>
        <item x="735"/>
        <item x="969"/>
        <item x="38"/>
        <item x="1149"/>
        <item x="842"/>
        <item x="614"/>
        <item x="834"/>
        <item x="538"/>
        <item x="402"/>
        <item x="371"/>
        <item x="1274"/>
        <item x="549"/>
        <item x="78"/>
        <item x="1267"/>
        <item x="1113"/>
        <item x="182"/>
        <item x="1255"/>
        <item x="1229"/>
        <item x="81"/>
        <item x="234"/>
        <item x="882"/>
        <item x="948"/>
        <item x="604"/>
        <item x="675"/>
        <item x="677"/>
        <item x="1253"/>
        <item x="1174"/>
        <item x="162"/>
        <item x="1196"/>
        <item x="173"/>
        <item x="435"/>
        <item x="663"/>
        <item x="523"/>
        <item x="113"/>
        <item x="927"/>
        <item x="1027"/>
        <item x="764"/>
        <item x="1289"/>
        <item x="378"/>
        <item x="466"/>
        <item x="582"/>
        <item x="782"/>
        <item x="381"/>
        <item x="498"/>
        <item x="627"/>
        <item x="488"/>
        <item x="1241"/>
        <item x="436"/>
        <item x="199"/>
        <item x="427"/>
        <item x="476"/>
        <item x="817"/>
        <item x="35"/>
        <item x="203"/>
        <item x="585"/>
        <item x="671"/>
        <item x="784"/>
        <item x="977"/>
        <item x="331"/>
        <item x="114"/>
        <item x="160"/>
        <item x="536"/>
        <item x="1240"/>
        <item x="237"/>
        <item x="862"/>
        <item x="1301"/>
        <item x="375"/>
        <item x="596"/>
        <item x="16"/>
        <item x="1285"/>
        <item x="71"/>
        <item x="519"/>
        <item x="340"/>
        <item x="10"/>
        <item x="1159"/>
        <item x="1300"/>
        <item x="824"/>
        <item x="462"/>
        <item x="175"/>
        <item x="777"/>
        <item x="478"/>
        <item x="754"/>
        <item x="685"/>
        <item x="138"/>
        <item x="1208"/>
        <item x="224"/>
        <item x="266"/>
        <item x="288"/>
        <item x="62"/>
        <item x="229"/>
        <item x="349"/>
        <item x="709"/>
        <item x="1191"/>
        <item x="848"/>
        <item x="282"/>
        <item x="1156"/>
        <item x="1065"/>
        <item x="3"/>
        <item x="632"/>
        <item x="786"/>
        <item x="847"/>
        <item x="819"/>
        <item x="704"/>
        <item x="1085"/>
        <item x="914"/>
        <item x="696"/>
        <item x="298"/>
        <item x="107"/>
        <item x="641"/>
        <item x="363"/>
        <item x="972"/>
        <item x="312"/>
        <item x="164"/>
        <item x="369"/>
        <item x="1224"/>
        <item x="747"/>
        <item x="232"/>
        <item x="952"/>
        <item x="712"/>
        <item x="1215"/>
        <item x="991"/>
        <item x="238"/>
        <item x="432"/>
        <item x="622"/>
        <item x="666"/>
        <item x="619"/>
        <item x="1081"/>
        <item x="1047"/>
        <item x="239"/>
        <item x="902"/>
        <item x="1256"/>
        <item x="1086"/>
        <item x="501"/>
        <item x="87"/>
        <item x="889"/>
        <item x="921"/>
        <item x="918"/>
        <item x="74"/>
        <item x="615"/>
        <item x="937"/>
        <item x="1053"/>
        <item x="341"/>
        <item x="391"/>
        <item x="1254"/>
        <item x="1139"/>
        <item x="590"/>
        <item x="452"/>
        <item x="1260"/>
        <item x="732"/>
        <item x="662"/>
        <item x="968"/>
        <item x="650"/>
        <item x="688"/>
        <item x="136"/>
        <item x="722"/>
        <item x="489"/>
        <item x="374"/>
        <item x="405"/>
        <item x="262"/>
        <item x="449"/>
        <item x="505"/>
        <item x="1211"/>
        <item x="457"/>
        <item x="248"/>
        <item x="1118"/>
        <item x="562"/>
        <item x="617"/>
        <item x="345"/>
        <item x="974"/>
        <item x="623"/>
        <item x="1131"/>
        <item x="1083"/>
        <item x="760"/>
        <item x="404"/>
        <item x="1107"/>
        <item x="563"/>
        <item x="93"/>
        <item x="350"/>
        <item x="1100"/>
        <item x="1021"/>
        <item x="721"/>
        <item x="833"/>
        <item x="1296"/>
        <item x="1001"/>
        <item x="1022"/>
        <item x="448"/>
        <item x="526"/>
        <item x="495"/>
        <item x="192"/>
        <item x="852"/>
        <item x="993"/>
        <item x="589"/>
        <item x="272"/>
        <item x="121"/>
        <item x="120"/>
        <item x="660"/>
        <item x="509"/>
        <item x="1054"/>
        <item x="63"/>
        <item x="973"/>
        <item x="1209"/>
        <item x="1006"/>
        <item x="105"/>
        <item x="127"/>
        <item x="165"/>
        <item x="659"/>
        <item x="1101"/>
        <item x="246"/>
        <item x="451"/>
        <item x="655"/>
        <item x="1202"/>
        <item x="694"/>
        <item x="279"/>
        <item x="883"/>
        <item x="361"/>
        <item x="564"/>
        <item x="770"/>
        <item x="328"/>
        <item x="437"/>
        <item x="1248"/>
        <item x="486"/>
        <item x="31"/>
        <item x="798"/>
        <item x="591"/>
        <item x="920"/>
        <item x="1108"/>
        <item x="962"/>
        <item x="517"/>
        <item x="639"/>
        <item x="431"/>
        <item x="729"/>
        <item x="317"/>
        <item x="911"/>
        <item x="1263"/>
        <item x="1130"/>
        <item x="1124"/>
        <item x="940"/>
        <item x="640"/>
        <item x="978"/>
        <item x="869"/>
        <item x="746"/>
        <item x="446"/>
        <item x="1259"/>
        <item x="494"/>
        <item x="184"/>
        <item x="492"/>
        <item x="370"/>
        <item x="903"/>
        <item x="1184"/>
        <item x="181"/>
        <item x="414"/>
        <item x="236"/>
        <item x="459"/>
        <item x="981"/>
        <item x="198"/>
        <item x="1125"/>
        <item x="1019"/>
        <item x="895"/>
        <item x="698"/>
        <item x="543"/>
        <item x="51"/>
        <item x="947"/>
        <item x="90"/>
        <item x="759"/>
        <item x="34"/>
        <item x="565"/>
        <item x="809"/>
        <item x="901"/>
        <item x="258"/>
        <item x="119"/>
        <item x="792"/>
        <item x="423"/>
        <item x="1090"/>
        <item x="1039"/>
        <item x="1042"/>
        <item x="755"/>
        <item x="1034"/>
        <item x="1188"/>
        <item x="618"/>
        <item x="15"/>
        <item x="41"/>
        <item x="1073"/>
        <item x="522"/>
        <item x="218"/>
        <item x="828"/>
        <item x="1038"/>
        <item x="39"/>
        <item x="487"/>
        <item x="230"/>
        <item x="802"/>
        <item x="909"/>
        <item x="657"/>
        <item x="1024"/>
        <item x="708"/>
        <item x="383"/>
        <item x="545"/>
        <item x="1250"/>
        <item x="555"/>
        <item x="233"/>
        <item x="32"/>
        <item x="891"/>
        <item x="535"/>
        <item x="134"/>
        <item x="668"/>
        <item x="950"/>
        <item x="253"/>
        <item x="629"/>
        <item x="4"/>
        <item x="356"/>
        <item x="355"/>
        <item x="149"/>
        <item x="1135"/>
        <item x="687"/>
        <item x="397"/>
        <item x="985"/>
        <item x="250"/>
        <item x="1246"/>
        <item x="308"/>
        <item x="68"/>
        <item x="953"/>
        <item x="863"/>
        <item x="276"/>
        <item x="506"/>
        <item x="18"/>
        <item x="989"/>
        <item x="1185"/>
        <item x="497"/>
        <item x="424"/>
        <item x="984"/>
        <item x="307"/>
        <item x="1013"/>
        <item x="942"/>
        <item x="154"/>
        <item x="577"/>
        <item x="693"/>
        <item x="403"/>
        <item x="284"/>
        <item x="610"/>
        <item x="406"/>
        <item x="868"/>
        <item x="661"/>
        <item x="48"/>
        <item x="579"/>
        <item x="97"/>
        <item x="1203"/>
        <item x="380"/>
        <item x="249"/>
        <item x="928"/>
        <item x="575"/>
        <item x="700"/>
        <item x="473"/>
        <item x="611"/>
        <item x="669"/>
        <item x="336"/>
        <item x="670"/>
        <item x="421"/>
        <item x="797"/>
        <item x="860"/>
        <item x="152"/>
        <item x="268"/>
        <item x="415"/>
        <item x="681"/>
        <item x="512"/>
        <item x="325"/>
        <item x="322"/>
        <item x="571"/>
        <item x="500"/>
        <item x="1277"/>
        <item x="193"/>
        <item x="1218"/>
        <item x="316"/>
        <item x="771"/>
        <item x="750"/>
        <item x="875"/>
        <item x="1227"/>
        <item x="499"/>
        <item x="769"/>
        <item t="default"/>
      </items>
    </pivotField>
    <pivotField showAll="0"/>
    <pivotField showAll="0"/>
    <pivotField dataField="1" showAll="0">
      <items count="1122">
        <item x="802"/>
        <item x="981"/>
        <item x="721"/>
        <item x="957"/>
        <item x="820"/>
        <item x="123"/>
        <item x="238"/>
        <item x="700"/>
        <item x="1026"/>
        <item x="755"/>
        <item x="819"/>
        <item x="1055"/>
        <item x="253"/>
        <item x="454"/>
        <item x="404"/>
        <item x="742"/>
        <item x="198"/>
        <item x="1101"/>
        <item x="81"/>
        <item x="45"/>
        <item x="299"/>
        <item x="770"/>
        <item x="991"/>
        <item x="943"/>
        <item x="448"/>
        <item x="68"/>
        <item x="211"/>
        <item x="1112"/>
        <item x="164"/>
        <item x="978"/>
        <item x="266"/>
        <item x="464"/>
        <item x="975"/>
        <item x="811"/>
        <item x="366"/>
        <item x="317"/>
        <item x="269"/>
        <item x="609"/>
        <item x="608"/>
        <item x="298"/>
        <item x="840"/>
        <item x="166"/>
        <item x="913"/>
        <item x="114"/>
        <item x="183"/>
        <item x="668"/>
        <item x="907"/>
        <item x="265"/>
        <item x="723"/>
        <item x="889"/>
        <item x="20"/>
        <item x="1017"/>
        <item x="77"/>
        <item x="443"/>
        <item x="677"/>
        <item x="486"/>
        <item x="1043"/>
        <item x="580"/>
        <item x="286"/>
        <item x="838"/>
        <item x="1010"/>
        <item x="1034"/>
        <item x="647"/>
        <item x="305"/>
        <item x="108"/>
        <item x="216"/>
        <item x="875"/>
        <item x="839"/>
        <item x="521"/>
        <item x="1098"/>
        <item x="756"/>
        <item x="306"/>
        <item x="48"/>
        <item x="151"/>
        <item x="572"/>
        <item x="190"/>
        <item x="726"/>
        <item x="640"/>
        <item x="1084"/>
        <item x="268"/>
        <item x="36"/>
        <item x="208"/>
        <item x="207"/>
        <item x="470"/>
        <item x="35"/>
        <item x="884"/>
        <item x="425"/>
        <item x="23"/>
        <item x="718"/>
        <item x="41"/>
        <item x="1111"/>
        <item x="554"/>
        <item x="1061"/>
        <item x="442"/>
        <item x="928"/>
        <item x="140"/>
        <item x="146"/>
        <item x="1073"/>
        <item x="592"/>
        <item x="510"/>
        <item x="662"/>
        <item x="605"/>
        <item x="994"/>
        <item x="634"/>
        <item x="122"/>
        <item x="346"/>
        <item x="142"/>
        <item x="209"/>
        <item x="326"/>
        <item x="468"/>
        <item x="954"/>
        <item x="539"/>
        <item x="334"/>
        <item x="625"/>
        <item x="517"/>
        <item x="689"/>
        <item x="804"/>
        <item x="74"/>
        <item x="42"/>
        <item x="853"/>
        <item x="827"/>
        <item x="217"/>
        <item x="355"/>
        <item x="986"/>
        <item x="308"/>
        <item x="400"/>
        <item x="516"/>
        <item x="319"/>
        <item x="373"/>
        <item x="638"/>
        <item x="777"/>
        <item x="683"/>
        <item x="153"/>
        <item x="162"/>
        <item x="690"/>
        <item x="452"/>
        <item x="46"/>
        <item x="367"/>
        <item x="1094"/>
        <item x="513"/>
        <item x="181"/>
        <item x="661"/>
        <item x="735"/>
        <item x="917"/>
        <item x="898"/>
        <item x="995"/>
        <item x="926"/>
        <item x="1104"/>
        <item x="234"/>
        <item x="252"/>
        <item x="171"/>
        <item x="1022"/>
        <item x="417"/>
        <item x="864"/>
        <item x="387"/>
        <item x="831"/>
        <item x="359"/>
        <item x="667"/>
        <item x="741"/>
        <item x="184"/>
        <item x="321"/>
        <item x="329"/>
        <item x="956"/>
        <item x="569"/>
        <item x="222"/>
        <item x="669"/>
        <item x="823"/>
        <item x="781"/>
        <item x="369"/>
        <item x="613"/>
        <item x="229"/>
        <item x="733"/>
        <item x="641"/>
        <item x="364"/>
        <item x="484"/>
        <item x="1038"/>
        <item x="128"/>
        <item x="285"/>
        <item x="436"/>
        <item x="107"/>
        <item x="656"/>
        <item x="643"/>
        <item x="996"/>
        <item x="916"/>
        <item x="83"/>
        <item x="283"/>
        <item x="944"/>
        <item x="1072"/>
        <item x="614"/>
        <item x="418"/>
        <item x="778"/>
        <item x="333"/>
        <item x="844"/>
        <item x="1000"/>
        <item x="953"/>
        <item x="186"/>
        <item x="244"/>
        <item x="549"/>
        <item x="538"/>
        <item x="376"/>
        <item x="389"/>
        <item x="1103"/>
        <item x="97"/>
        <item x="488"/>
        <item x="906"/>
        <item x="337"/>
        <item x="903"/>
        <item x="774"/>
        <item x="1012"/>
        <item x="645"/>
        <item x="24"/>
        <item x="180"/>
        <item x="150"/>
        <item x="684"/>
        <item x="567"/>
        <item x="444"/>
        <item x="58"/>
        <item x="9"/>
        <item x="213"/>
        <item x="414"/>
        <item x="221"/>
        <item x="674"/>
        <item x="89"/>
        <item x="245"/>
        <item x="1018"/>
        <item x="796"/>
        <item x="250"/>
        <item x="32"/>
        <item x="1031"/>
        <item x="287"/>
        <item x="292"/>
        <item x="477"/>
        <item x="1015"/>
        <item x="54"/>
        <item x="378"/>
        <item x="430"/>
        <item x="248"/>
        <item x="84"/>
        <item x="594"/>
        <item x="439"/>
        <item x="766"/>
        <item x="403"/>
        <item x="1005"/>
        <item x="793"/>
        <item x="456"/>
        <item x="665"/>
        <item x="428"/>
        <item x="679"/>
        <item x="942"/>
        <item x="499"/>
        <item x="565"/>
        <item x="255"/>
        <item x="825"/>
        <item x="969"/>
        <item x="328"/>
        <item x="240"/>
        <item x="385"/>
        <item x="386"/>
        <item x="746"/>
        <item x="82"/>
        <item x="759"/>
        <item x="812"/>
        <item x="172"/>
        <item x="347"/>
        <item x="14"/>
        <item x="109"/>
        <item x="787"/>
        <item x="940"/>
        <item x="349"/>
        <item x="86"/>
        <item x="12"/>
        <item x="192"/>
        <item x="394"/>
        <item x="552"/>
        <item x="830"/>
        <item x="235"/>
        <item x="1027"/>
        <item x="664"/>
        <item x="372"/>
        <item x="870"/>
        <item x="524"/>
        <item x="5"/>
        <item x="850"/>
        <item x="761"/>
        <item x="237"/>
        <item x="354"/>
        <item x="220"/>
        <item x="416"/>
        <item x="566"/>
        <item x="894"/>
        <item x="487"/>
        <item x="66"/>
        <item x="358"/>
        <item x="591"/>
        <item x="1085"/>
        <item x="338"/>
        <item x="65"/>
        <item x="371"/>
        <item x="855"/>
        <item x="295"/>
        <item x="941"/>
        <item x="529"/>
        <item x="835"/>
        <item x="1036"/>
        <item x="435"/>
        <item x="493"/>
        <item x="57"/>
        <item x="871"/>
        <item x="256"/>
        <item x="1052"/>
        <item x="249"/>
        <item x="284"/>
        <item x="39"/>
        <item x="202"/>
        <item x="948"/>
        <item x="762"/>
        <item x="801"/>
        <item x="997"/>
        <item x="393"/>
        <item x="1120"/>
        <item x="1113"/>
        <item x="673"/>
        <item x="22"/>
        <item x="63"/>
        <item x="98"/>
        <item x="96"/>
        <item x="984"/>
        <item x="749"/>
        <item x="409"/>
        <item x="438"/>
        <item x="17"/>
        <item x="392"/>
        <item x="851"/>
        <item x="1006"/>
        <item x="1019"/>
        <item x="6"/>
        <item x="174"/>
        <item x="138"/>
        <item x="712"/>
        <item x="197"/>
        <item x="722"/>
        <item x="803"/>
        <item x="974"/>
        <item x="466"/>
        <item x="682"/>
        <item x="547"/>
        <item x="143"/>
        <item x="908"/>
        <item x="11"/>
        <item x="637"/>
        <item x="88"/>
        <item x="481"/>
        <item x="405"/>
        <item x="163"/>
        <item x="828"/>
        <item x="687"/>
        <item x="204"/>
        <item x="185"/>
        <item x="95"/>
        <item x="60"/>
        <item x="490"/>
        <item x="341"/>
        <item x="719"/>
        <item x="955"/>
        <item x="919"/>
        <item x="7"/>
        <item x="767"/>
        <item x="688"/>
        <item x="905"/>
        <item x="120"/>
        <item x="606"/>
        <item x="69"/>
        <item x="808"/>
        <item x="550"/>
        <item x="478"/>
        <item x="282"/>
        <item x="441"/>
        <item x="503"/>
        <item x="225"/>
        <item x="421"/>
        <item x="887"/>
        <item x="509"/>
        <item x="895"/>
        <item x="541"/>
        <item x="395"/>
        <item x="619"/>
        <item x="627"/>
        <item x="1058"/>
        <item x="879"/>
        <item x="713"/>
        <item x="505"/>
        <item x="506"/>
        <item x="148"/>
        <item x="797"/>
        <item x="205"/>
        <item x="193"/>
        <item x="525"/>
        <item x="935"/>
        <item x="530"/>
        <item x="206"/>
        <item x="2"/>
        <item x="732"/>
        <item x="920"/>
        <item x="277"/>
        <item x="952"/>
        <item x="573"/>
        <item x="1047"/>
        <item x="1025"/>
        <item x="672"/>
        <item x="130"/>
        <item x="1048"/>
        <item x="832"/>
        <item x="78"/>
        <item x="408"/>
        <item x="0"/>
        <item x="711"/>
        <item x="899"/>
        <item x="848"/>
        <item x="814"/>
        <item x="210"/>
        <item x="1067"/>
        <item x="203"/>
        <item x="264"/>
        <item x="25"/>
        <item x="504"/>
        <item x="115"/>
        <item x="805"/>
        <item x="133"/>
        <item x="900"/>
        <item x="912"/>
        <item x="514"/>
        <item x="927"/>
        <item x="821"/>
        <item x="970"/>
        <item x="350"/>
        <item x="169"/>
        <item x="276"/>
        <item x="754"/>
        <item x="1078"/>
        <item x="1057"/>
        <item x="304"/>
        <item x="75"/>
        <item x="105"/>
        <item x="1004"/>
        <item x="533"/>
        <item x="112"/>
        <item x="191"/>
        <item x="461"/>
        <item x="650"/>
        <item x="791"/>
        <item x="866"/>
        <item x="519"/>
        <item x="921"/>
        <item x="19"/>
        <item x="497"/>
        <item x="55"/>
        <item x="300"/>
        <item x="325"/>
        <item x="617"/>
        <item x="1119"/>
        <item x="950"/>
        <item x="868"/>
        <item x="680"/>
        <item x="775"/>
        <item x="388"/>
        <item x="782"/>
        <item x="860"/>
        <item x="568"/>
        <item x="925"/>
        <item x="880"/>
        <item x="100"/>
        <item x="377"/>
        <item x="348"/>
        <item x="113"/>
        <item x="103"/>
        <item x="80"/>
        <item x="892"/>
        <item x="666"/>
        <item x="1068"/>
        <item x="694"/>
        <item x="187"/>
        <item x="703"/>
        <item x="570"/>
        <item x="968"/>
        <item x="121"/>
        <item x="59"/>
        <item x="737"/>
        <item x="710"/>
        <item x="810"/>
        <item x="344"/>
        <item x="455"/>
        <item x="502"/>
        <item x="745"/>
        <item x="451"/>
        <item x="274"/>
        <item x="261"/>
        <item x="1028"/>
        <item x="949"/>
        <item x="893"/>
        <item x="296"/>
        <item x="752"/>
        <item x="523"/>
        <item x="987"/>
        <item x="259"/>
        <item x="21"/>
        <item x="967"/>
        <item x="312"/>
        <item x="219"/>
        <item x="280"/>
        <item x="1096"/>
        <item x="175"/>
        <item x="965"/>
        <item x="562"/>
        <item x="272"/>
        <item x="43"/>
        <item x="931"/>
        <item x="646"/>
        <item x="794"/>
        <item x="946"/>
        <item x="607"/>
        <item x="564"/>
        <item x="316"/>
        <item x="154"/>
        <item x="869"/>
        <item x="125"/>
        <item x="1109"/>
        <item x="26"/>
        <item x="309"/>
        <item x="291"/>
        <item x="636"/>
        <item x="845"/>
        <item x="56"/>
        <item x="136"/>
        <item x="532"/>
        <item x="119"/>
        <item x="901"/>
        <item x="1014"/>
        <item x="29"/>
        <item x="773"/>
        <item x="780"/>
        <item x="724"/>
        <item x="520"/>
        <item x="1105"/>
        <item x="982"/>
        <item x="685"/>
        <item x="137"/>
        <item x="501"/>
        <item x="52"/>
        <item x="966"/>
        <item x="91"/>
        <item x="49"/>
        <item x="281"/>
        <item x="923"/>
        <item x="736"/>
        <item x="858"/>
        <item x="196"/>
        <item x="693"/>
        <item x="28"/>
        <item x="676"/>
        <item x="1007"/>
        <item x="600"/>
        <item x="1046"/>
        <item x="201"/>
        <item x="1042"/>
        <item x="531"/>
        <item x="816"/>
        <item x="1115"/>
        <item x="167"/>
        <item x="173"/>
        <item x="106"/>
        <item x="158"/>
        <item x="500"/>
        <item x="934"/>
        <item x="483"/>
        <item x="1071"/>
        <item x="214"/>
        <item x="698"/>
        <item x="419"/>
        <item x="708"/>
        <item x="798"/>
        <item x="922"/>
        <item x="314"/>
        <item x="165"/>
        <item x="71"/>
        <item x="1021"/>
        <item x="131"/>
        <item x="156"/>
        <item x="247"/>
        <item x="422"/>
        <item x="587"/>
        <item x="699"/>
        <item x="632"/>
        <item x="696"/>
        <item x="278"/>
        <item x="496"/>
        <item x="289"/>
        <item x="686"/>
        <item x="429"/>
        <item x="1041"/>
        <item x="540"/>
        <item x="161"/>
        <item x="1040"/>
        <item x="447"/>
        <item x="415"/>
        <item x="834"/>
        <item x="51"/>
        <item x="1011"/>
        <item x="397"/>
        <item x="200"/>
        <item x="1076"/>
        <item x="368"/>
        <item x="431"/>
        <item x="575"/>
        <item x="559"/>
        <item x="596"/>
        <item x="1097"/>
        <item x="583"/>
        <item x="178"/>
        <item x="813"/>
        <item x="1023"/>
        <item x="590"/>
        <item x="1070"/>
        <item x="743"/>
        <item x="704"/>
        <item x="599"/>
        <item x="601"/>
        <item x="757"/>
        <item x="476"/>
        <item x="182"/>
        <item x="655"/>
        <item x="1080"/>
        <item x="1116"/>
        <item x="786"/>
        <item x="872"/>
        <item x="236"/>
        <item x="384"/>
        <item x="865"/>
        <item x="374"/>
        <item x="979"/>
        <item x="99"/>
        <item x="139"/>
        <item x="728"/>
        <item x="989"/>
        <item x="598"/>
        <item x="1049"/>
        <item x="1066"/>
        <item x="653"/>
        <item x="939"/>
        <item x="1069"/>
        <item x="257"/>
        <item x="311"/>
        <item x="27"/>
        <item x="847"/>
        <item x="1063"/>
        <item x="53"/>
        <item x="544"/>
        <item x="492"/>
        <item x="152"/>
        <item x="915"/>
        <item x="463"/>
        <item x="303"/>
        <item x="512"/>
        <item x="320"/>
        <item x="332"/>
        <item x="453"/>
        <item x="215"/>
        <item x="64"/>
        <item x="141"/>
        <item x="413"/>
        <item x="936"/>
        <item x="730"/>
        <item x="93"/>
        <item x="985"/>
        <item x="555"/>
        <item x="127"/>
        <item x="433"/>
        <item x="765"/>
        <item x="271"/>
        <item x="401"/>
        <item x="579"/>
        <item x="1009"/>
        <item x="959"/>
        <item x="612"/>
        <item x="1059"/>
        <item x="13"/>
        <item x="707"/>
        <item x="445"/>
        <item x="1037"/>
        <item x="576"/>
        <item x="750"/>
        <item x="990"/>
        <item x="528"/>
        <item x="863"/>
        <item x="748"/>
        <item x="963"/>
        <item x="1033"/>
        <item x="543"/>
        <item x="1100"/>
        <item x="731"/>
        <item x="101"/>
        <item x="717"/>
        <item x="1020"/>
        <item x="973"/>
        <item x="747"/>
        <item x="854"/>
        <item x="457"/>
        <item x="697"/>
        <item x="290"/>
        <item x="8"/>
        <item x="73"/>
        <item x="615"/>
        <item x="610"/>
        <item x="262"/>
        <item x="343"/>
        <item x="44"/>
        <item x="560"/>
        <item x="574"/>
        <item x="361"/>
        <item x="144"/>
        <item x="1"/>
        <item x="561"/>
        <item x="339"/>
        <item x="526"/>
        <item x="1090"/>
        <item x="1008"/>
        <item x="790"/>
        <item x="1106"/>
        <item x="843"/>
        <item x="511"/>
        <item x="822"/>
        <item x="324"/>
        <item x="779"/>
        <item x="126"/>
        <item x="947"/>
        <item x="76"/>
        <item x="795"/>
        <item x="1002"/>
        <item x="92"/>
        <item x="768"/>
        <item x="658"/>
        <item x="1108"/>
        <item x="135"/>
        <item x="896"/>
        <item x="980"/>
        <item x="340"/>
        <item x="410"/>
        <item x="681"/>
        <item x="874"/>
        <item x="37"/>
        <item x="769"/>
        <item x="581"/>
        <item x="764"/>
        <item x="379"/>
        <item x="709"/>
        <item x="353"/>
        <item x="1099"/>
        <item x="522"/>
        <item x="1095"/>
        <item x="983"/>
        <item x="177"/>
        <item x="1088"/>
        <item x="1065"/>
        <item x="79"/>
        <item x="228"/>
        <item x="799"/>
        <item x="857"/>
        <item x="571"/>
        <item x="633"/>
        <item x="635"/>
        <item x="1086"/>
        <item x="1024"/>
        <item x="157"/>
        <item x="1039"/>
        <item x="168"/>
        <item x="624"/>
        <item x="495"/>
        <item x="110"/>
        <item x="841"/>
        <item x="563"/>
        <item x="918"/>
        <item x="1110"/>
        <item x="360"/>
        <item x="440"/>
        <item x="551"/>
        <item x="725"/>
        <item x="363"/>
        <item x="472"/>
        <item x="593"/>
        <item x="460"/>
        <item x="1075"/>
        <item x="411"/>
        <item x="279"/>
        <item x="195"/>
        <item x="402"/>
        <item x="449"/>
        <item x="751"/>
        <item x="1035"/>
        <item x="34"/>
        <item x="199"/>
        <item x="553"/>
        <item x="631"/>
        <item x="3"/>
        <item x="727"/>
        <item x="881"/>
        <item x="1082"/>
        <item x="315"/>
        <item x="111"/>
        <item x="104"/>
        <item x="155"/>
        <item x="508"/>
        <item x="1074"/>
        <item x="231"/>
        <item x="784"/>
        <item x="1118"/>
        <item x="345"/>
        <item x="357"/>
        <item x="16"/>
        <item x="1107"/>
        <item x="70"/>
        <item x="491"/>
        <item x="322"/>
        <item x="10"/>
        <item x="1016"/>
        <item x="1117"/>
        <item x="758"/>
        <item x="437"/>
        <item x="626"/>
        <item x="170"/>
        <item x="720"/>
        <item x="450"/>
        <item x="962"/>
        <item x="701"/>
        <item x="642"/>
        <item x="134"/>
        <item x="1050"/>
        <item x="72"/>
        <item x="218"/>
        <item x="258"/>
        <item x="61"/>
        <item x="223"/>
        <item x="330"/>
        <item x="660"/>
        <item x="1003"/>
        <item x="772"/>
        <item x="273"/>
        <item x="1013"/>
        <item x="945"/>
        <item x="1060"/>
        <item x="597"/>
        <item x="729"/>
        <item x="771"/>
        <item x="753"/>
        <item x="657"/>
        <item x="961"/>
        <item x="829"/>
        <item x="651"/>
        <item x="288"/>
        <item x="604"/>
        <item x="132"/>
        <item x="876"/>
        <item x="297"/>
        <item x="671"/>
        <item x="159"/>
        <item x="351"/>
        <item x="1062"/>
        <item x="692"/>
        <item x="226"/>
        <item x="861"/>
        <item x="663"/>
        <item x="1054"/>
        <item x="890"/>
        <item x="232"/>
        <item x="407"/>
        <item x="588"/>
        <item x="462"/>
        <item x="586"/>
        <item x="958"/>
        <item x="933"/>
        <item x="233"/>
        <item x="356"/>
        <item x="817"/>
        <item x="1089"/>
        <item x="1077"/>
        <item x="475"/>
        <item x="85"/>
        <item x="806"/>
        <item x="837"/>
        <item x="833"/>
        <item x="382"/>
        <item x="582"/>
        <item x="846"/>
        <item x="937"/>
        <item x="323"/>
        <item x="370"/>
        <item x="1087"/>
        <item x="557"/>
        <item x="427"/>
        <item x="1092"/>
        <item x="678"/>
        <item x="623"/>
        <item x="873"/>
        <item x="611"/>
        <item x="254"/>
        <item x="424"/>
        <item x="479"/>
        <item x="1053"/>
        <item x="432"/>
        <item x="241"/>
        <item x="988"/>
        <item x="534"/>
        <item x="584"/>
        <item x="327"/>
        <item x="878"/>
        <item x="589"/>
        <item x="999"/>
        <item x="960"/>
        <item x="706"/>
        <item x="381"/>
        <item x="976"/>
        <item x="535"/>
        <item x="90"/>
        <item x="331"/>
        <item x="971"/>
        <item x="910"/>
        <item x="670"/>
        <item x="763"/>
        <item x="1114"/>
        <item x="897"/>
        <item x="911"/>
        <item x="423"/>
        <item x="498"/>
        <item x="469"/>
        <item x="188"/>
        <item x="776"/>
        <item x="891"/>
        <item x="556"/>
        <item x="263"/>
        <item x="118"/>
        <item x="117"/>
        <item x="621"/>
        <item x="482"/>
        <item x="938"/>
        <item x="62"/>
        <item x="877"/>
        <item x="1051"/>
        <item x="902"/>
        <item x="102"/>
        <item x="124"/>
        <item x="160"/>
        <item x="620"/>
        <item x="972"/>
        <item x="239"/>
        <item x="426"/>
        <item x="616"/>
        <item x="1044"/>
        <item x="649"/>
        <item x="270"/>
        <item x="800"/>
        <item x="342"/>
        <item x="536"/>
        <item x="715"/>
        <item x="313"/>
        <item x="412"/>
        <item x="1081"/>
        <item x="458"/>
        <item x="30"/>
        <item x="739"/>
        <item x="558"/>
        <item x="836"/>
        <item x="977"/>
        <item x="867"/>
        <item x="489"/>
        <item x="602"/>
        <item x="406"/>
        <item x="675"/>
        <item x="302"/>
        <item x="826"/>
        <item x="1093"/>
        <item x="998"/>
        <item x="992"/>
        <item x="849"/>
        <item x="603"/>
        <item x="882"/>
        <item x="789"/>
        <item x="691"/>
        <item x="420"/>
        <item x="1091"/>
        <item x="467"/>
        <item x="179"/>
        <item x="465"/>
        <item x="352"/>
        <item x="818"/>
        <item x="1029"/>
        <item x="176"/>
        <item x="390"/>
        <item x="230"/>
        <item x="434"/>
        <item x="883"/>
        <item x="194"/>
        <item x="993"/>
        <item x="909"/>
        <item x="809"/>
        <item x="652"/>
        <item x="515"/>
        <item x="50"/>
        <item x="856"/>
        <item x="87"/>
        <item x="705"/>
        <item x="33"/>
        <item x="537"/>
        <item x="744"/>
        <item x="815"/>
        <item x="251"/>
        <item x="116"/>
        <item x="734"/>
        <item x="398"/>
        <item x="964"/>
        <item x="930"/>
        <item x="932"/>
        <item x="702"/>
        <item x="924"/>
        <item x="1032"/>
        <item x="585"/>
        <item x="15"/>
        <item x="40"/>
        <item x="951"/>
        <item x="494"/>
        <item x="212"/>
        <item x="760"/>
        <item x="929"/>
        <item x="38"/>
        <item x="459"/>
        <item x="224"/>
        <item x="740"/>
        <item x="824"/>
        <item x="618"/>
        <item x="914"/>
        <item x="659"/>
        <item x="365"/>
        <item x="518"/>
        <item x="1083"/>
        <item x="527"/>
        <item x="227"/>
        <item x="31"/>
        <item x="807"/>
        <item x="507"/>
        <item x="129"/>
        <item x="628"/>
        <item x="859"/>
        <item x="246"/>
        <item x="595"/>
        <item x="4"/>
        <item x="336"/>
        <item x="335"/>
        <item x="145"/>
        <item x="1001"/>
        <item x="644"/>
        <item x="375"/>
        <item x="886"/>
        <item x="243"/>
        <item x="1079"/>
        <item x="294"/>
        <item x="67"/>
        <item x="862"/>
        <item x="785"/>
        <item x="267"/>
        <item x="480"/>
        <item x="18"/>
        <item x="888"/>
        <item x="1030"/>
        <item x="471"/>
        <item x="399"/>
        <item x="885"/>
        <item x="293"/>
        <item x="904"/>
        <item x="852"/>
        <item x="149"/>
        <item x="546"/>
        <item x="648"/>
        <item x="380"/>
        <item x="275"/>
        <item x="577"/>
        <item x="383"/>
        <item x="788"/>
        <item x="622"/>
        <item x="47"/>
        <item x="548"/>
        <item x="94"/>
        <item x="1045"/>
        <item x="362"/>
        <item x="242"/>
        <item x="842"/>
        <item x="545"/>
        <item x="654"/>
        <item x="446"/>
        <item x="578"/>
        <item x="629"/>
        <item x="318"/>
        <item x="630"/>
        <item x="396"/>
        <item x="738"/>
        <item x="783"/>
        <item x="147"/>
        <item x="260"/>
        <item x="391"/>
        <item x="639"/>
        <item x="485"/>
        <item x="310"/>
        <item x="307"/>
        <item x="542"/>
        <item x="474"/>
        <item x="1102"/>
        <item x="189"/>
        <item x="1056"/>
        <item x="301"/>
        <item x="716"/>
        <item x="695"/>
        <item x="792"/>
        <item x="1064"/>
        <item x="473"/>
        <item x="714"/>
        <item t="default"/>
      </items>
    </pivotField>
    <pivotField showAll="0">
      <items count="4">
        <item x="1"/>
        <item h="1" x="0"/>
        <item h="1" x="2"/>
        <item t="default"/>
      </items>
    </pivotField>
    <pivotField showAll="0">
      <items count="5">
        <item h="1" x="0"/>
        <item h="1" x="2"/>
        <item h="1" x="1"/>
        <item x="3"/>
        <item t="default"/>
      </items>
    </pivotField>
    <pivotField showAll="0">
      <items count="4">
        <item x="1"/>
        <item h="1" x="2"/>
        <item x="0"/>
        <item t="default"/>
      </items>
    </pivotField>
    <pivotField showAll="0"/>
    <pivotField showAll="0"/>
    <pivotField showAll="0"/>
    <pivotField axis="axisRow" showAll="0">
      <items count="21">
        <item x="5"/>
        <item x="7"/>
        <item x="6"/>
        <item x="10"/>
        <item x="14"/>
        <item x="8"/>
        <item x="15"/>
        <item x="9"/>
        <item x="17"/>
        <item x="16"/>
        <item x="18"/>
        <item x="1"/>
        <item x="4"/>
        <item x="2"/>
        <item x="3"/>
        <item x="12"/>
        <item x="11"/>
        <item x="13"/>
        <item x="19"/>
        <item x="0"/>
        <item t="default"/>
      </items>
    </pivotField>
    <pivotField showAll="0">
      <items count="15">
        <item x="7"/>
        <item x="9"/>
        <item x="10"/>
        <item x="0"/>
        <item x="13"/>
        <item x="5"/>
        <item x="4"/>
        <item x="2"/>
        <item h="1" x="8"/>
        <item h="1" x="12"/>
        <item h="1" x="6"/>
        <item h="1" x="11"/>
        <item x="3"/>
        <item h="1" x="1"/>
        <item t="default"/>
      </items>
    </pivotField>
    <pivotField showAll="0"/>
    <pivotField showAll="0">
      <items count="6">
        <item x="1"/>
        <item x="3"/>
        <item x="0"/>
        <item x="2"/>
        <item h="1" x="4"/>
        <item t="default"/>
      </items>
    </pivotField>
    <pivotField showAll="0">
      <items count="13">
        <item h="1" x="0"/>
        <item x="5"/>
        <item x="6"/>
        <item h="1" x="1"/>
        <item h="1" x="3"/>
        <item h="1" x="7"/>
        <item x="4"/>
        <item h="1" x="9"/>
        <item x="2"/>
        <item h="1" x="8"/>
        <item x="10"/>
        <item x="11"/>
        <item t="default"/>
      </items>
    </pivotField>
    <pivotField showAll="0"/>
  </pivotFields>
  <rowFields count="1">
    <field x="16"/>
  </rowFields>
  <rowItems count="6">
    <i>
      <x/>
    </i>
    <i>
      <x v="2"/>
    </i>
    <i>
      <x v="16"/>
    </i>
    <i>
      <x v="17"/>
    </i>
    <i>
      <x v="18"/>
    </i>
    <i t="grand">
      <x/>
    </i>
  </rowItems>
  <colFields count="1">
    <field x="-2"/>
  </colFields>
  <colItems count="2">
    <i>
      <x/>
    </i>
    <i i="1">
      <x v="1"/>
    </i>
  </colItems>
  <dataFields count="2">
    <dataField name="Sum of Profit/Loss" fld="9" baseField="0" baseItem="0"/>
    <dataField name="Sum of Qty Sold" fld="4"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F15BA-2E51-4149-9D10-6D28C3CEBC2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3:L25" firstHeaderRow="1" firstDataRow="2" firstDataCol="1"/>
  <pivotFields count="22">
    <pivotField numFmtId="14" showAll="0"/>
    <pivotField showAll="0">
      <items count="7">
        <item x="1"/>
        <item h="1" x="2"/>
        <item h="1" x="4"/>
        <item h="1" x="3"/>
        <item h="1" x="0"/>
        <item h="1" x="5"/>
        <item t="default"/>
      </items>
    </pivotField>
    <pivotField showAll="0"/>
    <pivotField showAll="0"/>
    <pivotField showAll="0">
      <items count="486">
        <item x="451"/>
        <item x="273"/>
        <item x="442"/>
        <item x="79"/>
        <item x="378"/>
        <item x="293"/>
        <item x="474"/>
        <item x="152"/>
        <item x="475"/>
        <item x="141"/>
        <item x="45"/>
        <item x="253"/>
        <item x="121"/>
        <item x="371"/>
        <item x="188"/>
        <item x="165"/>
        <item x="422"/>
        <item x="424"/>
        <item x="332"/>
        <item x="433"/>
        <item x="286"/>
        <item x="220"/>
        <item x="484"/>
        <item x="106"/>
        <item x="356"/>
        <item x="75"/>
        <item x="112"/>
        <item x="176"/>
        <item x="414"/>
        <item x="179"/>
        <item x="189"/>
        <item x="214"/>
        <item x="355"/>
        <item x="185"/>
        <item x="456"/>
        <item x="462"/>
        <item x="323"/>
        <item x="67"/>
        <item x="464"/>
        <item x="321"/>
        <item x="136"/>
        <item x="282"/>
        <item x="65"/>
        <item x="238"/>
        <item x="230"/>
        <item x="3"/>
        <item x="476"/>
        <item x="103"/>
        <item x="47"/>
        <item x="407"/>
        <item x="84"/>
        <item x="337"/>
        <item x="264"/>
        <item x="71"/>
        <item x="60"/>
        <item x="406"/>
        <item x="334"/>
        <item x="252"/>
        <item x="22"/>
        <item x="413"/>
        <item x="41"/>
        <item x="299"/>
        <item x="331"/>
        <item x="172"/>
        <item x="365"/>
        <item x="236"/>
        <item x="395"/>
        <item x="166"/>
        <item x="268"/>
        <item x="221"/>
        <item x="120"/>
        <item x="137"/>
        <item x="272"/>
        <item x="317"/>
        <item x="211"/>
        <item x="19"/>
        <item x="127"/>
        <item x="461"/>
        <item x="418"/>
        <item x="73"/>
        <item x="42"/>
        <item x="399"/>
        <item x="193"/>
        <item x="298"/>
        <item x="168"/>
        <item x="376"/>
        <item x="244"/>
        <item x="303"/>
        <item x="394"/>
        <item x="278"/>
        <item x="419"/>
        <item x="20"/>
        <item x="257"/>
        <item x="107"/>
        <item x="192"/>
        <item x="367"/>
        <item x="89"/>
        <item x="470"/>
        <item x="276"/>
        <item x="361"/>
        <item x="226"/>
        <item x="291"/>
        <item x="313"/>
        <item x="124"/>
        <item x="285"/>
        <item x="412"/>
        <item x="143"/>
        <item x="384"/>
        <item x="274"/>
        <item x="190"/>
        <item x="198"/>
        <item x="315"/>
        <item x="344"/>
        <item x="237"/>
        <item x="477"/>
        <item x="301"/>
        <item x="169"/>
        <item x="36"/>
        <item x="440"/>
        <item x="184"/>
        <item x="287"/>
        <item x="373"/>
        <item x="289"/>
        <item x="35"/>
        <item x="392"/>
        <item x="229"/>
        <item x="425"/>
        <item x="116"/>
        <item x="284"/>
        <item x="115"/>
        <item x="64"/>
        <item x="338"/>
        <item x="213"/>
        <item x="377"/>
        <item x="62"/>
        <item x="98"/>
        <item x="135"/>
        <item x="180"/>
        <item x="471"/>
        <item x="467"/>
        <item x="466"/>
        <item x="101"/>
        <item x="53"/>
        <item x="435"/>
        <item x="122"/>
        <item x="382"/>
        <item x="58"/>
        <item x="6"/>
        <item x="149"/>
        <item x="310"/>
        <item x="197"/>
        <item x="88"/>
        <item x="347"/>
        <item x="186"/>
        <item x="151"/>
        <item x="398"/>
        <item x="12"/>
        <item x="249"/>
        <item x="387"/>
        <item x="54"/>
        <item x="294"/>
        <item x="216"/>
        <item x="82"/>
        <item x="7"/>
        <item x="437"/>
        <item x="231"/>
        <item x="449"/>
        <item x="410"/>
        <item x="280"/>
        <item x="345"/>
        <item x="222"/>
        <item x="8"/>
        <item x="72"/>
        <item x="263"/>
        <item x="201"/>
        <item x="261"/>
        <item x="80"/>
        <item x="482"/>
        <item x="157"/>
        <item x="30"/>
        <item x="358"/>
        <item x="266"/>
        <item x="85"/>
        <item x="139"/>
        <item x="1"/>
        <item x="183"/>
        <item x="208"/>
        <item x="363"/>
        <item x="145"/>
        <item x="2"/>
        <item x="5"/>
        <item x="326"/>
        <item x="256"/>
        <item x="196"/>
        <item x="381"/>
        <item x="341"/>
        <item x="357"/>
        <item x="0"/>
        <item x="279"/>
        <item x="453"/>
        <item x="325"/>
        <item x="270"/>
        <item x="441"/>
        <item x="125"/>
        <item x="312"/>
        <item x="460"/>
        <item x="322"/>
        <item x="447"/>
        <item x="242"/>
        <item x="91"/>
        <item x="219"/>
        <item x="156"/>
        <item x="450"/>
        <item x="333"/>
        <item x="459"/>
        <item x="465"/>
        <item x="21"/>
        <item x="97"/>
        <item x="95"/>
        <item x="104"/>
        <item x="281"/>
        <item x="454"/>
        <item x="320"/>
        <item x="16"/>
        <item x="160"/>
        <item x="359"/>
        <item x="159"/>
        <item x="134"/>
        <item x="55"/>
        <item x="206"/>
        <item x="411"/>
        <item x="318"/>
        <item x="375"/>
        <item x="173"/>
        <item x="37"/>
        <item x="383"/>
        <item x="390"/>
        <item x="288"/>
        <item x="111"/>
        <item x="182"/>
        <item x="167"/>
        <item x="205"/>
        <item x="94"/>
        <item x="245"/>
        <item x="119"/>
        <item x="49"/>
        <item x="339"/>
        <item x="426"/>
        <item x="86"/>
        <item x="243"/>
        <item x="319"/>
        <item x="33"/>
        <item x="417"/>
        <item x="118"/>
        <item x="368"/>
        <item x="161"/>
        <item x="483"/>
        <item x="68"/>
        <item x="81"/>
        <item x="77"/>
        <item x="204"/>
        <item x="241"/>
        <item x="481"/>
        <item x="218"/>
        <item x="349"/>
        <item x="362"/>
        <item x="439"/>
        <item x="314"/>
        <item x="114"/>
        <item x="354"/>
        <item x="306"/>
        <item x="370"/>
        <item x="457"/>
        <item x="401"/>
        <item x="472"/>
        <item x="258"/>
        <item x="148"/>
        <item x="385"/>
        <item x="155"/>
        <item x="351"/>
        <item x="352"/>
        <item x="96"/>
        <item x="29"/>
        <item x="448"/>
        <item x="479"/>
        <item x="468"/>
        <item x="473"/>
        <item x="108"/>
        <item x="14"/>
        <item x="429"/>
        <item x="40"/>
        <item x="297"/>
        <item x="48"/>
        <item x="408"/>
        <item x="343"/>
        <item x="28"/>
        <item x="23"/>
        <item x="163"/>
        <item x="76"/>
        <item x="415"/>
        <item x="308"/>
        <item x="458"/>
        <item x="38"/>
        <item x="105"/>
        <item x="346"/>
        <item x="200"/>
        <item x="187"/>
        <item x="311"/>
        <item x="432"/>
        <item x="181"/>
        <item x="153"/>
        <item x="330"/>
        <item x="24"/>
        <item x="400"/>
        <item x="350"/>
        <item x="113"/>
        <item x="309"/>
        <item x="130"/>
        <item x="32"/>
        <item x="174"/>
        <item x="150"/>
        <item x="324"/>
        <item x="364"/>
        <item x="203"/>
        <item x="34"/>
        <item x="177"/>
        <item x="31"/>
        <item x="50"/>
        <item x="404"/>
        <item x="305"/>
        <item x="353"/>
        <item x="178"/>
        <item x="74"/>
        <item x="128"/>
        <item x="396"/>
        <item x="403"/>
        <item x="110"/>
        <item x="171"/>
        <item x="307"/>
        <item x="386"/>
        <item x="379"/>
        <item x="109"/>
        <item x="146"/>
        <item x="4"/>
        <item x="316"/>
        <item x="18"/>
        <item x="162"/>
        <item x="254"/>
        <item x="271"/>
        <item x="283"/>
        <item x="140"/>
        <item x="423"/>
        <item x="436"/>
        <item x="15"/>
        <item x="210"/>
        <item x="296"/>
        <item x="69"/>
        <item x="342"/>
        <item x="99"/>
        <item x="9"/>
        <item x="164"/>
        <item x="102"/>
        <item x="78"/>
        <item x="443"/>
        <item x="431"/>
        <item x="212"/>
        <item x="13"/>
        <item x="250"/>
        <item x="66"/>
        <item x="444"/>
        <item x="295"/>
        <item x="59"/>
        <item x="290"/>
        <item x="11"/>
        <item x="131"/>
        <item x="328"/>
        <item x="348"/>
        <item x="427"/>
        <item x="194"/>
        <item x="235"/>
        <item x="227"/>
        <item x="224"/>
        <item x="61"/>
        <item x="17"/>
        <item x="199"/>
        <item x="275"/>
        <item x="409"/>
        <item x="223"/>
        <item x="240"/>
        <item x="26"/>
        <item x="455"/>
        <item x="209"/>
        <item x="27"/>
        <item x="234"/>
        <item x="260"/>
        <item x="195"/>
        <item x="239"/>
        <item x="144"/>
        <item x="142"/>
        <item x="374"/>
        <item x="380"/>
        <item x="233"/>
        <item x="43"/>
        <item x="267"/>
        <item x="388"/>
        <item x="277"/>
        <item x="446"/>
        <item x="445"/>
        <item x="327"/>
        <item x="191"/>
        <item x="251"/>
        <item x="46"/>
        <item x="63"/>
        <item x="93"/>
        <item x="123"/>
        <item x="25"/>
        <item x="92"/>
        <item x="248"/>
        <item x="57"/>
        <item x="372"/>
        <item x="126"/>
        <item x="56"/>
        <item x="132"/>
        <item x="232"/>
        <item x="117"/>
        <item x="217"/>
        <item x="389"/>
        <item x="39"/>
        <item x="438"/>
        <item x="202"/>
        <item x="265"/>
        <item x="360"/>
        <item x="304"/>
        <item x="480"/>
        <item x="430"/>
        <item x="463"/>
        <item x="416"/>
        <item x="133"/>
        <item x="207"/>
        <item x="52"/>
        <item x="393"/>
        <item x="90"/>
        <item x="225"/>
        <item x="246"/>
        <item x="300"/>
        <item x="434"/>
        <item x="175"/>
        <item x="420"/>
        <item x="340"/>
        <item x="478"/>
        <item x="397"/>
        <item x="259"/>
        <item x="83"/>
        <item x="452"/>
        <item x="428"/>
        <item x="366"/>
        <item x="51"/>
        <item x="302"/>
        <item x="154"/>
        <item x="158"/>
        <item x="100"/>
        <item x="336"/>
        <item x="391"/>
        <item x="170"/>
        <item x="405"/>
        <item x="421"/>
        <item x="292"/>
        <item x="269"/>
        <item x="329"/>
        <item x="262"/>
        <item x="255"/>
        <item x="70"/>
        <item x="129"/>
        <item x="147"/>
        <item x="215"/>
        <item x="138"/>
        <item x="469"/>
        <item x="10"/>
        <item x="402"/>
        <item x="87"/>
        <item x="228"/>
        <item x="247"/>
        <item x="335"/>
        <item x="44"/>
        <item x="369"/>
        <item t="default"/>
      </items>
    </pivotField>
    <pivotField showAll="0"/>
    <pivotField showAll="0">
      <items count="1304">
        <item x="885"/>
        <item x="1112"/>
        <item x="778"/>
        <item x="1080"/>
        <item x="905"/>
        <item x="126"/>
        <item x="245"/>
        <item x="753"/>
        <item x="347"/>
        <item x="1177"/>
        <item x="822"/>
        <item x="1222"/>
        <item x="904"/>
        <item x="1217"/>
        <item x="260"/>
        <item x="482"/>
        <item x="1143"/>
        <item x="1076"/>
        <item x="805"/>
        <item x="202"/>
        <item x="46"/>
        <item x="429"/>
        <item x="83"/>
        <item x="314"/>
        <item x="843"/>
        <item x="1122"/>
        <item x="588"/>
        <item x="1063"/>
        <item x="1276"/>
        <item x="475"/>
        <item x="69"/>
        <item x="1134"/>
        <item x="716"/>
        <item x="1056"/>
        <item x="1109"/>
        <item x="275"/>
        <item x="169"/>
        <item x="574"/>
        <item x="491"/>
        <item x="217"/>
        <item x="384"/>
        <item x="1106"/>
        <item x="335"/>
        <item x="278"/>
        <item x="648"/>
        <item x="647"/>
        <item x="605"/>
        <item x="313"/>
        <item x="925"/>
        <item x="897"/>
        <item x="171"/>
        <item x="1023"/>
        <item x="409"/>
        <item x="1214"/>
        <item x="1040"/>
        <item x="1141"/>
        <item x="1278"/>
        <item x="719"/>
        <item x="188"/>
        <item x="1002"/>
        <item x="1144"/>
        <item x="815"/>
        <item x="780"/>
        <item x="990"/>
        <item x="20"/>
        <item x="117"/>
        <item x="1162"/>
        <item x="1292"/>
        <item x="79"/>
        <item x="469"/>
        <item x="731"/>
        <item x="513"/>
        <item x="1200"/>
        <item x="613"/>
        <item x="296"/>
        <item x="922"/>
        <item x="274"/>
        <item x="1264"/>
        <item x="1190"/>
        <item x="846"/>
        <item x="320"/>
        <item x="111"/>
        <item x="222"/>
        <item x="1153"/>
        <item x="1193"/>
        <item x="924"/>
        <item x="1295"/>
        <item x="692"/>
        <item x="548"/>
        <item x="1180"/>
        <item x="823"/>
        <item x="321"/>
        <item x="49"/>
        <item x="156"/>
        <item x="606"/>
        <item x="1273"/>
        <item x="194"/>
        <item x="723"/>
        <item x="783"/>
        <item x="683"/>
        <item x="206"/>
        <item x="416"/>
        <item x="970"/>
        <item x="37"/>
        <item x="212"/>
        <item x="576"/>
        <item x="36"/>
        <item x="1272"/>
        <item x="450"/>
        <item x="213"/>
        <item x="174"/>
        <item x="774"/>
        <item x="906"/>
        <item x="682"/>
        <item x="832"/>
        <item x="1293"/>
        <item x="271"/>
        <item x="1223"/>
        <item x="1016"/>
        <item x="757"/>
        <item x="1251"/>
        <item x="1036"/>
        <item x="1012"/>
        <item x="277"/>
        <item x="150"/>
        <item x="1239"/>
        <item x="851"/>
        <item x="626"/>
        <item x="537"/>
        <item x="468"/>
        <item x="711"/>
        <item x="642"/>
        <item x="496"/>
        <item x="144"/>
        <item x="676"/>
        <item x="1136"/>
        <item x="364"/>
        <item x="151"/>
        <item x="215"/>
        <item x="23"/>
        <item x="620"/>
        <item x="584"/>
        <item x="42"/>
        <item x="1075"/>
        <item x="1017"/>
        <item x="354"/>
        <item x="664"/>
        <item x="544"/>
        <item x="1171"/>
        <item x="888"/>
        <item x="634"/>
        <item x="129"/>
        <item x="943"/>
        <item x="912"/>
        <item x="223"/>
        <item x="373"/>
        <item x="1115"/>
        <item x="799"/>
        <item x="1160"/>
        <item x="425"/>
        <item x="88"/>
        <item x="337"/>
        <item x="395"/>
        <item x="125"/>
        <item x="803"/>
        <item x="963"/>
        <item x="853"/>
        <item x="146"/>
        <item x="737"/>
        <item x="344"/>
        <item x="158"/>
        <item x="167"/>
        <item x="323"/>
        <item x="480"/>
        <item x="1089"/>
        <item x="1049"/>
        <item x="567"/>
        <item x="1266"/>
        <item x="680"/>
        <item x="586"/>
        <item x="540"/>
        <item x="186"/>
        <item x="710"/>
        <item x="1026"/>
        <item x="744"/>
        <item x="1003"/>
        <item x="1126"/>
        <item x="76"/>
        <item x="1147"/>
        <item x="43"/>
        <item x="1280"/>
        <item x="1176"/>
        <item x="240"/>
        <item x="259"/>
        <item x="176"/>
        <item x="1170"/>
        <item x="442"/>
        <item x="958"/>
        <item x="455"/>
        <item x="916"/>
        <item x="377"/>
        <item x="804"/>
        <item x="386"/>
        <item x="1020"/>
        <item x="1078"/>
        <item x="602"/>
        <item x="228"/>
        <item x="745"/>
        <item x="720"/>
        <item x="47"/>
        <item x="908"/>
        <item x="718"/>
        <item x="385"/>
        <item x="858"/>
        <item x="189"/>
        <item x="389"/>
        <item x="637"/>
        <item x="339"/>
        <item x="235"/>
        <item x="793"/>
        <item x="791"/>
        <item x="684"/>
        <item x="1271"/>
        <item x="382"/>
        <item x="511"/>
        <item x="935"/>
        <item x="1195"/>
        <item x="214"/>
        <item x="295"/>
        <item x="461"/>
        <item x="110"/>
        <item x="703"/>
        <item x="714"/>
        <item x="686"/>
        <item x="1127"/>
        <item x="85"/>
        <item x="645"/>
        <item x="292"/>
        <item x="411"/>
        <item x="1237"/>
        <item x="871"/>
        <item x="707"/>
        <item x="443"/>
        <item x="133"/>
        <item x="854"/>
        <item x="352"/>
        <item x="541"/>
        <item x="933"/>
        <item x="979"/>
        <item x="1152"/>
        <item x="1074"/>
        <item x="959"/>
        <item x="348"/>
        <item x="856"/>
        <item x="566"/>
        <item x="353"/>
        <item x="839"/>
        <item x="413"/>
        <item x="1279"/>
        <item x="100"/>
        <item x="653"/>
        <item x="516"/>
        <item x="867"/>
        <item x="1015"/>
        <item x="845"/>
        <item x="1133"/>
        <item x="1010"/>
        <item x="1151"/>
        <item x="191"/>
        <item x="1155"/>
        <item x="689"/>
        <item x="580"/>
        <item x="1070"/>
        <item x="24"/>
        <item x="399"/>
        <item x="185"/>
        <item x="155"/>
        <item x="738"/>
        <item x="418"/>
        <item x="600"/>
        <item x="388"/>
        <item x="956"/>
        <item x="59"/>
        <item x="9"/>
        <item x="219"/>
        <item x="439"/>
        <item x="227"/>
        <item x="727"/>
        <item x="1226"/>
        <item x="252"/>
        <item x="1064"/>
        <item x="1163"/>
        <item x="879"/>
        <item x="257"/>
        <item x="33"/>
        <item x="1117"/>
        <item x="470"/>
        <item x="503"/>
        <item x="1158"/>
        <item x="999"/>
        <item x="1105"/>
        <item x="251"/>
        <item x="401"/>
        <item x="255"/>
        <item x="628"/>
        <item x="465"/>
        <item x="836"/>
        <item x="332"/>
        <item x="428"/>
        <item x="1142"/>
        <item x="1186"/>
        <item x="1119"/>
        <item x="484"/>
        <item x="1048"/>
        <item x="453"/>
        <item x="733"/>
        <item x="1061"/>
        <item x="825"/>
        <item x="598"/>
        <item x="263"/>
        <item x="130"/>
        <item x="910"/>
        <item x="1097"/>
        <item x="346"/>
        <item x="247"/>
        <item x="408"/>
        <item x="1249"/>
        <item x="410"/>
        <item x="812"/>
        <item x="84"/>
        <item x="1262"/>
        <item x="827"/>
        <item x="1284"/>
        <item x="73"/>
        <item x="800"/>
        <item x="982"/>
        <item x="14"/>
        <item x="830"/>
        <item x="865"/>
        <item x="1059"/>
        <item x="367"/>
        <item x="89"/>
        <item x="1009"/>
        <item x="12"/>
        <item x="196"/>
        <item x="92"/>
        <item x="926"/>
        <item x="1037"/>
        <item x="915"/>
        <item x="463"/>
        <item x="1182"/>
        <item x="713"/>
        <item x="1079"/>
        <item x="1146"/>
        <item x="1161"/>
        <item x="552"/>
        <item x="297"/>
        <item x="5"/>
        <item x="305"/>
        <item x="1242"/>
        <item x="365"/>
        <item x="244"/>
        <item x="372"/>
        <item x="112"/>
        <item x="226"/>
        <item x="55"/>
        <item x="441"/>
        <item x="931"/>
        <item x="996"/>
        <item x="899"/>
        <item x="390"/>
        <item x="67"/>
        <item x="86"/>
        <item x="625"/>
        <item x="957"/>
        <item x="866"/>
        <item x="392"/>
        <item x="946"/>
        <item x="393"/>
        <item x="309"/>
        <item x="1060"/>
        <item x="876"/>
        <item x="557"/>
        <item x="1091"/>
        <item x="715"/>
        <item x="1192"/>
        <item x="460"/>
        <item x="521"/>
        <item x="58"/>
        <item x="527"/>
        <item x="966"/>
        <item x="264"/>
        <item x="773"/>
        <item x="1210"/>
        <item x="256"/>
        <item x="1243"/>
        <item x="293"/>
        <item x="40"/>
        <item x="330"/>
        <item x="376"/>
        <item x="1129"/>
        <item x="831"/>
        <item x="795"/>
        <item x="884"/>
        <item x="66"/>
        <item x="419"/>
        <item x="1302"/>
        <item x="1294"/>
        <item x="177"/>
        <item x="919"/>
        <item x="22"/>
        <item x="299"/>
        <item x="651"/>
        <item x="1216"/>
        <item x="1062"/>
        <item x="261"/>
        <item x="646"/>
        <item x="1044"/>
        <item x="420"/>
        <item x="17"/>
        <item x="583"/>
        <item x="417"/>
        <item x="207"/>
        <item x="941"/>
        <item x="1145"/>
        <item x="242"/>
        <item x="1165"/>
        <item x="179"/>
        <item x="673"/>
        <item x="767"/>
        <item x="398"/>
        <item x="965"/>
        <item x="886"/>
        <item x="980"/>
        <item x="1103"/>
        <item x="726"/>
        <item x="829"/>
        <item x="507"/>
        <item x="736"/>
        <item x="64"/>
        <item x="578"/>
        <item x="147"/>
        <item x="1018"/>
        <item x="11"/>
        <item x="679"/>
        <item x="599"/>
        <item x="91"/>
        <item x="508"/>
        <item x="514"/>
        <item x="430"/>
        <item x="844"/>
        <item x="913"/>
        <item x="1257"/>
        <item x="742"/>
        <item x="761"/>
        <item x="190"/>
        <item x="357"/>
        <item x="6"/>
        <item x="98"/>
        <item x="477"/>
        <item x="61"/>
        <item x="518"/>
        <item x="779"/>
        <item x="1291"/>
        <item x="775"/>
        <item x="934"/>
        <item x="1028"/>
        <item x="1132"/>
        <item x="837"/>
        <item x="1252"/>
        <item x="168"/>
        <item x="472"/>
        <item x="1068"/>
        <item x="1043"/>
        <item x="70"/>
        <item x="893"/>
        <item x="1128"/>
        <item x="504"/>
        <item x="1228"/>
        <item x="291"/>
        <item x="241"/>
        <item x="101"/>
        <item x="360"/>
        <item x="1164"/>
        <item x="99"/>
        <item x="1077"/>
        <item x="849"/>
        <item x="434"/>
        <item x="7"/>
        <item x="1207"/>
        <item x="464"/>
        <item x="997"/>
        <item x="1014"/>
        <item x="569"/>
        <item x="955"/>
        <item x="1234"/>
        <item x="303"/>
        <item x="142"/>
        <item x="201"/>
        <item x="581"/>
        <item x="975"/>
        <item x="1007"/>
        <item x="533"/>
        <item x="493"/>
        <item x="534"/>
        <item x="932"/>
        <item x="467"/>
        <item x="880"/>
        <item x="197"/>
        <item x="807"/>
        <item x="231"/>
        <item x="558"/>
        <item x="887"/>
        <item x="209"/>
        <item x="294"/>
        <item x="286"/>
        <item x="515"/>
        <item x="1205"/>
        <item x="665"/>
        <item x="1288"/>
        <item x="890"/>
        <item x="1220"/>
        <item x="768"/>
        <item x="923"/>
        <item x="153"/>
        <item x="433"/>
        <item x="1236"/>
        <item x="210"/>
        <item x="766"/>
        <item x="743"/>
        <item x="553"/>
        <item x="123"/>
        <item x="216"/>
        <item x="643"/>
        <item x="2"/>
        <item x="1231"/>
        <item x="208"/>
        <item x="1029"/>
        <item x="273"/>
        <item x="607"/>
        <item x="445"/>
        <item x="118"/>
        <item x="725"/>
        <item x="137"/>
        <item x="954"/>
        <item x="531"/>
        <item x="1169"/>
        <item x="0"/>
        <item x="988"/>
        <item x="1004"/>
        <item x="1098"/>
        <item x="368"/>
        <item x="900"/>
        <item x="1269"/>
        <item x="724"/>
        <item x="285"/>
        <item x="983"/>
        <item x="658"/>
        <item x="1219"/>
        <item x="593"/>
        <item x="77"/>
        <item x="115"/>
        <item x="1104"/>
        <item x="195"/>
        <item x="1005"/>
        <item x="695"/>
        <item x="873"/>
        <item x="874"/>
        <item x="1051"/>
        <item x="19"/>
        <item x="211"/>
        <item x="315"/>
        <item x="789"/>
        <item x="343"/>
        <item x="656"/>
        <item x="1000"/>
        <item x="1071"/>
        <item x="734"/>
        <item x="1212"/>
        <item x="319"/>
        <item x="412"/>
        <item x="951"/>
        <item x="108"/>
        <item x="135"/>
        <item x="561"/>
        <item x="917"/>
        <item x="103"/>
        <item x="80"/>
        <item x="366"/>
        <item x="702"/>
        <item x="106"/>
        <item x="82"/>
        <item x="994"/>
        <item x="961"/>
        <item x="1232"/>
        <item x="939"/>
        <item x="546"/>
        <item x="749"/>
        <item x="1179"/>
        <item x="756"/>
        <item x="603"/>
        <item x="1137"/>
        <item x="56"/>
        <item x="60"/>
        <item x="796"/>
        <item x="310"/>
        <item x="1094"/>
        <item x="25"/>
        <item x="691"/>
        <item x="532"/>
        <item x="1045"/>
        <item x="283"/>
        <item x="859"/>
        <item x="269"/>
        <item x="601"/>
        <item x="1183"/>
        <item x="976"/>
        <item x="1282"/>
        <item x="116"/>
        <item x="542"/>
        <item x="550"/>
        <item x="717"/>
        <item x="1201"/>
        <item x="1057"/>
        <item x="1033"/>
        <item x="21"/>
        <item x="861"/>
        <item x="1011"/>
        <item x="821"/>
        <item x="124"/>
        <item x="1245"/>
        <item x="289"/>
        <item x="1238"/>
        <item x="180"/>
        <item x="765"/>
        <item x="1092"/>
        <item x="840"/>
        <item x="281"/>
        <item x="806"/>
        <item x="1140"/>
        <item x="1041"/>
        <item x="690"/>
        <item x="1066"/>
        <item x="394"/>
        <item x="1298"/>
        <item x="1069"/>
        <item x="597"/>
        <item x="333"/>
        <item x="159"/>
        <item x="1290"/>
        <item x="311"/>
        <item x="304"/>
        <item x="1030"/>
        <item x="790"/>
        <item x="1123"/>
        <item x="302"/>
        <item x="525"/>
        <item x="267"/>
        <item x="678"/>
        <item x="1299"/>
        <item x="936"/>
        <item x="1095"/>
        <item x="57"/>
        <item x="1244"/>
        <item x="894"/>
        <item x="1189"/>
        <item x="850"/>
        <item x="741"/>
        <item x="551"/>
        <item x="986"/>
        <item x="1087"/>
        <item x="781"/>
        <item x="1008"/>
        <item x="801"/>
        <item x="1035"/>
        <item x="992"/>
        <item x="810"/>
        <item x="400"/>
        <item x="672"/>
        <item x="1084"/>
        <item x="141"/>
        <item x="53"/>
        <item x="1093"/>
        <item x="94"/>
        <item x="870"/>
        <item x="1046"/>
        <item x="1175"/>
        <item x="1032"/>
        <item x="1287"/>
        <item x="892"/>
        <item x="794"/>
        <item x="324"/>
        <item x="949"/>
        <item x="1096"/>
        <item x="776"/>
        <item x="1148"/>
        <item x="1072"/>
        <item x="896"/>
        <item x="205"/>
        <item x="483"/>
        <item x="530"/>
        <item x="559"/>
        <item x="811"/>
        <item x="30"/>
        <item x="479"/>
        <item x="1187"/>
        <item x="306"/>
        <item x="178"/>
        <item x="163"/>
        <item x="1099"/>
        <item x="220"/>
        <item x="751"/>
        <item x="995"/>
        <item x="944"/>
        <item x="987"/>
        <item x="1181"/>
        <item x="818"/>
        <item x="881"/>
        <item x="826"/>
        <item x="72"/>
        <item x="1116"/>
        <item x="50"/>
        <item x="28"/>
        <item x="254"/>
        <item x="327"/>
        <item x="1213"/>
        <item x="621"/>
        <item x="225"/>
        <item x="674"/>
        <item x="29"/>
        <item x="1268"/>
        <item x="287"/>
        <item x="1204"/>
        <item x="454"/>
        <item x="595"/>
        <item x="44"/>
        <item x="1197"/>
        <item x="877"/>
        <item x="109"/>
        <item x="528"/>
        <item x="644"/>
        <item x="510"/>
        <item x="1265"/>
        <item x="1173"/>
        <item x="444"/>
        <item x="964"/>
        <item x="128"/>
        <item x="1031"/>
        <item x="26"/>
        <item x="170"/>
        <item x="1168"/>
        <item x="1167"/>
        <item x="334"/>
        <item x="728"/>
        <item x="140"/>
        <item x="752"/>
        <item x="560"/>
        <item x="122"/>
        <item x="524"/>
        <item x="1157"/>
        <item x="740"/>
        <item x="1198"/>
        <item x="857"/>
        <item x="166"/>
        <item x="547"/>
        <item x="1281"/>
        <item x="474"/>
        <item x="616"/>
        <item x="440"/>
        <item x="739"/>
        <item x="1172"/>
        <item x="529"/>
        <item x="52"/>
        <item x="1261"/>
        <item x="1154"/>
        <item x="422"/>
        <item x="290"/>
        <item x="635"/>
        <item x="204"/>
        <item x="200"/>
        <item x="748"/>
        <item x="730"/>
        <item x="636"/>
        <item x="971"/>
        <item x="456"/>
        <item x="1199"/>
        <item x="667"/>
        <item x="609"/>
        <item x="1297"/>
        <item x="592"/>
        <item x="172"/>
        <item x="631"/>
        <item x="1058"/>
        <item x="967"/>
        <item x="1270"/>
        <item x="1050"/>
        <item x="1235"/>
        <item x="183"/>
        <item x="898"/>
        <item x="763"/>
        <item x="960"/>
        <item x="329"/>
        <item x="624"/>
        <item x="102"/>
        <item x="570"/>
        <item x="161"/>
        <item x="758"/>
        <item x="143"/>
        <item x="447"/>
        <item x="638"/>
        <item x="633"/>
        <item x="502"/>
        <item x="300"/>
        <item x="929"/>
        <item x="706"/>
        <item x="568"/>
        <item x="187"/>
        <item x="701"/>
        <item x="1247"/>
        <item x="864"/>
        <item x="54"/>
        <item x="243"/>
        <item x="407"/>
        <item x="396"/>
        <item x="1110"/>
        <item x="490"/>
        <item x="785"/>
        <item x="387"/>
        <item x="1120"/>
        <item x="1206"/>
        <item x="1230"/>
        <item x="699"/>
        <item x="1178"/>
        <item x="1233"/>
        <item x="438"/>
        <item x="265"/>
        <item x="326"/>
        <item x="27"/>
        <item x="938"/>
        <item x="1225"/>
        <item x="697"/>
        <item x="573"/>
        <item x="835"/>
        <item x="520"/>
        <item x="808"/>
        <item x="157"/>
        <item x="1025"/>
        <item x="838"/>
        <item x="652"/>
        <item x="539"/>
        <item x="338"/>
        <item x="13"/>
        <item x="351"/>
        <item x="471"/>
        <item x="481"/>
        <item x="221"/>
        <item x="65"/>
        <item x="145"/>
        <item x="1052"/>
        <item x="787"/>
        <item x="96"/>
        <item x="1114"/>
        <item x="587"/>
        <item x="132"/>
        <item x="458"/>
        <item x="630"/>
        <item x="280"/>
        <item x="426"/>
        <item x="612"/>
        <item x="1150"/>
        <item x="1082"/>
        <item x="1221"/>
        <item x="1166"/>
        <item x="1055"/>
        <item x="1194"/>
        <item x="945"/>
        <item x="816"/>
        <item x="1121"/>
        <item x="556"/>
        <item x="8"/>
        <item x="75"/>
        <item x="814"/>
        <item x="1088"/>
        <item x="820"/>
        <item x="362"/>
        <item x="318"/>
        <item x="1275"/>
        <item x="788"/>
        <item x="104"/>
        <item x="772"/>
        <item x="1102"/>
        <item x="813"/>
        <item x="485"/>
        <item x="379"/>
        <item x="301"/>
        <item x="148"/>
        <item x="1"/>
        <item x="654"/>
        <item x="649"/>
        <item x="270"/>
        <item x="594"/>
        <item x="45"/>
        <item x="358"/>
        <item x="554"/>
        <item x="762"/>
        <item x="1258"/>
        <item x="872"/>
        <item x="1283"/>
        <item x="572"/>
        <item x="930"/>
        <item x="907"/>
        <item x="342"/>
        <item x="855"/>
        <item x="131"/>
        <item x="1067"/>
        <item x="878"/>
        <item x="1138"/>
        <item x="95"/>
        <item x="841"/>
        <item x="705"/>
        <item x="1286"/>
        <item x="139"/>
        <item x="998"/>
        <item x="608"/>
        <item x="1111"/>
        <item x="359"/>
        <item x="735"/>
        <item x="969"/>
        <item x="38"/>
        <item x="1149"/>
        <item x="842"/>
        <item x="614"/>
        <item x="834"/>
        <item x="538"/>
        <item x="402"/>
        <item x="371"/>
        <item x="1274"/>
        <item x="549"/>
        <item x="78"/>
        <item x="1267"/>
        <item x="1113"/>
        <item x="182"/>
        <item x="1255"/>
        <item x="1229"/>
        <item x="81"/>
        <item x="234"/>
        <item x="882"/>
        <item x="948"/>
        <item x="604"/>
        <item x="675"/>
        <item x="677"/>
        <item x="1253"/>
        <item x="1174"/>
        <item x="162"/>
        <item x="1196"/>
        <item x="173"/>
        <item x="435"/>
        <item x="663"/>
        <item x="523"/>
        <item x="113"/>
        <item x="927"/>
        <item x="1027"/>
        <item x="764"/>
        <item x="1289"/>
        <item x="378"/>
        <item x="466"/>
        <item x="582"/>
        <item x="782"/>
        <item x="381"/>
        <item x="498"/>
        <item x="627"/>
        <item x="488"/>
        <item x="1241"/>
        <item x="436"/>
        <item x="199"/>
        <item x="427"/>
        <item x="476"/>
        <item x="817"/>
        <item x="35"/>
        <item x="203"/>
        <item x="585"/>
        <item x="671"/>
        <item x="784"/>
        <item x="977"/>
        <item x="331"/>
        <item x="114"/>
        <item x="160"/>
        <item x="536"/>
        <item x="1240"/>
        <item x="237"/>
        <item x="862"/>
        <item x="1301"/>
        <item x="375"/>
        <item x="596"/>
        <item x="16"/>
        <item x="1285"/>
        <item x="71"/>
        <item x="519"/>
        <item x="340"/>
        <item x="10"/>
        <item x="1159"/>
        <item x="1300"/>
        <item x="824"/>
        <item x="462"/>
        <item x="175"/>
        <item x="777"/>
        <item x="478"/>
        <item x="754"/>
        <item x="685"/>
        <item x="138"/>
        <item x="1208"/>
        <item x="224"/>
        <item x="266"/>
        <item x="288"/>
        <item x="62"/>
        <item x="229"/>
        <item x="349"/>
        <item x="709"/>
        <item x="1191"/>
        <item x="848"/>
        <item x="282"/>
        <item x="1156"/>
        <item x="1065"/>
        <item x="3"/>
        <item x="632"/>
        <item x="786"/>
        <item x="847"/>
        <item x="819"/>
        <item x="704"/>
        <item x="1085"/>
        <item x="914"/>
        <item x="696"/>
        <item x="298"/>
        <item x="107"/>
        <item x="641"/>
        <item x="363"/>
        <item x="972"/>
        <item x="312"/>
        <item x="164"/>
        <item x="369"/>
        <item x="1224"/>
        <item x="747"/>
        <item x="232"/>
        <item x="952"/>
        <item x="712"/>
        <item x="1215"/>
        <item x="991"/>
        <item x="238"/>
        <item x="432"/>
        <item x="622"/>
        <item x="666"/>
        <item x="619"/>
        <item x="1081"/>
        <item x="1047"/>
        <item x="239"/>
        <item x="902"/>
        <item x="1256"/>
        <item x="1086"/>
        <item x="501"/>
        <item x="87"/>
        <item x="889"/>
        <item x="921"/>
        <item x="918"/>
        <item x="74"/>
        <item x="615"/>
        <item x="937"/>
        <item x="1053"/>
        <item x="341"/>
        <item x="391"/>
        <item x="1254"/>
        <item x="1139"/>
        <item x="590"/>
        <item x="452"/>
        <item x="1260"/>
        <item x="732"/>
        <item x="662"/>
        <item x="968"/>
        <item x="650"/>
        <item x="688"/>
        <item x="136"/>
        <item x="722"/>
        <item x="489"/>
        <item x="374"/>
        <item x="405"/>
        <item x="262"/>
        <item x="449"/>
        <item x="505"/>
        <item x="1211"/>
        <item x="457"/>
        <item x="248"/>
        <item x="1118"/>
        <item x="562"/>
        <item x="617"/>
        <item x="345"/>
        <item x="974"/>
        <item x="623"/>
        <item x="1131"/>
        <item x="1083"/>
        <item x="760"/>
        <item x="404"/>
        <item x="1107"/>
        <item x="563"/>
        <item x="93"/>
        <item x="350"/>
        <item x="1100"/>
        <item x="1021"/>
        <item x="721"/>
        <item x="833"/>
        <item x="1296"/>
        <item x="1001"/>
        <item x="1022"/>
        <item x="448"/>
        <item x="526"/>
        <item x="495"/>
        <item x="192"/>
        <item x="852"/>
        <item x="993"/>
        <item x="589"/>
        <item x="272"/>
        <item x="121"/>
        <item x="120"/>
        <item x="660"/>
        <item x="509"/>
        <item x="1054"/>
        <item x="63"/>
        <item x="973"/>
        <item x="1209"/>
        <item x="1006"/>
        <item x="105"/>
        <item x="127"/>
        <item x="165"/>
        <item x="659"/>
        <item x="1101"/>
        <item x="246"/>
        <item x="451"/>
        <item x="655"/>
        <item x="1202"/>
        <item x="694"/>
        <item x="279"/>
        <item x="883"/>
        <item x="361"/>
        <item x="564"/>
        <item x="770"/>
        <item x="328"/>
        <item x="437"/>
        <item x="1248"/>
        <item x="486"/>
        <item x="31"/>
        <item x="798"/>
        <item x="591"/>
        <item x="920"/>
        <item x="1108"/>
        <item x="962"/>
        <item x="517"/>
        <item x="639"/>
        <item x="431"/>
        <item x="729"/>
        <item x="317"/>
        <item x="911"/>
        <item x="1263"/>
        <item x="1130"/>
        <item x="1124"/>
        <item x="940"/>
        <item x="640"/>
        <item x="978"/>
        <item x="869"/>
        <item x="746"/>
        <item x="446"/>
        <item x="1259"/>
        <item x="494"/>
        <item x="184"/>
        <item x="492"/>
        <item x="370"/>
        <item x="903"/>
        <item x="1184"/>
        <item x="181"/>
        <item x="414"/>
        <item x="236"/>
        <item x="459"/>
        <item x="981"/>
        <item x="198"/>
        <item x="1125"/>
        <item x="1019"/>
        <item x="895"/>
        <item x="698"/>
        <item x="543"/>
        <item x="51"/>
        <item x="947"/>
        <item x="90"/>
        <item x="759"/>
        <item x="34"/>
        <item x="565"/>
        <item x="809"/>
        <item x="901"/>
        <item x="258"/>
        <item x="119"/>
        <item x="792"/>
        <item x="423"/>
        <item x="1090"/>
        <item x="1039"/>
        <item x="1042"/>
        <item x="755"/>
        <item x="1034"/>
        <item x="1188"/>
        <item x="618"/>
        <item x="15"/>
        <item x="41"/>
        <item x="1073"/>
        <item x="522"/>
        <item x="218"/>
        <item x="828"/>
        <item x="1038"/>
        <item x="39"/>
        <item x="487"/>
        <item x="230"/>
        <item x="802"/>
        <item x="909"/>
        <item x="657"/>
        <item x="1024"/>
        <item x="708"/>
        <item x="383"/>
        <item x="545"/>
        <item x="1250"/>
        <item x="555"/>
        <item x="233"/>
        <item x="32"/>
        <item x="891"/>
        <item x="535"/>
        <item x="134"/>
        <item x="668"/>
        <item x="950"/>
        <item x="253"/>
        <item x="629"/>
        <item x="4"/>
        <item x="356"/>
        <item x="355"/>
        <item x="149"/>
        <item x="1135"/>
        <item x="687"/>
        <item x="397"/>
        <item x="985"/>
        <item x="250"/>
        <item x="1246"/>
        <item x="308"/>
        <item x="68"/>
        <item x="953"/>
        <item x="863"/>
        <item x="276"/>
        <item x="506"/>
        <item x="18"/>
        <item x="989"/>
        <item x="1185"/>
        <item x="497"/>
        <item x="424"/>
        <item x="984"/>
        <item x="307"/>
        <item x="1013"/>
        <item x="942"/>
        <item x="154"/>
        <item x="577"/>
        <item x="693"/>
        <item x="403"/>
        <item x="284"/>
        <item x="610"/>
        <item x="406"/>
        <item x="868"/>
        <item x="661"/>
        <item x="48"/>
        <item x="579"/>
        <item x="97"/>
        <item x="1203"/>
        <item x="380"/>
        <item x="249"/>
        <item x="928"/>
        <item x="575"/>
        <item x="700"/>
        <item x="473"/>
        <item x="611"/>
        <item x="669"/>
        <item x="336"/>
        <item x="670"/>
        <item x="421"/>
        <item x="797"/>
        <item x="860"/>
        <item x="152"/>
        <item x="268"/>
        <item x="415"/>
        <item x="681"/>
        <item x="512"/>
        <item x="325"/>
        <item x="322"/>
        <item x="571"/>
        <item x="500"/>
        <item x="1277"/>
        <item x="193"/>
        <item x="1218"/>
        <item x="316"/>
        <item x="771"/>
        <item x="750"/>
        <item x="875"/>
        <item x="1227"/>
        <item x="499"/>
        <item x="769"/>
        <item t="default"/>
      </items>
    </pivotField>
    <pivotField showAll="0"/>
    <pivotField showAll="0"/>
    <pivotField dataField="1" showAll="0">
      <items count="1122">
        <item x="802"/>
        <item x="981"/>
        <item x="721"/>
        <item x="957"/>
        <item x="820"/>
        <item x="123"/>
        <item x="238"/>
        <item x="700"/>
        <item x="1026"/>
        <item x="755"/>
        <item x="819"/>
        <item x="1055"/>
        <item x="253"/>
        <item x="454"/>
        <item x="404"/>
        <item x="742"/>
        <item x="198"/>
        <item x="1101"/>
        <item x="81"/>
        <item x="45"/>
        <item x="299"/>
        <item x="770"/>
        <item x="991"/>
        <item x="943"/>
        <item x="448"/>
        <item x="68"/>
        <item x="211"/>
        <item x="1112"/>
        <item x="164"/>
        <item x="978"/>
        <item x="266"/>
        <item x="464"/>
        <item x="975"/>
        <item x="811"/>
        <item x="366"/>
        <item x="317"/>
        <item x="269"/>
        <item x="609"/>
        <item x="608"/>
        <item x="298"/>
        <item x="840"/>
        <item x="166"/>
        <item x="913"/>
        <item x="114"/>
        <item x="183"/>
        <item x="668"/>
        <item x="907"/>
        <item x="265"/>
        <item x="723"/>
        <item x="889"/>
        <item x="20"/>
        <item x="1017"/>
        <item x="77"/>
        <item x="443"/>
        <item x="677"/>
        <item x="486"/>
        <item x="1043"/>
        <item x="580"/>
        <item x="286"/>
        <item x="838"/>
        <item x="1010"/>
        <item x="1034"/>
        <item x="647"/>
        <item x="305"/>
        <item x="108"/>
        <item x="216"/>
        <item x="875"/>
        <item x="839"/>
        <item x="521"/>
        <item x="1098"/>
        <item x="756"/>
        <item x="306"/>
        <item x="48"/>
        <item x="151"/>
        <item x="572"/>
        <item x="190"/>
        <item x="726"/>
        <item x="640"/>
        <item x="1084"/>
        <item x="268"/>
        <item x="36"/>
        <item x="208"/>
        <item x="207"/>
        <item x="470"/>
        <item x="35"/>
        <item x="884"/>
        <item x="425"/>
        <item x="23"/>
        <item x="718"/>
        <item x="41"/>
        <item x="1111"/>
        <item x="554"/>
        <item x="1061"/>
        <item x="442"/>
        <item x="928"/>
        <item x="140"/>
        <item x="146"/>
        <item x="1073"/>
        <item x="592"/>
        <item x="510"/>
        <item x="662"/>
        <item x="605"/>
        <item x="994"/>
        <item x="634"/>
        <item x="122"/>
        <item x="346"/>
        <item x="142"/>
        <item x="209"/>
        <item x="326"/>
        <item x="468"/>
        <item x="954"/>
        <item x="539"/>
        <item x="334"/>
        <item x="625"/>
        <item x="517"/>
        <item x="689"/>
        <item x="804"/>
        <item x="74"/>
        <item x="42"/>
        <item x="853"/>
        <item x="827"/>
        <item x="217"/>
        <item x="355"/>
        <item x="986"/>
        <item x="308"/>
        <item x="400"/>
        <item x="516"/>
        <item x="319"/>
        <item x="373"/>
        <item x="638"/>
        <item x="777"/>
        <item x="683"/>
        <item x="153"/>
        <item x="162"/>
        <item x="690"/>
        <item x="452"/>
        <item x="46"/>
        <item x="367"/>
        <item x="1094"/>
        <item x="513"/>
        <item x="181"/>
        <item x="661"/>
        <item x="735"/>
        <item x="917"/>
        <item x="898"/>
        <item x="995"/>
        <item x="926"/>
        <item x="1104"/>
        <item x="234"/>
        <item x="252"/>
        <item x="171"/>
        <item x="1022"/>
        <item x="417"/>
        <item x="864"/>
        <item x="387"/>
        <item x="831"/>
        <item x="359"/>
        <item x="667"/>
        <item x="741"/>
        <item x="184"/>
        <item x="321"/>
        <item x="329"/>
        <item x="956"/>
        <item x="569"/>
        <item x="222"/>
        <item x="669"/>
        <item x="823"/>
        <item x="781"/>
        <item x="369"/>
        <item x="613"/>
        <item x="229"/>
        <item x="733"/>
        <item x="641"/>
        <item x="364"/>
        <item x="484"/>
        <item x="1038"/>
        <item x="128"/>
        <item x="285"/>
        <item x="436"/>
        <item x="107"/>
        <item x="656"/>
        <item x="643"/>
        <item x="996"/>
        <item x="916"/>
        <item x="83"/>
        <item x="283"/>
        <item x="944"/>
        <item x="1072"/>
        <item x="614"/>
        <item x="418"/>
        <item x="778"/>
        <item x="333"/>
        <item x="844"/>
        <item x="1000"/>
        <item x="953"/>
        <item x="186"/>
        <item x="244"/>
        <item x="549"/>
        <item x="538"/>
        <item x="376"/>
        <item x="389"/>
        <item x="1103"/>
        <item x="97"/>
        <item x="488"/>
        <item x="906"/>
        <item x="337"/>
        <item x="903"/>
        <item x="774"/>
        <item x="1012"/>
        <item x="645"/>
        <item x="24"/>
        <item x="180"/>
        <item x="150"/>
        <item x="684"/>
        <item x="567"/>
        <item x="444"/>
        <item x="58"/>
        <item x="9"/>
        <item x="213"/>
        <item x="414"/>
        <item x="221"/>
        <item x="674"/>
        <item x="89"/>
        <item x="245"/>
        <item x="1018"/>
        <item x="796"/>
        <item x="250"/>
        <item x="32"/>
        <item x="1031"/>
        <item x="287"/>
        <item x="292"/>
        <item x="477"/>
        <item x="1015"/>
        <item x="54"/>
        <item x="378"/>
        <item x="430"/>
        <item x="248"/>
        <item x="84"/>
        <item x="594"/>
        <item x="439"/>
        <item x="766"/>
        <item x="403"/>
        <item x="1005"/>
        <item x="793"/>
        <item x="456"/>
        <item x="665"/>
        <item x="428"/>
        <item x="679"/>
        <item x="942"/>
        <item x="499"/>
        <item x="565"/>
        <item x="255"/>
        <item x="825"/>
        <item x="969"/>
        <item x="328"/>
        <item x="240"/>
        <item x="385"/>
        <item x="386"/>
        <item x="746"/>
        <item x="82"/>
        <item x="759"/>
        <item x="812"/>
        <item x="172"/>
        <item x="347"/>
        <item x="14"/>
        <item x="109"/>
        <item x="787"/>
        <item x="940"/>
        <item x="349"/>
        <item x="86"/>
        <item x="12"/>
        <item x="192"/>
        <item x="394"/>
        <item x="552"/>
        <item x="830"/>
        <item x="235"/>
        <item x="1027"/>
        <item x="664"/>
        <item x="372"/>
        <item x="870"/>
        <item x="524"/>
        <item x="5"/>
        <item x="850"/>
        <item x="761"/>
        <item x="237"/>
        <item x="354"/>
        <item x="220"/>
        <item x="416"/>
        <item x="566"/>
        <item x="894"/>
        <item x="487"/>
        <item x="66"/>
        <item x="358"/>
        <item x="591"/>
        <item x="1085"/>
        <item x="338"/>
        <item x="65"/>
        <item x="371"/>
        <item x="855"/>
        <item x="295"/>
        <item x="941"/>
        <item x="529"/>
        <item x="835"/>
        <item x="1036"/>
        <item x="435"/>
        <item x="493"/>
        <item x="57"/>
        <item x="871"/>
        <item x="256"/>
        <item x="1052"/>
        <item x="249"/>
        <item x="284"/>
        <item x="39"/>
        <item x="202"/>
        <item x="948"/>
        <item x="762"/>
        <item x="801"/>
        <item x="997"/>
        <item x="393"/>
        <item x="1120"/>
        <item x="1113"/>
        <item x="673"/>
        <item x="22"/>
        <item x="63"/>
        <item x="98"/>
        <item x="96"/>
        <item x="984"/>
        <item x="749"/>
        <item x="409"/>
        <item x="438"/>
        <item x="17"/>
        <item x="392"/>
        <item x="851"/>
        <item x="1006"/>
        <item x="1019"/>
        <item x="6"/>
        <item x="174"/>
        <item x="138"/>
        <item x="712"/>
        <item x="197"/>
        <item x="722"/>
        <item x="803"/>
        <item x="974"/>
        <item x="466"/>
        <item x="682"/>
        <item x="547"/>
        <item x="143"/>
        <item x="908"/>
        <item x="11"/>
        <item x="637"/>
        <item x="88"/>
        <item x="481"/>
        <item x="405"/>
        <item x="163"/>
        <item x="828"/>
        <item x="687"/>
        <item x="204"/>
        <item x="185"/>
        <item x="95"/>
        <item x="60"/>
        <item x="490"/>
        <item x="341"/>
        <item x="719"/>
        <item x="955"/>
        <item x="919"/>
        <item x="7"/>
        <item x="767"/>
        <item x="688"/>
        <item x="905"/>
        <item x="120"/>
        <item x="606"/>
        <item x="69"/>
        <item x="808"/>
        <item x="550"/>
        <item x="478"/>
        <item x="282"/>
        <item x="441"/>
        <item x="503"/>
        <item x="225"/>
        <item x="421"/>
        <item x="887"/>
        <item x="509"/>
        <item x="895"/>
        <item x="541"/>
        <item x="395"/>
        <item x="619"/>
        <item x="627"/>
        <item x="1058"/>
        <item x="879"/>
        <item x="713"/>
        <item x="505"/>
        <item x="506"/>
        <item x="148"/>
        <item x="797"/>
        <item x="205"/>
        <item x="193"/>
        <item x="525"/>
        <item x="935"/>
        <item x="530"/>
        <item x="206"/>
        <item x="2"/>
        <item x="732"/>
        <item x="920"/>
        <item x="277"/>
        <item x="952"/>
        <item x="573"/>
        <item x="1047"/>
        <item x="1025"/>
        <item x="672"/>
        <item x="130"/>
        <item x="1048"/>
        <item x="832"/>
        <item x="78"/>
        <item x="408"/>
        <item x="0"/>
        <item x="711"/>
        <item x="899"/>
        <item x="848"/>
        <item x="814"/>
        <item x="210"/>
        <item x="1067"/>
        <item x="203"/>
        <item x="264"/>
        <item x="25"/>
        <item x="504"/>
        <item x="115"/>
        <item x="805"/>
        <item x="133"/>
        <item x="900"/>
        <item x="912"/>
        <item x="514"/>
        <item x="927"/>
        <item x="821"/>
        <item x="970"/>
        <item x="350"/>
        <item x="169"/>
        <item x="276"/>
        <item x="754"/>
        <item x="1078"/>
        <item x="1057"/>
        <item x="304"/>
        <item x="75"/>
        <item x="105"/>
        <item x="1004"/>
        <item x="533"/>
        <item x="112"/>
        <item x="191"/>
        <item x="461"/>
        <item x="650"/>
        <item x="791"/>
        <item x="866"/>
        <item x="519"/>
        <item x="921"/>
        <item x="19"/>
        <item x="497"/>
        <item x="55"/>
        <item x="300"/>
        <item x="325"/>
        <item x="617"/>
        <item x="1119"/>
        <item x="950"/>
        <item x="868"/>
        <item x="680"/>
        <item x="775"/>
        <item x="388"/>
        <item x="782"/>
        <item x="860"/>
        <item x="568"/>
        <item x="925"/>
        <item x="880"/>
        <item x="100"/>
        <item x="377"/>
        <item x="348"/>
        <item x="113"/>
        <item x="103"/>
        <item x="80"/>
        <item x="892"/>
        <item x="666"/>
        <item x="1068"/>
        <item x="694"/>
        <item x="187"/>
        <item x="703"/>
        <item x="570"/>
        <item x="968"/>
        <item x="121"/>
        <item x="59"/>
        <item x="737"/>
        <item x="710"/>
        <item x="810"/>
        <item x="344"/>
        <item x="455"/>
        <item x="502"/>
        <item x="745"/>
        <item x="451"/>
        <item x="274"/>
        <item x="261"/>
        <item x="1028"/>
        <item x="949"/>
        <item x="893"/>
        <item x="296"/>
        <item x="752"/>
        <item x="523"/>
        <item x="987"/>
        <item x="259"/>
        <item x="21"/>
        <item x="967"/>
        <item x="312"/>
        <item x="219"/>
        <item x="280"/>
        <item x="1096"/>
        <item x="175"/>
        <item x="965"/>
        <item x="562"/>
        <item x="272"/>
        <item x="43"/>
        <item x="931"/>
        <item x="646"/>
        <item x="794"/>
        <item x="946"/>
        <item x="607"/>
        <item x="564"/>
        <item x="316"/>
        <item x="154"/>
        <item x="869"/>
        <item x="125"/>
        <item x="1109"/>
        <item x="26"/>
        <item x="309"/>
        <item x="291"/>
        <item x="636"/>
        <item x="845"/>
        <item x="56"/>
        <item x="136"/>
        <item x="532"/>
        <item x="119"/>
        <item x="901"/>
        <item x="1014"/>
        <item x="29"/>
        <item x="773"/>
        <item x="780"/>
        <item x="724"/>
        <item x="520"/>
        <item x="1105"/>
        <item x="982"/>
        <item x="685"/>
        <item x="137"/>
        <item x="501"/>
        <item x="52"/>
        <item x="966"/>
        <item x="91"/>
        <item x="49"/>
        <item x="281"/>
        <item x="923"/>
        <item x="736"/>
        <item x="858"/>
        <item x="196"/>
        <item x="693"/>
        <item x="28"/>
        <item x="676"/>
        <item x="1007"/>
        <item x="600"/>
        <item x="1046"/>
        <item x="201"/>
        <item x="1042"/>
        <item x="531"/>
        <item x="816"/>
        <item x="1115"/>
        <item x="167"/>
        <item x="173"/>
        <item x="106"/>
        <item x="158"/>
        <item x="500"/>
        <item x="934"/>
        <item x="483"/>
        <item x="1071"/>
        <item x="214"/>
        <item x="698"/>
        <item x="419"/>
        <item x="708"/>
        <item x="798"/>
        <item x="922"/>
        <item x="314"/>
        <item x="165"/>
        <item x="71"/>
        <item x="1021"/>
        <item x="131"/>
        <item x="156"/>
        <item x="247"/>
        <item x="422"/>
        <item x="587"/>
        <item x="699"/>
        <item x="632"/>
        <item x="696"/>
        <item x="278"/>
        <item x="496"/>
        <item x="289"/>
        <item x="686"/>
        <item x="429"/>
        <item x="1041"/>
        <item x="540"/>
        <item x="161"/>
        <item x="1040"/>
        <item x="447"/>
        <item x="415"/>
        <item x="834"/>
        <item x="51"/>
        <item x="1011"/>
        <item x="397"/>
        <item x="200"/>
        <item x="1076"/>
        <item x="368"/>
        <item x="431"/>
        <item x="575"/>
        <item x="559"/>
        <item x="596"/>
        <item x="1097"/>
        <item x="583"/>
        <item x="178"/>
        <item x="813"/>
        <item x="1023"/>
        <item x="590"/>
        <item x="1070"/>
        <item x="743"/>
        <item x="704"/>
        <item x="599"/>
        <item x="601"/>
        <item x="757"/>
        <item x="476"/>
        <item x="182"/>
        <item x="655"/>
        <item x="1080"/>
        <item x="1116"/>
        <item x="786"/>
        <item x="872"/>
        <item x="236"/>
        <item x="384"/>
        <item x="865"/>
        <item x="374"/>
        <item x="979"/>
        <item x="99"/>
        <item x="139"/>
        <item x="728"/>
        <item x="989"/>
        <item x="598"/>
        <item x="1049"/>
        <item x="1066"/>
        <item x="653"/>
        <item x="939"/>
        <item x="1069"/>
        <item x="257"/>
        <item x="311"/>
        <item x="27"/>
        <item x="847"/>
        <item x="1063"/>
        <item x="53"/>
        <item x="544"/>
        <item x="492"/>
        <item x="152"/>
        <item x="915"/>
        <item x="463"/>
        <item x="303"/>
        <item x="512"/>
        <item x="320"/>
        <item x="332"/>
        <item x="453"/>
        <item x="215"/>
        <item x="64"/>
        <item x="141"/>
        <item x="413"/>
        <item x="936"/>
        <item x="730"/>
        <item x="93"/>
        <item x="985"/>
        <item x="555"/>
        <item x="127"/>
        <item x="433"/>
        <item x="765"/>
        <item x="271"/>
        <item x="401"/>
        <item x="579"/>
        <item x="1009"/>
        <item x="959"/>
        <item x="612"/>
        <item x="1059"/>
        <item x="13"/>
        <item x="707"/>
        <item x="445"/>
        <item x="1037"/>
        <item x="576"/>
        <item x="750"/>
        <item x="990"/>
        <item x="528"/>
        <item x="863"/>
        <item x="748"/>
        <item x="963"/>
        <item x="1033"/>
        <item x="543"/>
        <item x="1100"/>
        <item x="731"/>
        <item x="101"/>
        <item x="717"/>
        <item x="1020"/>
        <item x="973"/>
        <item x="747"/>
        <item x="854"/>
        <item x="457"/>
        <item x="697"/>
        <item x="290"/>
        <item x="8"/>
        <item x="73"/>
        <item x="615"/>
        <item x="610"/>
        <item x="262"/>
        <item x="343"/>
        <item x="44"/>
        <item x="560"/>
        <item x="574"/>
        <item x="361"/>
        <item x="144"/>
        <item x="1"/>
        <item x="561"/>
        <item x="339"/>
        <item x="526"/>
        <item x="1090"/>
        <item x="1008"/>
        <item x="790"/>
        <item x="1106"/>
        <item x="843"/>
        <item x="511"/>
        <item x="822"/>
        <item x="324"/>
        <item x="779"/>
        <item x="126"/>
        <item x="947"/>
        <item x="76"/>
        <item x="795"/>
        <item x="1002"/>
        <item x="92"/>
        <item x="768"/>
        <item x="658"/>
        <item x="1108"/>
        <item x="135"/>
        <item x="896"/>
        <item x="980"/>
        <item x="340"/>
        <item x="410"/>
        <item x="681"/>
        <item x="874"/>
        <item x="37"/>
        <item x="769"/>
        <item x="581"/>
        <item x="764"/>
        <item x="379"/>
        <item x="709"/>
        <item x="353"/>
        <item x="1099"/>
        <item x="522"/>
        <item x="1095"/>
        <item x="983"/>
        <item x="177"/>
        <item x="1088"/>
        <item x="1065"/>
        <item x="79"/>
        <item x="228"/>
        <item x="799"/>
        <item x="857"/>
        <item x="571"/>
        <item x="633"/>
        <item x="635"/>
        <item x="1086"/>
        <item x="1024"/>
        <item x="157"/>
        <item x="1039"/>
        <item x="168"/>
        <item x="624"/>
        <item x="495"/>
        <item x="110"/>
        <item x="841"/>
        <item x="563"/>
        <item x="918"/>
        <item x="1110"/>
        <item x="360"/>
        <item x="440"/>
        <item x="551"/>
        <item x="725"/>
        <item x="363"/>
        <item x="472"/>
        <item x="593"/>
        <item x="460"/>
        <item x="1075"/>
        <item x="411"/>
        <item x="279"/>
        <item x="195"/>
        <item x="402"/>
        <item x="449"/>
        <item x="751"/>
        <item x="1035"/>
        <item x="34"/>
        <item x="199"/>
        <item x="553"/>
        <item x="631"/>
        <item x="3"/>
        <item x="727"/>
        <item x="881"/>
        <item x="1082"/>
        <item x="315"/>
        <item x="111"/>
        <item x="104"/>
        <item x="155"/>
        <item x="508"/>
        <item x="1074"/>
        <item x="231"/>
        <item x="784"/>
        <item x="1118"/>
        <item x="345"/>
        <item x="357"/>
        <item x="16"/>
        <item x="1107"/>
        <item x="70"/>
        <item x="491"/>
        <item x="322"/>
        <item x="10"/>
        <item x="1016"/>
        <item x="1117"/>
        <item x="758"/>
        <item x="437"/>
        <item x="626"/>
        <item x="170"/>
        <item x="720"/>
        <item x="450"/>
        <item x="962"/>
        <item x="701"/>
        <item x="642"/>
        <item x="134"/>
        <item x="1050"/>
        <item x="72"/>
        <item x="218"/>
        <item x="258"/>
        <item x="61"/>
        <item x="223"/>
        <item x="330"/>
        <item x="660"/>
        <item x="1003"/>
        <item x="772"/>
        <item x="273"/>
        <item x="1013"/>
        <item x="945"/>
        <item x="1060"/>
        <item x="597"/>
        <item x="729"/>
        <item x="771"/>
        <item x="753"/>
        <item x="657"/>
        <item x="961"/>
        <item x="829"/>
        <item x="651"/>
        <item x="288"/>
        <item x="604"/>
        <item x="132"/>
        <item x="876"/>
        <item x="297"/>
        <item x="671"/>
        <item x="159"/>
        <item x="351"/>
        <item x="1062"/>
        <item x="692"/>
        <item x="226"/>
        <item x="861"/>
        <item x="663"/>
        <item x="1054"/>
        <item x="890"/>
        <item x="232"/>
        <item x="407"/>
        <item x="588"/>
        <item x="462"/>
        <item x="586"/>
        <item x="958"/>
        <item x="933"/>
        <item x="233"/>
        <item x="356"/>
        <item x="817"/>
        <item x="1089"/>
        <item x="1077"/>
        <item x="475"/>
        <item x="85"/>
        <item x="806"/>
        <item x="837"/>
        <item x="833"/>
        <item x="382"/>
        <item x="582"/>
        <item x="846"/>
        <item x="937"/>
        <item x="323"/>
        <item x="370"/>
        <item x="1087"/>
        <item x="557"/>
        <item x="427"/>
        <item x="1092"/>
        <item x="678"/>
        <item x="623"/>
        <item x="873"/>
        <item x="611"/>
        <item x="254"/>
        <item x="424"/>
        <item x="479"/>
        <item x="1053"/>
        <item x="432"/>
        <item x="241"/>
        <item x="988"/>
        <item x="534"/>
        <item x="584"/>
        <item x="327"/>
        <item x="878"/>
        <item x="589"/>
        <item x="999"/>
        <item x="960"/>
        <item x="706"/>
        <item x="381"/>
        <item x="976"/>
        <item x="535"/>
        <item x="90"/>
        <item x="331"/>
        <item x="971"/>
        <item x="910"/>
        <item x="670"/>
        <item x="763"/>
        <item x="1114"/>
        <item x="897"/>
        <item x="911"/>
        <item x="423"/>
        <item x="498"/>
        <item x="469"/>
        <item x="188"/>
        <item x="776"/>
        <item x="891"/>
        <item x="556"/>
        <item x="263"/>
        <item x="118"/>
        <item x="117"/>
        <item x="621"/>
        <item x="482"/>
        <item x="938"/>
        <item x="62"/>
        <item x="877"/>
        <item x="1051"/>
        <item x="902"/>
        <item x="102"/>
        <item x="124"/>
        <item x="160"/>
        <item x="620"/>
        <item x="972"/>
        <item x="239"/>
        <item x="426"/>
        <item x="616"/>
        <item x="1044"/>
        <item x="649"/>
        <item x="270"/>
        <item x="800"/>
        <item x="342"/>
        <item x="536"/>
        <item x="715"/>
        <item x="313"/>
        <item x="412"/>
        <item x="1081"/>
        <item x="458"/>
        <item x="30"/>
        <item x="739"/>
        <item x="558"/>
        <item x="836"/>
        <item x="977"/>
        <item x="867"/>
        <item x="489"/>
        <item x="602"/>
        <item x="406"/>
        <item x="675"/>
        <item x="302"/>
        <item x="826"/>
        <item x="1093"/>
        <item x="998"/>
        <item x="992"/>
        <item x="849"/>
        <item x="603"/>
        <item x="882"/>
        <item x="789"/>
        <item x="691"/>
        <item x="420"/>
        <item x="1091"/>
        <item x="467"/>
        <item x="179"/>
        <item x="465"/>
        <item x="352"/>
        <item x="818"/>
        <item x="1029"/>
        <item x="176"/>
        <item x="390"/>
        <item x="230"/>
        <item x="434"/>
        <item x="883"/>
        <item x="194"/>
        <item x="993"/>
        <item x="909"/>
        <item x="809"/>
        <item x="652"/>
        <item x="515"/>
        <item x="50"/>
        <item x="856"/>
        <item x="87"/>
        <item x="705"/>
        <item x="33"/>
        <item x="537"/>
        <item x="744"/>
        <item x="815"/>
        <item x="251"/>
        <item x="116"/>
        <item x="734"/>
        <item x="398"/>
        <item x="964"/>
        <item x="930"/>
        <item x="932"/>
        <item x="702"/>
        <item x="924"/>
        <item x="1032"/>
        <item x="585"/>
        <item x="15"/>
        <item x="40"/>
        <item x="951"/>
        <item x="494"/>
        <item x="212"/>
        <item x="760"/>
        <item x="929"/>
        <item x="38"/>
        <item x="459"/>
        <item x="224"/>
        <item x="740"/>
        <item x="824"/>
        <item x="618"/>
        <item x="914"/>
        <item x="659"/>
        <item x="365"/>
        <item x="518"/>
        <item x="1083"/>
        <item x="527"/>
        <item x="227"/>
        <item x="31"/>
        <item x="807"/>
        <item x="507"/>
        <item x="129"/>
        <item x="628"/>
        <item x="859"/>
        <item x="246"/>
        <item x="595"/>
        <item x="4"/>
        <item x="336"/>
        <item x="335"/>
        <item x="145"/>
        <item x="1001"/>
        <item x="644"/>
        <item x="375"/>
        <item x="886"/>
        <item x="243"/>
        <item x="1079"/>
        <item x="294"/>
        <item x="67"/>
        <item x="862"/>
        <item x="785"/>
        <item x="267"/>
        <item x="480"/>
        <item x="18"/>
        <item x="888"/>
        <item x="1030"/>
        <item x="471"/>
        <item x="399"/>
        <item x="885"/>
        <item x="293"/>
        <item x="904"/>
        <item x="852"/>
        <item x="149"/>
        <item x="546"/>
        <item x="648"/>
        <item x="380"/>
        <item x="275"/>
        <item x="577"/>
        <item x="383"/>
        <item x="788"/>
        <item x="622"/>
        <item x="47"/>
        <item x="548"/>
        <item x="94"/>
        <item x="1045"/>
        <item x="362"/>
        <item x="242"/>
        <item x="842"/>
        <item x="545"/>
        <item x="654"/>
        <item x="446"/>
        <item x="578"/>
        <item x="629"/>
        <item x="318"/>
        <item x="630"/>
        <item x="396"/>
        <item x="738"/>
        <item x="783"/>
        <item x="147"/>
        <item x="260"/>
        <item x="391"/>
        <item x="639"/>
        <item x="485"/>
        <item x="310"/>
        <item x="307"/>
        <item x="542"/>
        <item x="474"/>
        <item x="1102"/>
        <item x="189"/>
        <item x="1056"/>
        <item x="301"/>
        <item x="716"/>
        <item x="695"/>
        <item x="792"/>
        <item x="1064"/>
        <item x="473"/>
        <item x="714"/>
        <item t="default"/>
      </items>
    </pivotField>
    <pivotField showAll="0">
      <items count="4">
        <item x="1"/>
        <item h="1" x="0"/>
        <item h="1" x="2"/>
        <item t="default"/>
      </items>
    </pivotField>
    <pivotField showAll="0">
      <items count="5">
        <item h="1" x="0"/>
        <item h="1" x="2"/>
        <item h="1" x="1"/>
        <item x="3"/>
        <item t="default"/>
      </items>
    </pivotField>
    <pivotField showAll="0">
      <items count="4">
        <item x="1"/>
        <item h="1" x="2"/>
        <item x="0"/>
        <item t="default"/>
      </items>
    </pivotField>
    <pivotField showAll="0"/>
    <pivotField showAll="0"/>
    <pivotField showAll="0"/>
    <pivotField axis="axisRow" showAll="0">
      <items count="21">
        <item x="5"/>
        <item x="7"/>
        <item x="6"/>
        <item x="10"/>
        <item x="14"/>
        <item x="8"/>
        <item x="15"/>
        <item x="9"/>
        <item x="17"/>
        <item x="16"/>
        <item x="18"/>
        <item x="1"/>
        <item x="4"/>
        <item x="2"/>
        <item x="3"/>
        <item x="12"/>
        <item x="11"/>
        <item x="13"/>
        <item x="19"/>
        <item x="0"/>
        <item t="default"/>
      </items>
    </pivotField>
    <pivotField axis="axisRow" showAll="0">
      <items count="15">
        <item x="7"/>
        <item x="9"/>
        <item x="10"/>
        <item x="0"/>
        <item x="13"/>
        <item x="5"/>
        <item x="4"/>
        <item x="2"/>
        <item h="1" x="8"/>
        <item h="1" x="12"/>
        <item h="1" x="6"/>
        <item h="1" x="11"/>
        <item x="3"/>
        <item h="1" x="1"/>
        <item t="default"/>
      </items>
    </pivotField>
    <pivotField showAll="0"/>
    <pivotField axis="axisCol" showAll="0">
      <items count="6">
        <item x="1"/>
        <item x="3"/>
        <item x="0"/>
        <item x="2"/>
        <item h="1" x="4"/>
        <item t="default"/>
      </items>
    </pivotField>
    <pivotField showAll="0">
      <items count="13">
        <item h="1" x="0"/>
        <item x="5"/>
        <item x="6"/>
        <item h="1" x="1"/>
        <item h="1" x="3"/>
        <item h="1" x="7"/>
        <item x="4"/>
        <item h="1" x="9"/>
        <item x="2"/>
        <item h="1" x="8"/>
        <item x="10"/>
        <item x="11"/>
        <item t="default"/>
      </items>
    </pivotField>
    <pivotField showAll="0"/>
  </pivotFields>
  <rowFields count="2">
    <field x="17"/>
    <field x="16"/>
  </rowFields>
  <rowItems count="11">
    <i>
      <x v="1"/>
    </i>
    <i r="1">
      <x v="16"/>
    </i>
    <i>
      <x v="3"/>
    </i>
    <i r="1">
      <x/>
    </i>
    <i>
      <x v="4"/>
    </i>
    <i r="1">
      <x v="18"/>
    </i>
    <i>
      <x v="6"/>
    </i>
    <i r="1">
      <x v="2"/>
    </i>
    <i>
      <x v="7"/>
    </i>
    <i r="1">
      <x v="17"/>
    </i>
    <i t="grand">
      <x/>
    </i>
  </rowItems>
  <colFields count="1">
    <field x="19"/>
  </colFields>
  <colItems count="5">
    <i>
      <x/>
    </i>
    <i>
      <x v="1"/>
    </i>
    <i>
      <x v="2"/>
    </i>
    <i>
      <x v="3"/>
    </i>
    <i t="grand">
      <x/>
    </i>
  </colItems>
  <dataFields count="1">
    <dataField name="Sum of Profit/Loss" fld="9" baseField="0" baseItem="0"/>
  </dataFields>
  <chartFormats count="12">
    <chartFormat chart="8" format="0" series="1">
      <pivotArea type="data" outline="0" fieldPosition="0">
        <references count="2">
          <reference field="4294967294" count="1" selected="0">
            <x v="0"/>
          </reference>
          <reference field="19" count="1" selected="0">
            <x v="0"/>
          </reference>
        </references>
      </pivotArea>
    </chartFormat>
    <chartFormat chart="8" format="1" series="1">
      <pivotArea type="data" outline="0" fieldPosition="0">
        <references count="2">
          <reference field="4294967294" count="1" selected="0">
            <x v="0"/>
          </reference>
          <reference field="19" count="1" selected="0">
            <x v="1"/>
          </reference>
        </references>
      </pivotArea>
    </chartFormat>
    <chartFormat chart="8" format="2" series="1">
      <pivotArea type="data" outline="0" fieldPosition="0">
        <references count="2">
          <reference field="4294967294" count="1" selected="0">
            <x v="0"/>
          </reference>
          <reference field="19" count="1" selected="0">
            <x v="2"/>
          </reference>
        </references>
      </pivotArea>
    </chartFormat>
    <chartFormat chart="8" format="3" series="1">
      <pivotArea type="data" outline="0" fieldPosition="0">
        <references count="2">
          <reference field="4294967294" count="1" selected="0">
            <x v="0"/>
          </reference>
          <reference field="19" count="1" selected="0">
            <x v="3"/>
          </reference>
        </references>
      </pivotArea>
    </chartFormat>
    <chartFormat chart="11" format="8" series="1">
      <pivotArea type="data" outline="0" fieldPosition="0">
        <references count="2">
          <reference field="4294967294" count="1" selected="0">
            <x v="0"/>
          </reference>
          <reference field="19" count="1" selected="0">
            <x v="0"/>
          </reference>
        </references>
      </pivotArea>
    </chartFormat>
    <chartFormat chart="11" format="9" series="1">
      <pivotArea type="data" outline="0" fieldPosition="0">
        <references count="2">
          <reference field="4294967294" count="1" selected="0">
            <x v="0"/>
          </reference>
          <reference field="19" count="1" selected="0">
            <x v="1"/>
          </reference>
        </references>
      </pivotArea>
    </chartFormat>
    <chartFormat chart="11" format="10" series="1">
      <pivotArea type="data" outline="0" fieldPosition="0">
        <references count="2">
          <reference field="4294967294" count="1" selected="0">
            <x v="0"/>
          </reference>
          <reference field="19" count="1" selected="0">
            <x v="2"/>
          </reference>
        </references>
      </pivotArea>
    </chartFormat>
    <chartFormat chart="11" format="11" series="1">
      <pivotArea type="data" outline="0" fieldPosition="0">
        <references count="2">
          <reference field="4294967294" count="1" selected="0">
            <x v="0"/>
          </reference>
          <reference field="19" count="1" selected="0">
            <x v="3"/>
          </reference>
        </references>
      </pivotArea>
    </chartFormat>
    <chartFormat chart="11" format="12" series="1">
      <pivotArea type="data" outline="0" fieldPosition="0">
        <references count="2">
          <reference field="4294967294" count="1" selected="0">
            <x v="0"/>
          </reference>
          <reference field="19" count="1" selected="0">
            <x v="4"/>
          </reference>
        </references>
      </pivotArea>
    </chartFormat>
    <chartFormat chart="8" format="4" series="1">
      <pivotArea type="data" outline="0" fieldPosition="0">
        <references count="2">
          <reference field="4294967294" count="1" selected="0">
            <x v="0"/>
          </reference>
          <reference field="19" count="1" selected="0">
            <x v="4"/>
          </reference>
        </references>
      </pivotArea>
    </chartFormat>
    <chartFormat chart="11" format="1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A6553D-203F-4FBE-99DB-60C5F71583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8:E23" firstHeaderRow="0" firstDataRow="1" firstDataCol="1"/>
  <pivotFields count="22">
    <pivotField numFmtId="14" showAll="0"/>
    <pivotField showAll="0">
      <items count="7">
        <item x="1"/>
        <item h="1" x="2"/>
        <item h="1" x="4"/>
        <item h="1" x="3"/>
        <item h="1" x="0"/>
        <item h="1" x="5"/>
        <item t="default"/>
      </items>
    </pivotField>
    <pivotField showAll="0"/>
    <pivotField showAll="0"/>
    <pivotField dataField="1" showAll="0">
      <items count="486">
        <item x="451"/>
        <item x="273"/>
        <item x="442"/>
        <item x="79"/>
        <item x="378"/>
        <item x="293"/>
        <item x="474"/>
        <item x="152"/>
        <item x="475"/>
        <item x="141"/>
        <item x="45"/>
        <item x="253"/>
        <item x="121"/>
        <item x="371"/>
        <item x="188"/>
        <item x="165"/>
        <item x="422"/>
        <item x="424"/>
        <item x="332"/>
        <item x="433"/>
        <item x="286"/>
        <item x="220"/>
        <item x="484"/>
        <item x="106"/>
        <item x="356"/>
        <item x="75"/>
        <item x="112"/>
        <item x="176"/>
        <item x="414"/>
        <item x="179"/>
        <item x="189"/>
        <item x="214"/>
        <item x="355"/>
        <item x="185"/>
        <item x="456"/>
        <item x="462"/>
        <item x="323"/>
        <item x="67"/>
        <item x="464"/>
        <item x="321"/>
        <item x="136"/>
        <item x="282"/>
        <item x="65"/>
        <item x="238"/>
        <item x="230"/>
        <item x="3"/>
        <item x="476"/>
        <item x="103"/>
        <item x="47"/>
        <item x="407"/>
        <item x="84"/>
        <item x="337"/>
        <item x="264"/>
        <item x="71"/>
        <item x="60"/>
        <item x="406"/>
        <item x="334"/>
        <item x="252"/>
        <item x="22"/>
        <item x="413"/>
        <item x="41"/>
        <item x="299"/>
        <item x="331"/>
        <item x="172"/>
        <item x="365"/>
        <item x="236"/>
        <item x="395"/>
        <item x="166"/>
        <item x="268"/>
        <item x="221"/>
        <item x="120"/>
        <item x="137"/>
        <item x="272"/>
        <item x="317"/>
        <item x="211"/>
        <item x="19"/>
        <item x="127"/>
        <item x="461"/>
        <item x="418"/>
        <item x="73"/>
        <item x="42"/>
        <item x="399"/>
        <item x="193"/>
        <item x="298"/>
        <item x="168"/>
        <item x="376"/>
        <item x="244"/>
        <item x="303"/>
        <item x="394"/>
        <item x="278"/>
        <item x="419"/>
        <item x="20"/>
        <item x="257"/>
        <item x="107"/>
        <item x="192"/>
        <item x="367"/>
        <item x="89"/>
        <item x="470"/>
        <item x="276"/>
        <item x="361"/>
        <item x="226"/>
        <item x="291"/>
        <item x="313"/>
        <item x="124"/>
        <item x="285"/>
        <item x="412"/>
        <item x="143"/>
        <item x="384"/>
        <item x="274"/>
        <item x="190"/>
        <item x="198"/>
        <item x="315"/>
        <item x="344"/>
        <item x="237"/>
        <item x="477"/>
        <item x="301"/>
        <item x="169"/>
        <item x="36"/>
        <item x="440"/>
        <item x="184"/>
        <item x="287"/>
        <item x="373"/>
        <item x="289"/>
        <item x="35"/>
        <item x="392"/>
        <item x="229"/>
        <item x="425"/>
        <item x="116"/>
        <item x="284"/>
        <item x="115"/>
        <item x="64"/>
        <item x="338"/>
        <item x="213"/>
        <item x="377"/>
        <item x="62"/>
        <item x="98"/>
        <item x="135"/>
        <item x="180"/>
        <item x="471"/>
        <item x="467"/>
        <item x="466"/>
        <item x="101"/>
        <item x="53"/>
        <item x="435"/>
        <item x="122"/>
        <item x="382"/>
        <item x="58"/>
        <item x="6"/>
        <item x="149"/>
        <item x="310"/>
        <item x="197"/>
        <item x="88"/>
        <item x="347"/>
        <item x="186"/>
        <item x="151"/>
        <item x="398"/>
        <item x="12"/>
        <item x="249"/>
        <item x="387"/>
        <item x="54"/>
        <item x="294"/>
        <item x="216"/>
        <item x="82"/>
        <item x="7"/>
        <item x="437"/>
        <item x="231"/>
        <item x="449"/>
        <item x="410"/>
        <item x="280"/>
        <item x="345"/>
        <item x="222"/>
        <item x="8"/>
        <item x="72"/>
        <item x="263"/>
        <item x="201"/>
        <item x="261"/>
        <item x="80"/>
        <item x="482"/>
        <item x="157"/>
        <item x="30"/>
        <item x="358"/>
        <item x="266"/>
        <item x="85"/>
        <item x="139"/>
        <item x="1"/>
        <item x="183"/>
        <item x="208"/>
        <item x="363"/>
        <item x="145"/>
        <item x="2"/>
        <item x="5"/>
        <item x="326"/>
        <item x="256"/>
        <item x="196"/>
        <item x="381"/>
        <item x="341"/>
        <item x="357"/>
        <item x="0"/>
        <item x="279"/>
        <item x="453"/>
        <item x="325"/>
        <item x="270"/>
        <item x="441"/>
        <item x="125"/>
        <item x="312"/>
        <item x="460"/>
        <item x="322"/>
        <item x="447"/>
        <item x="242"/>
        <item x="91"/>
        <item x="219"/>
        <item x="156"/>
        <item x="450"/>
        <item x="333"/>
        <item x="459"/>
        <item x="465"/>
        <item x="21"/>
        <item x="97"/>
        <item x="95"/>
        <item x="104"/>
        <item x="281"/>
        <item x="454"/>
        <item x="320"/>
        <item x="16"/>
        <item x="160"/>
        <item x="359"/>
        <item x="159"/>
        <item x="134"/>
        <item x="55"/>
        <item x="206"/>
        <item x="411"/>
        <item x="318"/>
        <item x="375"/>
        <item x="173"/>
        <item x="37"/>
        <item x="383"/>
        <item x="390"/>
        <item x="288"/>
        <item x="111"/>
        <item x="182"/>
        <item x="167"/>
        <item x="205"/>
        <item x="94"/>
        <item x="245"/>
        <item x="119"/>
        <item x="49"/>
        <item x="339"/>
        <item x="426"/>
        <item x="86"/>
        <item x="243"/>
        <item x="319"/>
        <item x="33"/>
        <item x="417"/>
        <item x="118"/>
        <item x="368"/>
        <item x="161"/>
        <item x="483"/>
        <item x="68"/>
        <item x="81"/>
        <item x="77"/>
        <item x="204"/>
        <item x="241"/>
        <item x="481"/>
        <item x="218"/>
        <item x="349"/>
        <item x="362"/>
        <item x="439"/>
        <item x="314"/>
        <item x="114"/>
        <item x="354"/>
        <item x="306"/>
        <item x="370"/>
        <item x="457"/>
        <item x="401"/>
        <item x="472"/>
        <item x="258"/>
        <item x="148"/>
        <item x="385"/>
        <item x="155"/>
        <item x="351"/>
        <item x="352"/>
        <item x="96"/>
        <item x="29"/>
        <item x="448"/>
        <item x="479"/>
        <item x="468"/>
        <item x="473"/>
        <item x="108"/>
        <item x="14"/>
        <item x="429"/>
        <item x="40"/>
        <item x="297"/>
        <item x="48"/>
        <item x="408"/>
        <item x="343"/>
        <item x="28"/>
        <item x="23"/>
        <item x="163"/>
        <item x="76"/>
        <item x="415"/>
        <item x="308"/>
        <item x="458"/>
        <item x="38"/>
        <item x="105"/>
        <item x="346"/>
        <item x="200"/>
        <item x="187"/>
        <item x="311"/>
        <item x="432"/>
        <item x="181"/>
        <item x="153"/>
        <item x="330"/>
        <item x="24"/>
        <item x="400"/>
        <item x="350"/>
        <item x="113"/>
        <item x="309"/>
        <item x="130"/>
        <item x="32"/>
        <item x="174"/>
        <item x="150"/>
        <item x="324"/>
        <item x="364"/>
        <item x="203"/>
        <item x="34"/>
        <item x="177"/>
        <item x="31"/>
        <item x="50"/>
        <item x="404"/>
        <item x="305"/>
        <item x="353"/>
        <item x="178"/>
        <item x="74"/>
        <item x="128"/>
        <item x="396"/>
        <item x="403"/>
        <item x="110"/>
        <item x="171"/>
        <item x="307"/>
        <item x="386"/>
        <item x="379"/>
        <item x="109"/>
        <item x="146"/>
        <item x="4"/>
        <item x="316"/>
        <item x="18"/>
        <item x="162"/>
        <item x="254"/>
        <item x="271"/>
        <item x="283"/>
        <item x="140"/>
        <item x="423"/>
        <item x="436"/>
        <item x="15"/>
        <item x="210"/>
        <item x="296"/>
        <item x="69"/>
        <item x="342"/>
        <item x="99"/>
        <item x="9"/>
        <item x="164"/>
        <item x="102"/>
        <item x="78"/>
        <item x="443"/>
        <item x="431"/>
        <item x="212"/>
        <item x="13"/>
        <item x="250"/>
        <item x="66"/>
        <item x="444"/>
        <item x="295"/>
        <item x="59"/>
        <item x="290"/>
        <item x="11"/>
        <item x="131"/>
        <item x="328"/>
        <item x="348"/>
        <item x="427"/>
        <item x="194"/>
        <item x="235"/>
        <item x="227"/>
        <item x="224"/>
        <item x="61"/>
        <item x="17"/>
        <item x="199"/>
        <item x="275"/>
        <item x="409"/>
        <item x="223"/>
        <item x="240"/>
        <item x="26"/>
        <item x="455"/>
        <item x="209"/>
        <item x="27"/>
        <item x="234"/>
        <item x="260"/>
        <item x="195"/>
        <item x="239"/>
        <item x="144"/>
        <item x="142"/>
        <item x="374"/>
        <item x="380"/>
        <item x="233"/>
        <item x="43"/>
        <item x="267"/>
        <item x="388"/>
        <item x="277"/>
        <item x="446"/>
        <item x="445"/>
        <item x="327"/>
        <item x="191"/>
        <item x="251"/>
        <item x="46"/>
        <item x="63"/>
        <item x="93"/>
        <item x="123"/>
        <item x="25"/>
        <item x="92"/>
        <item x="248"/>
        <item x="57"/>
        <item x="372"/>
        <item x="126"/>
        <item x="56"/>
        <item x="132"/>
        <item x="232"/>
        <item x="117"/>
        <item x="217"/>
        <item x="389"/>
        <item x="39"/>
        <item x="438"/>
        <item x="202"/>
        <item x="265"/>
        <item x="360"/>
        <item x="304"/>
        <item x="480"/>
        <item x="430"/>
        <item x="463"/>
        <item x="416"/>
        <item x="133"/>
        <item x="207"/>
        <item x="52"/>
        <item x="393"/>
        <item x="90"/>
        <item x="225"/>
        <item x="246"/>
        <item x="300"/>
        <item x="434"/>
        <item x="175"/>
        <item x="420"/>
        <item x="340"/>
        <item x="478"/>
        <item x="397"/>
        <item x="259"/>
        <item x="83"/>
        <item x="452"/>
        <item x="428"/>
        <item x="366"/>
        <item x="51"/>
        <item x="302"/>
        <item x="154"/>
        <item x="158"/>
        <item x="100"/>
        <item x="336"/>
        <item x="391"/>
        <item x="170"/>
        <item x="405"/>
        <item x="421"/>
        <item x="292"/>
        <item x="269"/>
        <item x="329"/>
        <item x="262"/>
        <item x="255"/>
        <item x="70"/>
        <item x="129"/>
        <item x="147"/>
        <item x="215"/>
        <item x="138"/>
        <item x="469"/>
        <item x="10"/>
        <item x="402"/>
        <item x="87"/>
        <item x="228"/>
        <item x="247"/>
        <item x="335"/>
        <item x="44"/>
        <item x="369"/>
        <item t="default"/>
      </items>
    </pivotField>
    <pivotField showAll="0"/>
    <pivotField dataField="1" showAll="0">
      <items count="1304">
        <item x="885"/>
        <item x="1112"/>
        <item x="778"/>
        <item x="1080"/>
        <item x="905"/>
        <item x="126"/>
        <item x="245"/>
        <item x="753"/>
        <item x="347"/>
        <item x="1177"/>
        <item x="822"/>
        <item x="1222"/>
        <item x="904"/>
        <item x="1217"/>
        <item x="260"/>
        <item x="482"/>
        <item x="1143"/>
        <item x="1076"/>
        <item x="805"/>
        <item x="202"/>
        <item x="46"/>
        <item x="429"/>
        <item x="83"/>
        <item x="314"/>
        <item x="843"/>
        <item x="1122"/>
        <item x="588"/>
        <item x="1063"/>
        <item x="1276"/>
        <item x="475"/>
        <item x="69"/>
        <item x="1134"/>
        <item x="716"/>
        <item x="1056"/>
        <item x="1109"/>
        <item x="275"/>
        <item x="169"/>
        <item x="574"/>
        <item x="491"/>
        <item x="217"/>
        <item x="384"/>
        <item x="1106"/>
        <item x="335"/>
        <item x="278"/>
        <item x="648"/>
        <item x="647"/>
        <item x="605"/>
        <item x="313"/>
        <item x="925"/>
        <item x="897"/>
        <item x="171"/>
        <item x="1023"/>
        <item x="409"/>
        <item x="1214"/>
        <item x="1040"/>
        <item x="1141"/>
        <item x="1278"/>
        <item x="719"/>
        <item x="188"/>
        <item x="1002"/>
        <item x="1144"/>
        <item x="815"/>
        <item x="780"/>
        <item x="990"/>
        <item x="20"/>
        <item x="117"/>
        <item x="1162"/>
        <item x="1292"/>
        <item x="79"/>
        <item x="469"/>
        <item x="731"/>
        <item x="513"/>
        <item x="1200"/>
        <item x="613"/>
        <item x="296"/>
        <item x="922"/>
        <item x="274"/>
        <item x="1264"/>
        <item x="1190"/>
        <item x="846"/>
        <item x="320"/>
        <item x="111"/>
        <item x="222"/>
        <item x="1153"/>
        <item x="1193"/>
        <item x="924"/>
        <item x="1295"/>
        <item x="692"/>
        <item x="548"/>
        <item x="1180"/>
        <item x="823"/>
        <item x="321"/>
        <item x="49"/>
        <item x="156"/>
        <item x="606"/>
        <item x="1273"/>
        <item x="194"/>
        <item x="723"/>
        <item x="783"/>
        <item x="683"/>
        <item x="206"/>
        <item x="416"/>
        <item x="970"/>
        <item x="37"/>
        <item x="212"/>
        <item x="576"/>
        <item x="36"/>
        <item x="1272"/>
        <item x="450"/>
        <item x="213"/>
        <item x="174"/>
        <item x="774"/>
        <item x="906"/>
        <item x="682"/>
        <item x="832"/>
        <item x="1293"/>
        <item x="271"/>
        <item x="1223"/>
        <item x="1016"/>
        <item x="757"/>
        <item x="1251"/>
        <item x="1036"/>
        <item x="1012"/>
        <item x="277"/>
        <item x="150"/>
        <item x="1239"/>
        <item x="851"/>
        <item x="626"/>
        <item x="537"/>
        <item x="468"/>
        <item x="711"/>
        <item x="642"/>
        <item x="496"/>
        <item x="144"/>
        <item x="676"/>
        <item x="1136"/>
        <item x="364"/>
        <item x="151"/>
        <item x="215"/>
        <item x="23"/>
        <item x="620"/>
        <item x="584"/>
        <item x="42"/>
        <item x="1075"/>
        <item x="1017"/>
        <item x="354"/>
        <item x="664"/>
        <item x="544"/>
        <item x="1171"/>
        <item x="888"/>
        <item x="634"/>
        <item x="129"/>
        <item x="943"/>
        <item x="912"/>
        <item x="223"/>
        <item x="373"/>
        <item x="1115"/>
        <item x="799"/>
        <item x="1160"/>
        <item x="425"/>
        <item x="88"/>
        <item x="337"/>
        <item x="395"/>
        <item x="125"/>
        <item x="803"/>
        <item x="963"/>
        <item x="853"/>
        <item x="146"/>
        <item x="737"/>
        <item x="344"/>
        <item x="158"/>
        <item x="167"/>
        <item x="323"/>
        <item x="480"/>
        <item x="1089"/>
        <item x="1049"/>
        <item x="567"/>
        <item x="1266"/>
        <item x="680"/>
        <item x="586"/>
        <item x="540"/>
        <item x="186"/>
        <item x="710"/>
        <item x="1026"/>
        <item x="744"/>
        <item x="1003"/>
        <item x="1126"/>
        <item x="76"/>
        <item x="1147"/>
        <item x="43"/>
        <item x="1280"/>
        <item x="1176"/>
        <item x="240"/>
        <item x="259"/>
        <item x="176"/>
        <item x="1170"/>
        <item x="442"/>
        <item x="958"/>
        <item x="455"/>
        <item x="916"/>
        <item x="377"/>
        <item x="804"/>
        <item x="386"/>
        <item x="1020"/>
        <item x="1078"/>
        <item x="602"/>
        <item x="228"/>
        <item x="745"/>
        <item x="720"/>
        <item x="47"/>
        <item x="908"/>
        <item x="718"/>
        <item x="385"/>
        <item x="858"/>
        <item x="189"/>
        <item x="389"/>
        <item x="637"/>
        <item x="339"/>
        <item x="235"/>
        <item x="793"/>
        <item x="791"/>
        <item x="684"/>
        <item x="1271"/>
        <item x="382"/>
        <item x="511"/>
        <item x="935"/>
        <item x="1195"/>
        <item x="214"/>
        <item x="295"/>
        <item x="461"/>
        <item x="110"/>
        <item x="703"/>
        <item x="714"/>
        <item x="686"/>
        <item x="1127"/>
        <item x="85"/>
        <item x="645"/>
        <item x="292"/>
        <item x="411"/>
        <item x="1237"/>
        <item x="871"/>
        <item x="707"/>
        <item x="443"/>
        <item x="133"/>
        <item x="854"/>
        <item x="352"/>
        <item x="541"/>
        <item x="933"/>
        <item x="979"/>
        <item x="1152"/>
        <item x="1074"/>
        <item x="959"/>
        <item x="348"/>
        <item x="856"/>
        <item x="566"/>
        <item x="353"/>
        <item x="839"/>
        <item x="413"/>
        <item x="1279"/>
        <item x="100"/>
        <item x="653"/>
        <item x="516"/>
        <item x="867"/>
        <item x="1015"/>
        <item x="845"/>
        <item x="1133"/>
        <item x="1010"/>
        <item x="1151"/>
        <item x="191"/>
        <item x="1155"/>
        <item x="689"/>
        <item x="580"/>
        <item x="1070"/>
        <item x="24"/>
        <item x="399"/>
        <item x="185"/>
        <item x="155"/>
        <item x="738"/>
        <item x="418"/>
        <item x="600"/>
        <item x="388"/>
        <item x="956"/>
        <item x="59"/>
        <item x="9"/>
        <item x="219"/>
        <item x="439"/>
        <item x="227"/>
        <item x="727"/>
        <item x="1226"/>
        <item x="252"/>
        <item x="1064"/>
        <item x="1163"/>
        <item x="879"/>
        <item x="257"/>
        <item x="33"/>
        <item x="1117"/>
        <item x="470"/>
        <item x="503"/>
        <item x="1158"/>
        <item x="999"/>
        <item x="1105"/>
        <item x="251"/>
        <item x="401"/>
        <item x="255"/>
        <item x="628"/>
        <item x="465"/>
        <item x="836"/>
        <item x="332"/>
        <item x="428"/>
        <item x="1142"/>
        <item x="1186"/>
        <item x="1119"/>
        <item x="484"/>
        <item x="1048"/>
        <item x="453"/>
        <item x="733"/>
        <item x="1061"/>
        <item x="825"/>
        <item x="598"/>
        <item x="263"/>
        <item x="130"/>
        <item x="910"/>
        <item x="1097"/>
        <item x="346"/>
        <item x="247"/>
        <item x="408"/>
        <item x="1249"/>
        <item x="410"/>
        <item x="812"/>
        <item x="84"/>
        <item x="1262"/>
        <item x="827"/>
        <item x="1284"/>
        <item x="73"/>
        <item x="800"/>
        <item x="982"/>
        <item x="14"/>
        <item x="830"/>
        <item x="865"/>
        <item x="1059"/>
        <item x="367"/>
        <item x="89"/>
        <item x="1009"/>
        <item x="12"/>
        <item x="196"/>
        <item x="92"/>
        <item x="926"/>
        <item x="1037"/>
        <item x="915"/>
        <item x="463"/>
        <item x="1182"/>
        <item x="713"/>
        <item x="1079"/>
        <item x="1146"/>
        <item x="1161"/>
        <item x="552"/>
        <item x="297"/>
        <item x="5"/>
        <item x="305"/>
        <item x="1242"/>
        <item x="365"/>
        <item x="244"/>
        <item x="372"/>
        <item x="112"/>
        <item x="226"/>
        <item x="55"/>
        <item x="441"/>
        <item x="931"/>
        <item x="996"/>
        <item x="899"/>
        <item x="390"/>
        <item x="67"/>
        <item x="86"/>
        <item x="625"/>
        <item x="957"/>
        <item x="866"/>
        <item x="392"/>
        <item x="946"/>
        <item x="393"/>
        <item x="309"/>
        <item x="1060"/>
        <item x="876"/>
        <item x="557"/>
        <item x="1091"/>
        <item x="715"/>
        <item x="1192"/>
        <item x="460"/>
        <item x="521"/>
        <item x="58"/>
        <item x="527"/>
        <item x="966"/>
        <item x="264"/>
        <item x="773"/>
        <item x="1210"/>
        <item x="256"/>
        <item x="1243"/>
        <item x="293"/>
        <item x="40"/>
        <item x="330"/>
        <item x="376"/>
        <item x="1129"/>
        <item x="831"/>
        <item x="795"/>
        <item x="884"/>
        <item x="66"/>
        <item x="419"/>
        <item x="1302"/>
        <item x="1294"/>
        <item x="177"/>
        <item x="919"/>
        <item x="22"/>
        <item x="299"/>
        <item x="651"/>
        <item x="1216"/>
        <item x="1062"/>
        <item x="261"/>
        <item x="646"/>
        <item x="1044"/>
        <item x="420"/>
        <item x="17"/>
        <item x="583"/>
        <item x="417"/>
        <item x="207"/>
        <item x="941"/>
        <item x="1145"/>
        <item x="242"/>
        <item x="1165"/>
        <item x="179"/>
        <item x="673"/>
        <item x="767"/>
        <item x="398"/>
        <item x="965"/>
        <item x="886"/>
        <item x="980"/>
        <item x="1103"/>
        <item x="726"/>
        <item x="829"/>
        <item x="507"/>
        <item x="736"/>
        <item x="64"/>
        <item x="578"/>
        <item x="147"/>
        <item x="1018"/>
        <item x="11"/>
        <item x="679"/>
        <item x="599"/>
        <item x="91"/>
        <item x="508"/>
        <item x="514"/>
        <item x="430"/>
        <item x="844"/>
        <item x="913"/>
        <item x="1257"/>
        <item x="742"/>
        <item x="761"/>
        <item x="190"/>
        <item x="357"/>
        <item x="6"/>
        <item x="98"/>
        <item x="477"/>
        <item x="61"/>
        <item x="518"/>
        <item x="779"/>
        <item x="1291"/>
        <item x="775"/>
        <item x="934"/>
        <item x="1028"/>
        <item x="1132"/>
        <item x="837"/>
        <item x="1252"/>
        <item x="168"/>
        <item x="472"/>
        <item x="1068"/>
        <item x="1043"/>
        <item x="70"/>
        <item x="893"/>
        <item x="1128"/>
        <item x="504"/>
        <item x="1228"/>
        <item x="291"/>
        <item x="241"/>
        <item x="101"/>
        <item x="360"/>
        <item x="1164"/>
        <item x="99"/>
        <item x="1077"/>
        <item x="849"/>
        <item x="434"/>
        <item x="7"/>
        <item x="1207"/>
        <item x="464"/>
        <item x="997"/>
        <item x="1014"/>
        <item x="569"/>
        <item x="955"/>
        <item x="1234"/>
        <item x="303"/>
        <item x="142"/>
        <item x="201"/>
        <item x="581"/>
        <item x="975"/>
        <item x="1007"/>
        <item x="533"/>
        <item x="493"/>
        <item x="534"/>
        <item x="932"/>
        <item x="467"/>
        <item x="880"/>
        <item x="197"/>
        <item x="807"/>
        <item x="231"/>
        <item x="558"/>
        <item x="887"/>
        <item x="209"/>
        <item x="294"/>
        <item x="286"/>
        <item x="515"/>
        <item x="1205"/>
        <item x="665"/>
        <item x="1288"/>
        <item x="890"/>
        <item x="1220"/>
        <item x="768"/>
        <item x="923"/>
        <item x="153"/>
        <item x="433"/>
        <item x="1236"/>
        <item x="210"/>
        <item x="766"/>
        <item x="743"/>
        <item x="553"/>
        <item x="123"/>
        <item x="216"/>
        <item x="643"/>
        <item x="2"/>
        <item x="1231"/>
        <item x="208"/>
        <item x="1029"/>
        <item x="273"/>
        <item x="607"/>
        <item x="445"/>
        <item x="118"/>
        <item x="725"/>
        <item x="137"/>
        <item x="954"/>
        <item x="531"/>
        <item x="1169"/>
        <item x="0"/>
        <item x="988"/>
        <item x="1004"/>
        <item x="1098"/>
        <item x="368"/>
        <item x="900"/>
        <item x="1269"/>
        <item x="724"/>
        <item x="285"/>
        <item x="983"/>
        <item x="658"/>
        <item x="1219"/>
        <item x="593"/>
        <item x="77"/>
        <item x="115"/>
        <item x="1104"/>
        <item x="195"/>
        <item x="1005"/>
        <item x="695"/>
        <item x="873"/>
        <item x="874"/>
        <item x="1051"/>
        <item x="19"/>
        <item x="211"/>
        <item x="315"/>
        <item x="789"/>
        <item x="343"/>
        <item x="656"/>
        <item x="1000"/>
        <item x="1071"/>
        <item x="734"/>
        <item x="1212"/>
        <item x="319"/>
        <item x="412"/>
        <item x="951"/>
        <item x="108"/>
        <item x="135"/>
        <item x="561"/>
        <item x="917"/>
        <item x="103"/>
        <item x="80"/>
        <item x="366"/>
        <item x="702"/>
        <item x="106"/>
        <item x="82"/>
        <item x="994"/>
        <item x="961"/>
        <item x="1232"/>
        <item x="939"/>
        <item x="546"/>
        <item x="749"/>
        <item x="1179"/>
        <item x="756"/>
        <item x="603"/>
        <item x="1137"/>
        <item x="56"/>
        <item x="60"/>
        <item x="796"/>
        <item x="310"/>
        <item x="1094"/>
        <item x="25"/>
        <item x="691"/>
        <item x="532"/>
        <item x="1045"/>
        <item x="283"/>
        <item x="859"/>
        <item x="269"/>
        <item x="601"/>
        <item x="1183"/>
        <item x="976"/>
        <item x="1282"/>
        <item x="116"/>
        <item x="542"/>
        <item x="550"/>
        <item x="717"/>
        <item x="1201"/>
        <item x="1057"/>
        <item x="1033"/>
        <item x="21"/>
        <item x="861"/>
        <item x="1011"/>
        <item x="821"/>
        <item x="124"/>
        <item x="1245"/>
        <item x="289"/>
        <item x="1238"/>
        <item x="180"/>
        <item x="765"/>
        <item x="1092"/>
        <item x="840"/>
        <item x="281"/>
        <item x="806"/>
        <item x="1140"/>
        <item x="1041"/>
        <item x="690"/>
        <item x="1066"/>
        <item x="394"/>
        <item x="1298"/>
        <item x="1069"/>
        <item x="597"/>
        <item x="333"/>
        <item x="159"/>
        <item x="1290"/>
        <item x="311"/>
        <item x="304"/>
        <item x="1030"/>
        <item x="790"/>
        <item x="1123"/>
        <item x="302"/>
        <item x="525"/>
        <item x="267"/>
        <item x="678"/>
        <item x="1299"/>
        <item x="936"/>
        <item x="1095"/>
        <item x="57"/>
        <item x="1244"/>
        <item x="894"/>
        <item x="1189"/>
        <item x="850"/>
        <item x="741"/>
        <item x="551"/>
        <item x="986"/>
        <item x="1087"/>
        <item x="781"/>
        <item x="1008"/>
        <item x="801"/>
        <item x="1035"/>
        <item x="992"/>
        <item x="810"/>
        <item x="400"/>
        <item x="672"/>
        <item x="1084"/>
        <item x="141"/>
        <item x="53"/>
        <item x="1093"/>
        <item x="94"/>
        <item x="870"/>
        <item x="1046"/>
        <item x="1175"/>
        <item x="1032"/>
        <item x="1287"/>
        <item x="892"/>
        <item x="794"/>
        <item x="324"/>
        <item x="949"/>
        <item x="1096"/>
        <item x="776"/>
        <item x="1148"/>
        <item x="1072"/>
        <item x="896"/>
        <item x="205"/>
        <item x="483"/>
        <item x="530"/>
        <item x="559"/>
        <item x="811"/>
        <item x="30"/>
        <item x="479"/>
        <item x="1187"/>
        <item x="306"/>
        <item x="178"/>
        <item x="163"/>
        <item x="1099"/>
        <item x="220"/>
        <item x="751"/>
        <item x="995"/>
        <item x="944"/>
        <item x="987"/>
        <item x="1181"/>
        <item x="818"/>
        <item x="881"/>
        <item x="826"/>
        <item x="72"/>
        <item x="1116"/>
        <item x="50"/>
        <item x="28"/>
        <item x="254"/>
        <item x="327"/>
        <item x="1213"/>
        <item x="621"/>
        <item x="225"/>
        <item x="674"/>
        <item x="29"/>
        <item x="1268"/>
        <item x="287"/>
        <item x="1204"/>
        <item x="454"/>
        <item x="595"/>
        <item x="44"/>
        <item x="1197"/>
        <item x="877"/>
        <item x="109"/>
        <item x="528"/>
        <item x="644"/>
        <item x="510"/>
        <item x="1265"/>
        <item x="1173"/>
        <item x="444"/>
        <item x="964"/>
        <item x="128"/>
        <item x="1031"/>
        <item x="26"/>
        <item x="170"/>
        <item x="1168"/>
        <item x="1167"/>
        <item x="334"/>
        <item x="728"/>
        <item x="140"/>
        <item x="752"/>
        <item x="560"/>
        <item x="122"/>
        <item x="524"/>
        <item x="1157"/>
        <item x="740"/>
        <item x="1198"/>
        <item x="857"/>
        <item x="166"/>
        <item x="547"/>
        <item x="1281"/>
        <item x="474"/>
        <item x="616"/>
        <item x="440"/>
        <item x="739"/>
        <item x="1172"/>
        <item x="529"/>
        <item x="52"/>
        <item x="1261"/>
        <item x="1154"/>
        <item x="422"/>
        <item x="290"/>
        <item x="635"/>
        <item x="204"/>
        <item x="200"/>
        <item x="748"/>
        <item x="730"/>
        <item x="636"/>
        <item x="971"/>
        <item x="456"/>
        <item x="1199"/>
        <item x="667"/>
        <item x="609"/>
        <item x="1297"/>
        <item x="592"/>
        <item x="172"/>
        <item x="631"/>
        <item x="1058"/>
        <item x="967"/>
        <item x="1270"/>
        <item x="1050"/>
        <item x="1235"/>
        <item x="183"/>
        <item x="898"/>
        <item x="763"/>
        <item x="960"/>
        <item x="329"/>
        <item x="624"/>
        <item x="102"/>
        <item x="570"/>
        <item x="161"/>
        <item x="758"/>
        <item x="143"/>
        <item x="447"/>
        <item x="638"/>
        <item x="633"/>
        <item x="502"/>
        <item x="300"/>
        <item x="929"/>
        <item x="706"/>
        <item x="568"/>
        <item x="187"/>
        <item x="701"/>
        <item x="1247"/>
        <item x="864"/>
        <item x="54"/>
        <item x="243"/>
        <item x="407"/>
        <item x="396"/>
        <item x="1110"/>
        <item x="490"/>
        <item x="785"/>
        <item x="387"/>
        <item x="1120"/>
        <item x="1206"/>
        <item x="1230"/>
        <item x="699"/>
        <item x="1178"/>
        <item x="1233"/>
        <item x="438"/>
        <item x="265"/>
        <item x="326"/>
        <item x="27"/>
        <item x="938"/>
        <item x="1225"/>
        <item x="697"/>
        <item x="573"/>
        <item x="835"/>
        <item x="520"/>
        <item x="808"/>
        <item x="157"/>
        <item x="1025"/>
        <item x="838"/>
        <item x="652"/>
        <item x="539"/>
        <item x="338"/>
        <item x="13"/>
        <item x="351"/>
        <item x="471"/>
        <item x="481"/>
        <item x="221"/>
        <item x="65"/>
        <item x="145"/>
        <item x="1052"/>
        <item x="787"/>
        <item x="96"/>
        <item x="1114"/>
        <item x="587"/>
        <item x="132"/>
        <item x="458"/>
        <item x="630"/>
        <item x="280"/>
        <item x="426"/>
        <item x="612"/>
        <item x="1150"/>
        <item x="1082"/>
        <item x="1221"/>
        <item x="1166"/>
        <item x="1055"/>
        <item x="1194"/>
        <item x="945"/>
        <item x="816"/>
        <item x="1121"/>
        <item x="556"/>
        <item x="8"/>
        <item x="75"/>
        <item x="814"/>
        <item x="1088"/>
        <item x="820"/>
        <item x="362"/>
        <item x="318"/>
        <item x="1275"/>
        <item x="788"/>
        <item x="104"/>
        <item x="772"/>
        <item x="1102"/>
        <item x="813"/>
        <item x="485"/>
        <item x="379"/>
        <item x="301"/>
        <item x="148"/>
        <item x="1"/>
        <item x="654"/>
        <item x="649"/>
        <item x="270"/>
        <item x="594"/>
        <item x="45"/>
        <item x="358"/>
        <item x="554"/>
        <item x="762"/>
        <item x="1258"/>
        <item x="872"/>
        <item x="1283"/>
        <item x="572"/>
        <item x="930"/>
        <item x="907"/>
        <item x="342"/>
        <item x="855"/>
        <item x="131"/>
        <item x="1067"/>
        <item x="878"/>
        <item x="1138"/>
        <item x="95"/>
        <item x="841"/>
        <item x="705"/>
        <item x="1286"/>
        <item x="139"/>
        <item x="998"/>
        <item x="608"/>
        <item x="1111"/>
        <item x="359"/>
        <item x="735"/>
        <item x="969"/>
        <item x="38"/>
        <item x="1149"/>
        <item x="842"/>
        <item x="614"/>
        <item x="834"/>
        <item x="538"/>
        <item x="402"/>
        <item x="371"/>
        <item x="1274"/>
        <item x="549"/>
        <item x="78"/>
        <item x="1267"/>
        <item x="1113"/>
        <item x="182"/>
        <item x="1255"/>
        <item x="1229"/>
        <item x="81"/>
        <item x="234"/>
        <item x="882"/>
        <item x="948"/>
        <item x="604"/>
        <item x="675"/>
        <item x="677"/>
        <item x="1253"/>
        <item x="1174"/>
        <item x="162"/>
        <item x="1196"/>
        <item x="173"/>
        <item x="435"/>
        <item x="663"/>
        <item x="523"/>
        <item x="113"/>
        <item x="927"/>
        <item x="1027"/>
        <item x="764"/>
        <item x="1289"/>
        <item x="378"/>
        <item x="466"/>
        <item x="582"/>
        <item x="782"/>
        <item x="381"/>
        <item x="498"/>
        <item x="627"/>
        <item x="488"/>
        <item x="1241"/>
        <item x="436"/>
        <item x="199"/>
        <item x="427"/>
        <item x="476"/>
        <item x="817"/>
        <item x="35"/>
        <item x="203"/>
        <item x="585"/>
        <item x="671"/>
        <item x="784"/>
        <item x="977"/>
        <item x="331"/>
        <item x="114"/>
        <item x="160"/>
        <item x="536"/>
        <item x="1240"/>
        <item x="237"/>
        <item x="862"/>
        <item x="1301"/>
        <item x="375"/>
        <item x="596"/>
        <item x="16"/>
        <item x="1285"/>
        <item x="71"/>
        <item x="519"/>
        <item x="340"/>
        <item x="10"/>
        <item x="1159"/>
        <item x="1300"/>
        <item x="824"/>
        <item x="462"/>
        <item x="175"/>
        <item x="777"/>
        <item x="478"/>
        <item x="754"/>
        <item x="685"/>
        <item x="138"/>
        <item x="1208"/>
        <item x="224"/>
        <item x="266"/>
        <item x="288"/>
        <item x="62"/>
        <item x="229"/>
        <item x="349"/>
        <item x="709"/>
        <item x="1191"/>
        <item x="848"/>
        <item x="282"/>
        <item x="1156"/>
        <item x="1065"/>
        <item x="3"/>
        <item x="632"/>
        <item x="786"/>
        <item x="847"/>
        <item x="819"/>
        <item x="704"/>
        <item x="1085"/>
        <item x="914"/>
        <item x="696"/>
        <item x="298"/>
        <item x="107"/>
        <item x="641"/>
        <item x="363"/>
        <item x="972"/>
        <item x="312"/>
        <item x="164"/>
        <item x="369"/>
        <item x="1224"/>
        <item x="747"/>
        <item x="232"/>
        <item x="952"/>
        <item x="712"/>
        <item x="1215"/>
        <item x="991"/>
        <item x="238"/>
        <item x="432"/>
        <item x="622"/>
        <item x="666"/>
        <item x="619"/>
        <item x="1081"/>
        <item x="1047"/>
        <item x="239"/>
        <item x="902"/>
        <item x="1256"/>
        <item x="1086"/>
        <item x="501"/>
        <item x="87"/>
        <item x="889"/>
        <item x="921"/>
        <item x="918"/>
        <item x="74"/>
        <item x="615"/>
        <item x="937"/>
        <item x="1053"/>
        <item x="341"/>
        <item x="391"/>
        <item x="1254"/>
        <item x="1139"/>
        <item x="590"/>
        <item x="452"/>
        <item x="1260"/>
        <item x="732"/>
        <item x="662"/>
        <item x="968"/>
        <item x="650"/>
        <item x="688"/>
        <item x="136"/>
        <item x="722"/>
        <item x="489"/>
        <item x="374"/>
        <item x="405"/>
        <item x="262"/>
        <item x="449"/>
        <item x="505"/>
        <item x="1211"/>
        <item x="457"/>
        <item x="248"/>
        <item x="1118"/>
        <item x="562"/>
        <item x="617"/>
        <item x="345"/>
        <item x="974"/>
        <item x="623"/>
        <item x="1131"/>
        <item x="1083"/>
        <item x="760"/>
        <item x="404"/>
        <item x="1107"/>
        <item x="563"/>
        <item x="93"/>
        <item x="350"/>
        <item x="1100"/>
        <item x="1021"/>
        <item x="721"/>
        <item x="833"/>
        <item x="1296"/>
        <item x="1001"/>
        <item x="1022"/>
        <item x="448"/>
        <item x="526"/>
        <item x="495"/>
        <item x="192"/>
        <item x="852"/>
        <item x="993"/>
        <item x="589"/>
        <item x="272"/>
        <item x="121"/>
        <item x="120"/>
        <item x="660"/>
        <item x="509"/>
        <item x="1054"/>
        <item x="63"/>
        <item x="973"/>
        <item x="1209"/>
        <item x="1006"/>
        <item x="105"/>
        <item x="127"/>
        <item x="165"/>
        <item x="659"/>
        <item x="1101"/>
        <item x="246"/>
        <item x="451"/>
        <item x="655"/>
        <item x="1202"/>
        <item x="694"/>
        <item x="279"/>
        <item x="883"/>
        <item x="361"/>
        <item x="564"/>
        <item x="770"/>
        <item x="328"/>
        <item x="437"/>
        <item x="1248"/>
        <item x="486"/>
        <item x="31"/>
        <item x="798"/>
        <item x="591"/>
        <item x="920"/>
        <item x="1108"/>
        <item x="962"/>
        <item x="517"/>
        <item x="639"/>
        <item x="431"/>
        <item x="729"/>
        <item x="317"/>
        <item x="911"/>
        <item x="1263"/>
        <item x="1130"/>
        <item x="1124"/>
        <item x="940"/>
        <item x="640"/>
        <item x="978"/>
        <item x="869"/>
        <item x="746"/>
        <item x="446"/>
        <item x="1259"/>
        <item x="494"/>
        <item x="184"/>
        <item x="492"/>
        <item x="370"/>
        <item x="903"/>
        <item x="1184"/>
        <item x="181"/>
        <item x="414"/>
        <item x="236"/>
        <item x="459"/>
        <item x="981"/>
        <item x="198"/>
        <item x="1125"/>
        <item x="1019"/>
        <item x="895"/>
        <item x="698"/>
        <item x="543"/>
        <item x="51"/>
        <item x="947"/>
        <item x="90"/>
        <item x="759"/>
        <item x="34"/>
        <item x="565"/>
        <item x="809"/>
        <item x="901"/>
        <item x="258"/>
        <item x="119"/>
        <item x="792"/>
        <item x="423"/>
        <item x="1090"/>
        <item x="1039"/>
        <item x="1042"/>
        <item x="755"/>
        <item x="1034"/>
        <item x="1188"/>
        <item x="618"/>
        <item x="15"/>
        <item x="41"/>
        <item x="1073"/>
        <item x="522"/>
        <item x="218"/>
        <item x="828"/>
        <item x="1038"/>
        <item x="39"/>
        <item x="487"/>
        <item x="230"/>
        <item x="802"/>
        <item x="909"/>
        <item x="657"/>
        <item x="1024"/>
        <item x="708"/>
        <item x="383"/>
        <item x="545"/>
        <item x="1250"/>
        <item x="555"/>
        <item x="233"/>
        <item x="32"/>
        <item x="891"/>
        <item x="535"/>
        <item x="134"/>
        <item x="668"/>
        <item x="950"/>
        <item x="253"/>
        <item x="629"/>
        <item x="4"/>
        <item x="356"/>
        <item x="355"/>
        <item x="149"/>
        <item x="1135"/>
        <item x="687"/>
        <item x="397"/>
        <item x="985"/>
        <item x="250"/>
        <item x="1246"/>
        <item x="308"/>
        <item x="68"/>
        <item x="953"/>
        <item x="863"/>
        <item x="276"/>
        <item x="506"/>
        <item x="18"/>
        <item x="989"/>
        <item x="1185"/>
        <item x="497"/>
        <item x="424"/>
        <item x="984"/>
        <item x="307"/>
        <item x="1013"/>
        <item x="942"/>
        <item x="154"/>
        <item x="577"/>
        <item x="693"/>
        <item x="403"/>
        <item x="284"/>
        <item x="610"/>
        <item x="406"/>
        <item x="868"/>
        <item x="661"/>
        <item x="48"/>
        <item x="579"/>
        <item x="97"/>
        <item x="1203"/>
        <item x="380"/>
        <item x="249"/>
        <item x="928"/>
        <item x="575"/>
        <item x="700"/>
        <item x="473"/>
        <item x="611"/>
        <item x="669"/>
        <item x="336"/>
        <item x="670"/>
        <item x="421"/>
        <item x="797"/>
        <item x="860"/>
        <item x="152"/>
        <item x="268"/>
        <item x="415"/>
        <item x="681"/>
        <item x="512"/>
        <item x="325"/>
        <item x="322"/>
        <item x="571"/>
        <item x="500"/>
        <item x="1277"/>
        <item x="193"/>
        <item x="1218"/>
        <item x="316"/>
        <item x="771"/>
        <item x="750"/>
        <item x="875"/>
        <item x="1227"/>
        <item x="499"/>
        <item x="769"/>
        <item t="default"/>
      </items>
    </pivotField>
    <pivotField showAll="0"/>
    <pivotField showAll="0"/>
    <pivotField dataField="1" showAll="0">
      <items count="1122">
        <item x="802"/>
        <item x="981"/>
        <item x="721"/>
        <item x="957"/>
        <item x="820"/>
        <item x="123"/>
        <item x="238"/>
        <item x="700"/>
        <item x="1026"/>
        <item x="755"/>
        <item x="819"/>
        <item x="1055"/>
        <item x="253"/>
        <item x="454"/>
        <item x="404"/>
        <item x="742"/>
        <item x="198"/>
        <item x="1101"/>
        <item x="81"/>
        <item x="45"/>
        <item x="299"/>
        <item x="770"/>
        <item x="991"/>
        <item x="943"/>
        <item x="448"/>
        <item x="68"/>
        <item x="211"/>
        <item x="1112"/>
        <item x="164"/>
        <item x="978"/>
        <item x="266"/>
        <item x="464"/>
        <item x="975"/>
        <item x="811"/>
        <item x="366"/>
        <item x="317"/>
        <item x="269"/>
        <item x="609"/>
        <item x="608"/>
        <item x="298"/>
        <item x="840"/>
        <item x="166"/>
        <item x="913"/>
        <item x="114"/>
        <item x="183"/>
        <item x="668"/>
        <item x="907"/>
        <item x="265"/>
        <item x="723"/>
        <item x="889"/>
        <item x="20"/>
        <item x="1017"/>
        <item x="77"/>
        <item x="443"/>
        <item x="677"/>
        <item x="486"/>
        <item x="1043"/>
        <item x="580"/>
        <item x="286"/>
        <item x="838"/>
        <item x="1010"/>
        <item x="1034"/>
        <item x="647"/>
        <item x="305"/>
        <item x="108"/>
        <item x="216"/>
        <item x="875"/>
        <item x="839"/>
        <item x="521"/>
        <item x="1098"/>
        <item x="756"/>
        <item x="306"/>
        <item x="48"/>
        <item x="151"/>
        <item x="572"/>
        <item x="190"/>
        <item x="726"/>
        <item x="640"/>
        <item x="1084"/>
        <item x="268"/>
        <item x="36"/>
        <item x="208"/>
        <item x="207"/>
        <item x="470"/>
        <item x="35"/>
        <item x="884"/>
        <item x="425"/>
        <item x="23"/>
        <item x="718"/>
        <item x="41"/>
        <item x="1111"/>
        <item x="554"/>
        <item x="1061"/>
        <item x="442"/>
        <item x="928"/>
        <item x="140"/>
        <item x="146"/>
        <item x="1073"/>
        <item x="592"/>
        <item x="510"/>
        <item x="662"/>
        <item x="605"/>
        <item x="994"/>
        <item x="634"/>
        <item x="122"/>
        <item x="346"/>
        <item x="142"/>
        <item x="209"/>
        <item x="326"/>
        <item x="468"/>
        <item x="954"/>
        <item x="539"/>
        <item x="334"/>
        <item x="625"/>
        <item x="517"/>
        <item x="689"/>
        <item x="804"/>
        <item x="74"/>
        <item x="42"/>
        <item x="853"/>
        <item x="827"/>
        <item x="217"/>
        <item x="355"/>
        <item x="986"/>
        <item x="308"/>
        <item x="400"/>
        <item x="516"/>
        <item x="319"/>
        <item x="373"/>
        <item x="638"/>
        <item x="777"/>
        <item x="683"/>
        <item x="153"/>
        <item x="162"/>
        <item x="690"/>
        <item x="452"/>
        <item x="46"/>
        <item x="367"/>
        <item x="1094"/>
        <item x="513"/>
        <item x="181"/>
        <item x="661"/>
        <item x="735"/>
        <item x="917"/>
        <item x="898"/>
        <item x="995"/>
        <item x="926"/>
        <item x="1104"/>
        <item x="234"/>
        <item x="252"/>
        <item x="171"/>
        <item x="1022"/>
        <item x="417"/>
        <item x="864"/>
        <item x="387"/>
        <item x="831"/>
        <item x="359"/>
        <item x="667"/>
        <item x="741"/>
        <item x="184"/>
        <item x="321"/>
        <item x="329"/>
        <item x="956"/>
        <item x="569"/>
        <item x="222"/>
        <item x="669"/>
        <item x="823"/>
        <item x="781"/>
        <item x="369"/>
        <item x="613"/>
        <item x="229"/>
        <item x="733"/>
        <item x="641"/>
        <item x="364"/>
        <item x="484"/>
        <item x="1038"/>
        <item x="128"/>
        <item x="285"/>
        <item x="436"/>
        <item x="107"/>
        <item x="656"/>
        <item x="643"/>
        <item x="996"/>
        <item x="916"/>
        <item x="83"/>
        <item x="283"/>
        <item x="944"/>
        <item x="1072"/>
        <item x="614"/>
        <item x="418"/>
        <item x="778"/>
        <item x="333"/>
        <item x="844"/>
        <item x="1000"/>
        <item x="953"/>
        <item x="186"/>
        <item x="244"/>
        <item x="549"/>
        <item x="538"/>
        <item x="376"/>
        <item x="389"/>
        <item x="1103"/>
        <item x="97"/>
        <item x="488"/>
        <item x="906"/>
        <item x="337"/>
        <item x="903"/>
        <item x="774"/>
        <item x="1012"/>
        <item x="645"/>
        <item x="24"/>
        <item x="180"/>
        <item x="150"/>
        <item x="684"/>
        <item x="567"/>
        <item x="444"/>
        <item x="58"/>
        <item x="9"/>
        <item x="213"/>
        <item x="414"/>
        <item x="221"/>
        <item x="674"/>
        <item x="89"/>
        <item x="245"/>
        <item x="1018"/>
        <item x="796"/>
        <item x="250"/>
        <item x="32"/>
        <item x="1031"/>
        <item x="287"/>
        <item x="292"/>
        <item x="477"/>
        <item x="1015"/>
        <item x="54"/>
        <item x="378"/>
        <item x="430"/>
        <item x="248"/>
        <item x="84"/>
        <item x="594"/>
        <item x="439"/>
        <item x="766"/>
        <item x="403"/>
        <item x="1005"/>
        <item x="793"/>
        <item x="456"/>
        <item x="665"/>
        <item x="428"/>
        <item x="679"/>
        <item x="942"/>
        <item x="499"/>
        <item x="565"/>
        <item x="255"/>
        <item x="825"/>
        <item x="969"/>
        <item x="328"/>
        <item x="240"/>
        <item x="385"/>
        <item x="386"/>
        <item x="746"/>
        <item x="82"/>
        <item x="759"/>
        <item x="812"/>
        <item x="172"/>
        <item x="347"/>
        <item x="14"/>
        <item x="109"/>
        <item x="787"/>
        <item x="940"/>
        <item x="349"/>
        <item x="86"/>
        <item x="12"/>
        <item x="192"/>
        <item x="394"/>
        <item x="552"/>
        <item x="830"/>
        <item x="235"/>
        <item x="1027"/>
        <item x="664"/>
        <item x="372"/>
        <item x="870"/>
        <item x="524"/>
        <item x="5"/>
        <item x="850"/>
        <item x="761"/>
        <item x="237"/>
        <item x="354"/>
        <item x="220"/>
        <item x="416"/>
        <item x="566"/>
        <item x="894"/>
        <item x="487"/>
        <item x="66"/>
        <item x="358"/>
        <item x="591"/>
        <item x="1085"/>
        <item x="338"/>
        <item x="65"/>
        <item x="371"/>
        <item x="855"/>
        <item x="295"/>
        <item x="941"/>
        <item x="529"/>
        <item x="835"/>
        <item x="1036"/>
        <item x="435"/>
        <item x="493"/>
        <item x="57"/>
        <item x="871"/>
        <item x="256"/>
        <item x="1052"/>
        <item x="249"/>
        <item x="284"/>
        <item x="39"/>
        <item x="202"/>
        <item x="948"/>
        <item x="762"/>
        <item x="801"/>
        <item x="997"/>
        <item x="393"/>
        <item x="1120"/>
        <item x="1113"/>
        <item x="673"/>
        <item x="22"/>
        <item x="63"/>
        <item x="98"/>
        <item x="96"/>
        <item x="984"/>
        <item x="749"/>
        <item x="409"/>
        <item x="438"/>
        <item x="17"/>
        <item x="392"/>
        <item x="851"/>
        <item x="1006"/>
        <item x="1019"/>
        <item x="6"/>
        <item x="174"/>
        <item x="138"/>
        <item x="712"/>
        <item x="197"/>
        <item x="722"/>
        <item x="803"/>
        <item x="974"/>
        <item x="466"/>
        <item x="682"/>
        <item x="547"/>
        <item x="143"/>
        <item x="908"/>
        <item x="11"/>
        <item x="637"/>
        <item x="88"/>
        <item x="481"/>
        <item x="405"/>
        <item x="163"/>
        <item x="828"/>
        <item x="687"/>
        <item x="204"/>
        <item x="185"/>
        <item x="95"/>
        <item x="60"/>
        <item x="490"/>
        <item x="341"/>
        <item x="719"/>
        <item x="955"/>
        <item x="919"/>
        <item x="7"/>
        <item x="767"/>
        <item x="688"/>
        <item x="905"/>
        <item x="120"/>
        <item x="606"/>
        <item x="69"/>
        <item x="808"/>
        <item x="550"/>
        <item x="478"/>
        <item x="282"/>
        <item x="441"/>
        <item x="503"/>
        <item x="225"/>
        <item x="421"/>
        <item x="887"/>
        <item x="509"/>
        <item x="895"/>
        <item x="541"/>
        <item x="395"/>
        <item x="619"/>
        <item x="627"/>
        <item x="1058"/>
        <item x="879"/>
        <item x="713"/>
        <item x="505"/>
        <item x="506"/>
        <item x="148"/>
        <item x="797"/>
        <item x="205"/>
        <item x="193"/>
        <item x="525"/>
        <item x="935"/>
        <item x="530"/>
        <item x="206"/>
        <item x="2"/>
        <item x="732"/>
        <item x="920"/>
        <item x="277"/>
        <item x="952"/>
        <item x="573"/>
        <item x="1047"/>
        <item x="1025"/>
        <item x="672"/>
        <item x="130"/>
        <item x="1048"/>
        <item x="832"/>
        <item x="78"/>
        <item x="408"/>
        <item x="0"/>
        <item x="711"/>
        <item x="899"/>
        <item x="848"/>
        <item x="814"/>
        <item x="210"/>
        <item x="1067"/>
        <item x="203"/>
        <item x="264"/>
        <item x="25"/>
        <item x="504"/>
        <item x="115"/>
        <item x="805"/>
        <item x="133"/>
        <item x="900"/>
        <item x="912"/>
        <item x="514"/>
        <item x="927"/>
        <item x="821"/>
        <item x="970"/>
        <item x="350"/>
        <item x="169"/>
        <item x="276"/>
        <item x="754"/>
        <item x="1078"/>
        <item x="1057"/>
        <item x="304"/>
        <item x="75"/>
        <item x="105"/>
        <item x="1004"/>
        <item x="533"/>
        <item x="112"/>
        <item x="191"/>
        <item x="461"/>
        <item x="650"/>
        <item x="791"/>
        <item x="866"/>
        <item x="519"/>
        <item x="921"/>
        <item x="19"/>
        <item x="497"/>
        <item x="55"/>
        <item x="300"/>
        <item x="325"/>
        <item x="617"/>
        <item x="1119"/>
        <item x="950"/>
        <item x="868"/>
        <item x="680"/>
        <item x="775"/>
        <item x="388"/>
        <item x="782"/>
        <item x="860"/>
        <item x="568"/>
        <item x="925"/>
        <item x="880"/>
        <item x="100"/>
        <item x="377"/>
        <item x="348"/>
        <item x="113"/>
        <item x="103"/>
        <item x="80"/>
        <item x="892"/>
        <item x="666"/>
        <item x="1068"/>
        <item x="694"/>
        <item x="187"/>
        <item x="703"/>
        <item x="570"/>
        <item x="968"/>
        <item x="121"/>
        <item x="59"/>
        <item x="737"/>
        <item x="710"/>
        <item x="810"/>
        <item x="344"/>
        <item x="455"/>
        <item x="502"/>
        <item x="745"/>
        <item x="451"/>
        <item x="274"/>
        <item x="261"/>
        <item x="1028"/>
        <item x="949"/>
        <item x="893"/>
        <item x="296"/>
        <item x="752"/>
        <item x="523"/>
        <item x="987"/>
        <item x="259"/>
        <item x="21"/>
        <item x="967"/>
        <item x="312"/>
        <item x="219"/>
        <item x="280"/>
        <item x="1096"/>
        <item x="175"/>
        <item x="965"/>
        <item x="562"/>
        <item x="272"/>
        <item x="43"/>
        <item x="931"/>
        <item x="646"/>
        <item x="794"/>
        <item x="946"/>
        <item x="607"/>
        <item x="564"/>
        <item x="316"/>
        <item x="154"/>
        <item x="869"/>
        <item x="125"/>
        <item x="1109"/>
        <item x="26"/>
        <item x="309"/>
        <item x="291"/>
        <item x="636"/>
        <item x="845"/>
        <item x="56"/>
        <item x="136"/>
        <item x="532"/>
        <item x="119"/>
        <item x="901"/>
        <item x="1014"/>
        <item x="29"/>
        <item x="773"/>
        <item x="780"/>
        <item x="724"/>
        <item x="520"/>
        <item x="1105"/>
        <item x="982"/>
        <item x="685"/>
        <item x="137"/>
        <item x="501"/>
        <item x="52"/>
        <item x="966"/>
        <item x="91"/>
        <item x="49"/>
        <item x="281"/>
        <item x="923"/>
        <item x="736"/>
        <item x="858"/>
        <item x="196"/>
        <item x="693"/>
        <item x="28"/>
        <item x="676"/>
        <item x="1007"/>
        <item x="600"/>
        <item x="1046"/>
        <item x="201"/>
        <item x="1042"/>
        <item x="531"/>
        <item x="816"/>
        <item x="1115"/>
        <item x="167"/>
        <item x="173"/>
        <item x="106"/>
        <item x="158"/>
        <item x="500"/>
        <item x="934"/>
        <item x="483"/>
        <item x="1071"/>
        <item x="214"/>
        <item x="698"/>
        <item x="419"/>
        <item x="708"/>
        <item x="798"/>
        <item x="922"/>
        <item x="314"/>
        <item x="165"/>
        <item x="71"/>
        <item x="1021"/>
        <item x="131"/>
        <item x="156"/>
        <item x="247"/>
        <item x="422"/>
        <item x="587"/>
        <item x="699"/>
        <item x="632"/>
        <item x="696"/>
        <item x="278"/>
        <item x="496"/>
        <item x="289"/>
        <item x="686"/>
        <item x="429"/>
        <item x="1041"/>
        <item x="540"/>
        <item x="161"/>
        <item x="1040"/>
        <item x="447"/>
        <item x="415"/>
        <item x="834"/>
        <item x="51"/>
        <item x="1011"/>
        <item x="397"/>
        <item x="200"/>
        <item x="1076"/>
        <item x="368"/>
        <item x="431"/>
        <item x="575"/>
        <item x="559"/>
        <item x="596"/>
        <item x="1097"/>
        <item x="583"/>
        <item x="178"/>
        <item x="813"/>
        <item x="1023"/>
        <item x="590"/>
        <item x="1070"/>
        <item x="743"/>
        <item x="704"/>
        <item x="599"/>
        <item x="601"/>
        <item x="757"/>
        <item x="476"/>
        <item x="182"/>
        <item x="655"/>
        <item x="1080"/>
        <item x="1116"/>
        <item x="786"/>
        <item x="872"/>
        <item x="236"/>
        <item x="384"/>
        <item x="865"/>
        <item x="374"/>
        <item x="979"/>
        <item x="99"/>
        <item x="139"/>
        <item x="728"/>
        <item x="989"/>
        <item x="598"/>
        <item x="1049"/>
        <item x="1066"/>
        <item x="653"/>
        <item x="939"/>
        <item x="1069"/>
        <item x="257"/>
        <item x="311"/>
        <item x="27"/>
        <item x="847"/>
        <item x="1063"/>
        <item x="53"/>
        <item x="544"/>
        <item x="492"/>
        <item x="152"/>
        <item x="915"/>
        <item x="463"/>
        <item x="303"/>
        <item x="512"/>
        <item x="320"/>
        <item x="332"/>
        <item x="453"/>
        <item x="215"/>
        <item x="64"/>
        <item x="141"/>
        <item x="413"/>
        <item x="936"/>
        <item x="730"/>
        <item x="93"/>
        <item x="985"/>
        <item x="555"/>
        <item x="127"/>
        <item x="433"/>
        <item x="765"/>
        <item x="271"/>
        <item x="401"/>
        <item x="579"/>
        <item x="1009"/>
        <item x="959"/>
        <item x="612"/>
        <item x="1059"/>
        <item x="13"/>
        <item x="707"/>
        <item x="445"/>
        <item x="1037"/>
        <item x="576"/>
        <item x="750"/>
        <item x="990"/>
        <item x="528"/>
        <item x="863"/>
        <item x="748"/>
        <item x="963"/>
        <item x="1033"/>
        <item x="543"/>
        <item x="1100"/>
        <item x="731"/>
        <item x="101"/>
        <item x="717"/>
        <item x="1020"/>
        <item x="973"/>
        <item x="747"/>
        <item x="854"/>
        <item x="457"/>
        <item x="697"/>
        <item x="290"/>
        <item x="8"/>
        <item x="73"/>
        <item x="615"/>
        <item x="610"/>
        <item x="262"/>
        <item x="343"/>
        <item x="44"/>
        <item x="560"/>
        <item x="574"/>
        <item x="361"/>
        <item x="144"/>
        <item x="1"/>
        <item x="561"/>
        <item x="339"/>
        <item x="526"/>
        <item x="1090"/>
        <item x="1008"/>
        <item x="790"/>
        <item x="1106"/>
        <item x="843"/>
        <item x="511"/>
        <item x="822"/>
        <item x="324"/>
        <item x="779"/>
        <item x="126"/>
        <item x="947"/>
        <item x="76"/>
        <item x="795"/>
        <item x="1002"/>
        <item x="92"/>
        <item x="768"/>
        <item x="658"/>
        <item x="1108"/>
        <item x="135"/>
        <item x="896"/>
        <item x="980"/>
        <item x="340"/>
        <item x="410"/>
        <item x="681"/>
        <item x="874"/>
        <item x="37"/>
        <item x="769"/>
        <item x="581"/>
        <item x="764"/>
        <item x="379"/>
        <item x="709"/>
        <item x="353"/>
        <item x="1099"/>
        <item x="522"/>
        <item x="1095"/>
        <item x="983"/>
        <item x="177"/>
        <item x="1088"/>
        <item x="1065"/>
        <item x="79"/>
        <item x="228"/>
        <item x="799"/>
        <item x="857"/>
        <item x="571"/>
        <item x="633"/>
        <item x="635"/>
        <item x="1086"/>
        <item x="1024"/>
        <item x="157"/>
        <item x="1039"/>
        <item x="168"/>
        <item x="624"/>
        <item x="495"/>
        <item x="110"/>
        <item x="841"/>
        <item x="563"/>
        <item x="918"/>
        <item x="1110"/>
        <item x="360"/>
        <item x="440"/>
        <item x="551"/>
        <item x="725"/>
        <item x="363"/>
        <item x="472"/>
        <item x="593"/>
        <item x="460"/>
        <item x="1075"/>
        <item x="411"/>
        <item x="279"/>
        <item x="195"/>
        <item x="402"/>
        <item x="449"/>
        <item x="751"/>
        <item x="1035"/>
        <item x="34"/>
        <item x="199"/>
        <item x="553"/>
        <item x="631"/>
        <item x="3"/>
        <item x="727"/>
        <item x="881"/>
        <item x="1082"/>
        <item x="315"/>
        <item x="111"/>
        <item x="104"/>
        <item x="155"/>
        <item x="508"/>
        <item x="1074"/>
        <item x="231"/>
        <item x="784"/>
        <item x="1118"/>
        <item x="345"/>
        <item x="357"/>
        <item x="16"/>
        <item x="1107"/>
        <item x="70"/>
        <item x="491"/>
        <item x="322"/>
        <item x="10"/>
        <item x="1016"/>
        <item x="1117"/>
        <item x="758"/>
        <item x="437"/>
        <item x="626"/>
        <item x="170"/>
        <item x="720"/>
        <item x="450"/>
        <item x="962"/>
        <item x="701"/>
        <item x="642"/>
        <item x="134"/>
        <item x="1050"/>
        <item x="72"/>
        <item x="218"/>
        <item x="258"/>
        <item x="61"/>
        <item x="223"/>
        <item x="330"/>
        <item x="660"/>
        <item x="1003"/>
        <item x="772"/>
        <item x="273"/>
        <item x="1013"/>
        <item x="945"/>
        <item x="1060"/>
        <item x="597"/>
        <item x="729"/>
        <item x="771"/>
        <item x="753"/>
        <item x="657"/>
        <item x="961"/>
        <item x="829"/>
        <item x="651"/>
        <item x="288"/>
        <item x="604"/>
        <item x="132"/>
        <item x="876"/>
        <item x="297"/>
        <item x="671"/>
        <item x="159"/>
        <item x="351"/>
        <item x="1062"/>
        <item x="692"/>
        <item x="226"/>
        <item x="861"/>
        <item x="663"/>
        <item x="1054"/>
        <item x="890"/>
        <item x="232"/>
        <item x="407"/>
        <item x="588"/>
        <item x="462"/>
        <item x="586"/>
        <item x="958"/>
        <item x="933"/>
        <item x="233"/>
        <item x="356"/>
        <item x="817"/>
        <item x="1089"/>
        <item x="1077"/>
        <item x="475"/>
        <item x="85"/>
        <item x="806"/>
        <item x="837"/>
        <item x="833"/>
        <item x="382"/>
        <item x="582"/>
        <item x="846"/>
        <item x="937"/>
        <item x="323"/>
        <item x="370"/>
        <item x="1087"/>
        <item x="557"/>
        <item x="427"/>
        <item x="1092"/>
        <item x="678"/>
        <item x="623"/>
        <item x="873"/>
        <item x="611"/>
        <item x="254"/>
        <item x="424"/>
        <item x="479"/>
        <item x="1053"/>
        <item x="432"/>
        <item x="241"/>
        <item x="988"/>
        <item x="534"/>
        <item x="584"/>
        <item x="327"/>
        <item x="878"/>
        <item x="589"/>
        <item x="999"/>
        <item x="960"/>
        <item x="706"/>
        <item x="381"/>
        <item x="976"/>
        <item x="535"/>
        <item x="90"/>
        <item x="331"/>
        <item x="971"/>
        <item x="910"/>
        <item x="670"/>
        <item x="763"/>
        <item x="1114"/>
        <item x="897"/>
        <item x="911"/>
        <item x="423"/>
        <item x="498"/>
        <item x="469"/>
        <item x="188"/>
        <item x="776"/>
        <item x="891"/>
        <item x="556"/>
        <item x="263"/>
        <item x="118"/>
        <item x="117"/>
        <item x="621"/>
        <item x="482"/>
        <item x="938"/>
        <item x="62"/>
        <item x="877"/>
        <item x="1051"/>
        <item x="902"/>
        <item x="102"/>
        <item x="124"/>
        <item x="160"/>
        <item x="620"/>
        <item x="972"/>
        <item x="239"/>
        <item x="426"/>
        <item x="616"/>
        <item x="1044"/>
        <item x="649"/>
        <item x="270"/>
        <item x="800"/>
        <item x="342"/>
        <item x="536"/>
        <item x="715"/>
        <item x="313"/>
        <item x="412"/>
        <item x="1081"/>
        <item x="458"/>
        <item x="30"/>
        <item x="739"/>
        <item x="558"/>
        <item x="836"/>
        <item x="977"/>
        <item x="867"/>
        <item x="489"/>
        <item x="602"/>
        <item x="406"/>
        <item x="675"/>
        <item x="302"/>
        <item x="826"/>
        <item x="1093"/>
        <item x="998"/>
        <item x="992"/>
        <item x="849"/>
        <item x="603"/>
        <item x="882"/>
        <item x="789"/>
        <item x="691"/>
        <item x="420"/>
        <item x="1091"/>
        <item x="467"/>
        <item x="179"/>
        <item x="465"/>
        <item x="352"/>
        <item x="818"/>
        <item x="1029"/>
        <item x="176"/>
        <item x="390"/>
        <item x="230"/>
        <item x="434"/>
        <item x="883"/>
        <item x="194"/>
        <item x="993"/>
        <item x="909"/>
        <item x="809"/>
        <item x="652"/>
        <item x="515"/>
        <item x="50"/>
        <item x="856"/>
        <item x="87"/>
        <item x="705"/>
        <item x="33"/>
        <item x="537"/>
        <item x="744"/>
        <item x="815"/>
        <item x="251"/>
        <item x="116"/>
        <item x="734"/>
        <item x="398"/>
        <item x="964"/>
        <item x="930"/>
        <item x="932"/>
        <item x="702"/>
        <item x="924"/>
        <item x="1032"/>
        <item x="585"/>
        <item x="15"/>
        <item x="40"/>
        <item x="951"/>
        <item x="494"/>
        <item x="212"/>
        <item x="760"/>
        <item x="929"/>
        <item x="38"/>
        <item x="459"/>
        <item x="224"/>
        <item x="740"/>
        <item x="824"/>
        <item x="618"/>
        <item x="914"/>
        <item x="659"/>
        <item x="365"/>
        <item x="518"/>
        <item x="1083"/>
        <item x="527"/>
        <item x="227"/>
        <item x="31"/>
        <item x="807"/>
        <item x="507"/>
        <item x="129"/>
        <item x="628"/>
        <item x="859"/>
        <item x="246"/>
        <item x="595"/>
        <item x="4"/>
        <item x="336"/>
        <item x="335"/>
        <item x="145"/>
        <item x="1001"/>
        <item x="644"/>
        <item x="375"/>
        <item x="886"/>
        <item x="243"/>
        <item x="1079"/>
        <item x="294"/>
        <item x="67"/>
        <item x="862"/>
        <item x="785"/>
        <item x="267"/>
        <item x="480"/>
        <item x="18"/>
        <item x="888"/>
        <item x="1030"/>
        <item x="471"/>
        <item x="399"/>
        <item x="885"/>
        <item x="293"/>
        <item x="904"/>
        <item x="852"/>
        <item x="149"/>
        <item x="546"/>
        <item x="648"/>
        <item x="380"/>
        <item x="275"/>
        <item x="577"/>
        <item x="383"/>
        <item x="788"/>
        <item x="622"/>
        <item x="47"/>
        <item x="548"/>
        <item x="94"/>
        <item x="1045"/>
        <item x="362"/>
        <item x="242"/>
        <item x="842"/>
        <item x="545"/>
        <item x="654"/>
        <item x="446"/>
        <item x="578"/>
        <item x="629"/>
        <item x="318"/>
        <item x="630"/>
        <item x="396"/>
        <item x="738"/>
        <item x="783"/>
        <item x="147"/>
        <item x="260"/>
        <item x="391"/>
        <item x="639"/>
        <item x="485"/>
        <item x="310"/>
        <item x="307"/>
        <item x="542"/>
        <item x="474"/>
        <item x="1102"/>
        <item x="189"/>
        <item x="1056"/>
        <item x="301"/>
        <item x="716"/>
        <item x="695"/>
        <item x="792"/>
        <item x="1064"/>
        <item x="473"/>
        <item x="714"/>
        <item t="default"/>
      </items>
    </pivotField>
    <pivotField showAll="0">
      <items count="4">
        <item x="1"/>
        <item h="1" x="0"/>
        <item h="1" x="2"/>
        <item t="default"/>
      </items>
    </pivotField>
    <pivotField showAll="0">
      <items count="5">
        <item h="1" x="0"/>
        <item h="1" x="2"/>
        <item h="1" x="1"/>
        <item x="3"/>
        <item t="default"/>
      </items>
    </pivotField>
    <pivotField showAll="0">
      <items count="4">
        <item x="1"/>
        <item h="1" x="2"/>
        <item x="0"/>
        <item t="default"/>
      </items>
    </pivotField>
    <pivotField showAll="0"/>
    <pivotField showAll="0"/>
    <pivotField showAll="0"/>
    <pivotField showAll="0"/>
    <pivotField showAll="0">
      <items count="15">
        <item x="7"/>
        <item x="9"/>
        <item x="10"/>
        <item x="0"/>
        <item x="13"/>
        <item x="5"/>
        <item x="4"/>
        <item x="2"/>
        <item h="1" x="8"/>
        <item h="1" x="12"/>
        <item h="1" x="6"/>
        <item h="1" x="11"/>
        <item x="3"/>
        <item h="1" x="1"/>
        <item t="default"/>
      </items>
    </pivotField>
    <pivotField showAll="0"/>
    <pivotField axis="axisRow" showAll="0">
      <items count="6">
        <item x="1"/>
        <item x="3"/>
        <item x="0"/>
        <item x="2"/>
        <item h="1" x="4"/>
        <item t="default"/>
      </items>
    </pivotField>
    <pivotField showAll="0">
      <items count="13">
        <item h="1" x="0"/>
        <item x="5"/>
        <item x="6"/>
        <item h="1" x="1"/>
        <item h="1" x="3"/>
        <item h="1" x="7"/>
        <item x="4"/>
        <item h="1" x="9"/>
        <item x="2"/>
        <item h="1" x="8"/>
        <item x="10"/>
        <item x="11"/>
        <item t="default"/>
      </items>
    </pivotField>
    <pivotField showAll="0"/>
  </pivotFields>
  <rowFields count="1">
    <field x="19"/>
  </rowFields>
  <rowItems count="5">
    <i>
      <x/>
    </i>
    <i>
      <x v="1"/>
    </i>
    <i>
      <x v="2"/>
    </i>
    <i>
      <x v="3"/>
    </i>
    <i t="grand">
      <x/>
    </i>
  </rowItems>
  <colFields count="1">
    <field x="-2"/>
  </colFields>
  <colItems count="3">
    <i>
      <x/>
    </i>
    <i i="1">
      <x v="1"/>
    </i>
    <i i="2">
      <x v="2"/>
    </i>
  </colItems>
  <dataFields count="3">
    <dataField name="Sum of Total Sale" fld="6" baseField="0" baseItem="0"/>
    <dataField name="Sum of Profit/Loss" fld="9" baseField="0" baseItem="0"/>
    <dataField name="Sum of Qty Sold" fld="4" baseField="0" baseItem="0"/>
  </dataFields>
  <chartFormats count="15">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9" count="1" selected="0">
            <x v="1"/>
          </reference>
        </references>
      </pivotArea>
    </chartFormat>
    <chartFormat chart="9" format="14">
      <pivotArea type="data" outline="0" fieldPosition="0">
        <references count="2">
          <reference field="4294967294" count="1" selected="0">
            <x v="0"/>
          </reference>
          <reference field="19" count="1" selected="0">
            <x v="3"/>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19" count="1" selected="0">
            <x v="1"/>
          </reference>
        </references>
      </pivotArea>
    </chartFormat>
    <chartFormat chart="9" format="17">
      <pivotArea type="data" outline="0" fieldPosition="0">
        <references count="2">
          <reference field="4294967294" count="1" selected="0">
            <x v="1"/>
          </reference>
          <reference field="19" count="1" selected="0">
            <x v="3"/>
          </reference>
        </references>
      </pivotArea>
    </chartFormat>
    <chartFormat chart="9" format="18" series="1">
      <pivotArea type="data" outline="0" fieldPosition="0">
        <references count="1">
          <reference field="4294967294" count="1" selected="0">
            <x v="2"/>
          </reference>
        </references>
      </pivotArea>
    </chartFormat>
    <chartFormat chart="9" format="19">
      <pivotArea type="data" outline="0" fieldPosition="0">
        <references count="2">
          <reference field="4294967294" count="1" selected="0">
            <x v="2"/>
          </reference>
          <reference field="19" count="1" selected="0">
            <x v="1"/>
          </reference>
        </references>
      </pivotArea>
    </chartFormat>
    <chartFormat chart="9" format="20">
      <pivotArea type="data" outline="0" fieldPosition="0">
        <references count="2">
          <reference field="4294967294" count="1" selected="0">
            <x v="2"/>
          </reference>
          <reference field="19" count="1" selected="0">
            <x v="3"/>
          </reference>
        </references>
      </pivotArea>
    </chartFormat>
    <chartFormat chart="9" format="21">
      <pivotArea type="data" outline="0" fieldPosition="0">
        <references count="2">
          <reference field="4294967294" count="1" selected="0">
            <x v="0"/>
          </reference>
          <reference field="19" count="1" selected="0">
            <x v="0"/>
          </reference>
        </references>
      </pivotArea>
    </chartFormat>
    <chartFormat chart="9" format="22">
      <pivotArea type="data" outline="0" fieldPosition="0">
        <references count="2">
          <reference field="4294967294" count="1" selected="0">
            <x v="0"/>
          </reference>
          <reference field="19" count="1" selected="0">
            <x v="4"/>
          </reference>
        </references>
      </pivotArea>
    </chartFormat>
    <chartFormat chart="9" format="23">
      <pivotArea type="data" outline="0" fieldPosition="0">
        <references count="2">
          <reference field="4294967294" count="1" selected="0">
            <x v="1"/>
          </reference>
          <reference field="19" count="1" selected="0">
            <x v="0"/>
          </reference>
        </references>
      </pivotArea>
    </chartFormat>
    <chartFormat chart="9" format="24">
      <pivotArea type="data" outline="0" fieldPosition="0">
        <references count="2">
          <reference field="4294967294" count="1" selected="0">
            <x v="1"/>
          </reference>
          <reference field="19" count="1" selected="0">
            <x v="4"/>
          </reference>
        </references>
      </pivotArea>
    </chartFormat>
    <chartFormat chart="9" format="25">
      <pivotArea type="data" outline="0" fieldPosition="0">
        <references count="2">
          <reference field="4294967294" count="1" selected="0">
            <x v="2"/>
          </reference>
          <reference field="19" count="1" selected="0">
            <x v="0"/>
          </reference>
        </references>
      </pivotArea>
    </chartFormat>
    <chartFormat chart="9" format="26">
      <pivotArea type="data" outline="0" fieldPosition="0">
        <references count="2">
          <reference field="4294967294" count="1" selected="0">
            <x v="2"/>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A1CE50-7400-47E3-B913-C0423FADCB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10:D15" firstHeaderRow="0" firstDataRow="1" firstDataCol="1"/>
  <pivotFields count="22">
    <pivotField numFmtId="14" showAll="0"/>
    <pivotField showAll="0">
      <items count="7">
        <item x="1"/>
        <item h="1" x="2"/>
        <item h="1" x="4"/>
        <item h="1" x="3"/>
        <item h="1" x="0"/>
        <item h="1" x="5"/>
        <item t="default"/>
      </items>
    </pivotField>
    <pivotField showAll="0"/>
    <pivotField showAll="0"/>
    <pivotField showAll="0">
      <items count="486">
        <item x="451"/>
        <item x="273"/>
        <item x="442"/>
        <item x="79"/>
        <item x="378"/>
        <item x="293"/>
        <item x="474"/>
        <item x="152"/>
        <item x="475"/>
        <item x="141"/>
        <item x="45"/>
        <item x="253"/>
        <item x="121"/>
        <item x="371"/>
        <item x="188"/>
        <item x="165"/>
        <item x="422"/>
        <item x="424"/>
        <item x="332"/>
        <item x="433"/>
        <item x="286"/>
        <item x="220"/>
        <item x="484"/>
        <item x="106"/>
        <item x="356"/>
        <item x="75"/>
        <item x="112"/>
        <item x="176"/>
        <item x="414"/>
        <item x="179"/>
        <item x="189"/>
        <item x="214"/>
        <item x="355"/>
        <item x="185"/>
        <item x="456"/>
        <item x="462"/>
        <item x="323"/>
        <item x="67"/>
        <item x="464"/>
        <item x="321"/>
        <item x="136"/>
        <item x="282"/>
        <item x="65"/>
        <item x="238"/>
        <item x="230"/>
        <item x="3"/>
        <item x="476"/>
        <item x="103"/>
        <item x="47"/>
        <item x="407"/>
        <item x="84"/>
        <item x="337"/>
        <item x="264"/>
        <item x="71"/>
        <item x="60"/>
        <item x="406"/>
        <item x="334"/>
        <item x="252"/>
        <item x="22"/>
        <item x="413"/>
        <item x="41"/>
        <item x="299"/>
        <item x="331"/>
        <item x="172"/>
        <item x="365"/>
        <item x="236"/>
        <item x="395"/>
        <item x="166"/>
        <item x="268"/>
        <item x="221"/>
        <item x="120"/>
        <item x="137"/>
        <item x="272"/>
        <item x="317"/>
        <item x="211"/>
        <item x="19"/>
        <item x="127"/>
        <item x="461"/>
        <item x="418"/>
        <item x="73"/>
        <item x="42"/>
        <item x="399"/>
        <item x="193"/>
        <item x="298"/>
        <item x="168"/>
        <item x="376"/>
        <item x="244"/>
        <item x="303"/>
        <item x="394"/>
        <item x="278"/>
        <item x="419"/>
        <item x="20"/>
        <item x="257"/>
        <item x="107"/>
        <item x="192"/>
        <item x="367"/>
        <item x="89"/>
        <item x="470"/>
        <item x="276"/>
        <item x="361"/>
        <item x="226"/>
        <item x="291"/>
        <item x="313"/>
        <item x="124"/>
        <item x="285"/>
        <item x="412"/>
        <item x="143"/>
        <item x="384"/>
        <item x="274"/>
        <item x="190"/>
        <item x="198"/>
        <item x="315"/>
        <item x="344"/>
        <item x="237"/>
        <item x="477"/>
        <item x="301"/>
        <item x="169"/>
        <item x="36"/>
        <item x="440"/>
        <item x="184"/>
        <item x="287"/>
        <item x="373"/>
        <item x="289"/>
        <item x="35"/>
        <item x="392"/>
        <item x="229"/>
        <item x="425"/>
        <item x="116"/>
        <item x="284"/>
        <item x="115"/>
        <item x="64"/>
        <item x="338"/>
        <item x="213"/>
        <item x="377"/>
        <item x="62"/>
        <item x="98"/>
        <item x="135"/>
        <item x="180"/>
        <item x="471"/>
        <item x="467"/>
        <item x="466"/>
        <item x="101"/>
        <item x="53"/>
        <item x="435"/>
        <item x="122"/>
        <item x="382"/>
        <item x="58"/>
        <item x="6"/>
        <item x="149"/>
        <item x="310"/>
        <item x="197"/>
        <item x="88"/>
        <item x="347"/>
        <item x="186"/>
        <item x="151"/>
        <item x="398"/>
        <item x="12"/>
        <item x="249"/>
        <item x="387"/>
        <item x="54"/>
        <item x="294"/>
        <item x="216"/>
        <item x="82"/>
        <item x="7"/>
        <item x="437"/>
        <item x="231"/>
        <item x="449"/>
        <item x="410"/>
        <item x="280"/>
        <item x="345"/>
        <item x="222"/>
        <item x="8"/>
        <item x="72"/>
        <item x="263"/>
        <item x="201"/>
        <item x="261"/>
        <item x="80"/>
        <item x="482"/>
        <item x="157"/>
        <item x="30"/>
        <item x="358"/>
        <item x="266"/>
        <item x="85"/>
        <item x="139"/>
        <item x="1"/>
        <item x="183"/>
        <item x="208"/>
        <item x="363"/>
        <item x="145"/>
        <item x="2"/>
        <item x="5"/>
        <item x="326"/>
        <item x="256"/>
        <item x="196"/>
        <item x="381"/>
        <item x="341"/>
        <item x="357"/>
        <item x="0"/>
        <item x="279"/>
        <item x="453"/>
        <item x="325"/>
        <item x="270"/>
        <item x="441"/>
        <item x="125"/>
        <item x="312"/>
        <item x="460"/>
        <item x="322"/>
        <item x="447"/>
        <item x="242"/>
        <item x="91"/>
        <item x="219"/>
        <item x="156"/>
        <item x="450"/>
        <item x="333"/>
        <item x="459"/>
        <item x="465"/>
        <item x="21"/>
        <item x="97"/>
        <item x="95"/>
        <item x="104"/>
        <item x="281"/>
        <item x="454"/>
        <item x="320"/>
        <item x="16"/>
        <item x="160"/>
        <item x="359"/>
        <item x="159"/>
        <item x="134"/>
        <item x="55"/>
        <item x="206"/>
        <item x="411"/>
        <item x="318"/>
        <item x="375"/>
        <item x="173"/>
        <item x="37"/>
        <item x="383"/>
        <item x="390"/>
        <item x="288"/>
        <item x="111"/>
        <item x="182"/>
        <item x="167"/>
        <item x="205"/>
        <item x="94"/>
        <item x="245"/>
        <item x="119"/>
        <item x="49"/>
        <item x="339"/>
        <item x="426"/>
        <item x="86"/>
        <item x="243"/>
        <item x="319"/>
        <item x="33"/>
        <item x="417"/>
        <item x="118"/>
        <item x="368"/>
        <item x="161"/>
        <item x="483"/>
        <item x="68"/>
        <item x="81"/>
        <item x="77"/>
        <item x="204"/>
        <item x="241"/>
        <item x="481"/>
        <item x="218"/>
        <item x="349"/>
        <item x="362"/>
        <item x="439"/>
        <item x="314"/>
        <item x="114"/>
        <item x="354"/>
        <item x="306"/>
        <item x="370"/>
        <item x="457"/>
        <item x="401"/>
        <item x="472"/>
        <item x="258"/>
        <item x="148"/>
        <item x="385"/>
        <item x="155"/>
        <item x="351"/>
        <item x="352"/>
        <item x="96"/>
        <item x="29"/>
        <item x="448"/>
        <item x="479"/>
        <item x="468"/>
        <item x="473"/>
        <item x="108"/>
        <item x="14"/>
        <item x="429"/>
        <item x="40"/>
        <item x="297"/>
        <item x="48"/>
        <item x="408"/>
        <item x="343"/>
        <item x="28"/>
        <item x="23"/>
        <item x="163"/>
        <item x="76"/>
        <item x="415"/>
        <item x="308"/>
        <item x="458"/>
        <item x="38"/>
        <item x="105"/>
        <item x="346"/>
        <item x="200"/>
        <item x="187"/>
        <item x="311"/>
        <item x="432"/>
        <item x="181"/>
        <item x="153"/>
        <item x="330"/>
        <item x="24"/>
        <item x="400"/>
        <item x="350"/>
        <item x="113"/>
        <item x="309"/>
        <item x="130"/>
        <item x="32"/>
        <item x="174"/>
        <item x="150"/>
        <item x="324"/>
        <item x="364"/>
        <item x="203"/>
        <item x="34"/>
        <item x="177"/>
        <item x="31"/>
        <item x="50"/>
        <item x="404"/>
        <item x="305"/>
        <item x="353"/>
        <item x="178"/>
        <item x="74"/>
        <item x="128"/>
        <item x="396"/>
        <item x="403"/>
        <item x="110"/>
        <item x="171"/>
        <item x="307"/>
        <item x="386"/>
        <item x="379"/>
        <item x="109"/>
        <item x="146"/>
        <item x="4"/>
        <item x="316"/>
        <item x="18"/>
        <item x="162"/>
        <item x="254"/>
        <item x="271"/>
        <item x="283"/>
        <item x="140"/>
        <item x="423"/>
        <item x="436"/>
        <item x="15"/>
        <item x="210"/>
        <item x="296"/>
        <item x="69"/>
        <item x="342"/>
        <item x="99"/>
        <item x="9"/>
        <item x="164"/>
        <item x="102"/>
        <item x="78"/>
        <item x="443"/>
        <item x="431"/>
        <item x="212"/>
        <item x="13"/>
        <item x="250"/>
        <item x="66"/>
        <item x="444"/>
        <item x="295"/>
        <item x="59"/>
        <item x="290"/>
        <item x="11"/>
        <item x="131"/>
        <item x="328"/>
        <item x="348"/>
        <item x="427"/>
        <item x="194"/>
        <item x="235"/>
        <item x="227"/>
        <item x="224"/>
        <item x="61"/>
        <item x="17"/>
        <item x="199"/>
        <item x="275"/>
        <item x="409"/>
        <item x="223"/>
        <item x="240"/>
        <item x="26"/>
        <item x="455"/>
        <item x="209"/>
        <item x="27"/>
        <item x="234"/>
        <item x="260"/>
        <item x="195"/>
        <item x="239"/>
        <item x="144"/>
        <item x="142"/>
        <item x="374"/>
        <item x="380"/>
        <item x="233"/>
        <item x="43"/>
        <item x="267"/>
        <item x="388"/>
        <item x="277"/>
        <item x="446"/>
        <item x="445"/>
        <item x="327"/>
        <item x="191"/>
        <item x="251"/>
        <item x="46"/>
        <item x="63"/>
        <item x="93"/>
        <item x="123"/>
        <item x="25"/>
        <item x="92"/>
        <item x="248"/>
        <item x="57"/>
        <item x="372"/>
        <item x="126"/>
        <item x="56"/>
        <item x="132"/>
        <item x="232"/>
        <item x="117"/>
        <item x="217"/>
        <item x="389"/>
        <item x="39"/>
        <item x="438"/>
        <item x="202"/>
        <item x="265"/>
        <item x="360"/>
        <item x="304"/>
        <item x="480"/>
        <item x="430"/>
        <item x="463"/>
        <item x="416"/>
        <item x="133"/>
        <item x="207"/>
        <item x="52"/>
        <item x="393"/>
        <item x="90"/>
        <item x="225"/>
        <item x="246"/>
        <item x="300"/>
        <item x="434"/>
        <item x="175"/>
        <item x="420"/>
        <item x="340"/>
        <item x="478"/>
        <item x="397"/>
        <item x="259"/>
        <item x="83"/>
        <item x="452"/>
        <item x="428"/>
        <item x="366"/>
        <item x="51"/>
        <item x="302"/>
        <item x="154"/>
        <item x="158"/>
        <item x="100"/>
        <item x="336"/>
        <item x="391"/>
        <item x="170"/>
        <item x="405"/>
        <item x="421"/>
        <item x="292"/>
        <item x="269"/>
        <item x="329"/>
        <item x="262"/>
        <item x="255"/>
        <item x="70"/>
        <item x="129"/>
        <item x="147"/>
        <item x="215"/>
        <item x="138"/>
        <item x="469"/>
        <item x="10"/>
        <item x="402"/>
        <item x="87"/>
        <item x="228"/>
        <item x="247"/>
        <item x="335"/>
        <item x="44"/>
        <item x="369"/>
        <item t="default"/>
      </items>
    </pivotField>
    <pivotField showAll="0"/>
    <pivotField dataField="1" showAll="0">
      <items count="1304">
        <item x="885"/>
        <item x="1112"/>
        <item x="778"/>
        <item x="1080"/>
        <item x="905"/>
        <item x="126"/>
        <item x="245"/>
        <item x="753"/>
        <item x="347"/>
        <item x="1177"/>
        <item x="822"/>
        <item x="1222"/>
        <item x="904"/>
        <item x="1217"/>
        <item x="260"/>
        <item x="482"/>
        <item x="1143"/>
        <item x="1076"/>
        <item x="805"/>
        <item x="202"/>
        <item x="46"/>
        <item x="429"/>
        <item x="83"/>
        <item x="314"/>
        <item x="843"/>
        <item x="1122"/>
        <item x="588"/>
        <item x="1063"/>
        <item x="1276"/>
        <item x="475"/>
        <item x="69"/>
        <item x="1134"/>
        <item x="716"/>
        <item x="1056"/>
        <item x="1109"/>
        <item x="275"/>
        <item x="169"/>
        <item x="574"/>
        <item x="491"/>
        <item x="217"/>
        <item x="384"/>
        <item x="1106"/>
        <item x="335"/>
        <item x="278"/>
        <item x="648"/>
        <item x="647"/>
        <item x="605"/>
        <item x="313"/>
        <item x="925"/>
        <item x="897"/>
        <item x="171"/>
        <item x="1023"/>
        <item x="409"/>
        <item x="1214"/>
        <item x="1040"/>
        <item x="1141"/>
        <item x="1278"/>
        <item x="719"/>
        <item x="188"/>
        <item x="1002"/>
        <item x="1144"/>
        <item x="815"/>
        <item x="780"/>
        <item x="990"/>
        <item x="20"/>
        <item x="117"/>
        <item x="1162"/>
        <item x="1292"/>
        <item x="79"/>
        <item x="469"/>
        <item x="731"/>
        <item x="513"/>
        <item x="1200"/>
        <item x="613"/>
        <item x="296"/>
        <item x="922"/>
        <item x="274"/>
        <item x="1264"/>
        <item x="1190"/>
        <item x="846"/>
        <item x="320"/>
        <item x="111"/>
        <item x="222"/>
        <item x="1153"/>
        <item x="1193"/>
        <item x="924"/>
        <item x="1295"/>
        <item x="692"/>
        <item x="548"/>
        <item x="1180"/>
        <item x="823"/>
        <item x="321"/>
        <item x="49"/>
        <item x="156"/>
        <item x="606"/>
        <item x="1273"/>
        <item x="194"/>
        <item x="723"/>
        <item x="783"/>
        <item x="683"/>
        <item x="206"/>
        <item x="416"/>
        <item x="970"/>
        <item x="37"/>
        <item x="212"/>
        <item x="576"/>
        <item x="36"/>
        <item x="1272"/>
        <item x="450"/>
        <item x="213"/>
        <item x="174"/>
        <item x="774"/>
        <item x="906"/>
        <item x="682"/>
        <item x="832"/>
        <item x="1293"/>
        <item x="271"/>
        <item x="1223"/>
        <item x="1016"/>
        <item x="757"/>
        <item x="1251"/>
        <item x="1036"/>
        <item x="1012"/>
        <item x="277"/>
        <item x="150"/>
        <item x="1239"/>
        <item x="851"/>
        <item x="626"/>
        <item x="537"/>
        <item x="468"/>
        <item x="711"/>
        <item x="642"/>
        <item x="496"/>
        <item x="144"/>
        <item x="676"/>
        <item x="1136"/>
        <item x="364"/>
        <item x="151"/>
        <item x="215"/>
        <item x="23"/>
        <item x="620"/>
        <item x="584"/>
        <item x="42"/>
        <item x="1075"/>
        <item x="1017"/>
        <item x="354"/>
        <item x="664"/>
        <item x="544"/>
        <item x="1171"/>
        <item x="888"/>
        <item x="634"/>
        <item x="129"/>
        <item x="943"/>
        <item x="912"/>
        <item x="223"/>
        <item x="373"/>
        <item x="1115"/>
        <item x="799"/>
        <item x="1160"/>
        <item x="425"/>
        <item x="88"/>
        <item x="337"/>
        <item x="395"/>
        <item x="125"/>
        <item x="803"/>
        <item x="963"/>
        <item x="853"/>
        <item x="146"/>
        <item x="737"/>
        <item x="344"/>
        <item x="158"/>
        <item x="167"/>
        <item x="323"/>
        <item x="480"/>
        <item x="1089"/>
        <item x="1049"/>
        <item x="567"/>
        <item x="1266"/>
        <item x="680"/>
        <item x="586"/>
        <item x="540"/>
        <item x="186"/>
        <item x="710"/>
        <item x="1026"/>
        <item x="744"/>
        <item x="1003"/>
        <item x="1126"/>
        <item x="76"/>
        <item x="1147"/>
        <item x="43"/>
        <item x="1280"/>
        <item x="1176"/>
        <item x="240"/>
        <item x="259"/>
        <item x="176"/>
        <item x="1170"/>
        <item x="442"/>
        <item x="958"/>
        <item x="455"/>
        <item x="916"/>
        <item x="377"/>
        <item x="804"/>
        <item x="386"/>
        <item x="1020"/>
        <item x="1078"/>
        <item x="602"/>
        <item x="228"/>
        <item x="745"/>
        <item x="720"/>
        <item x="47"/>
        <item x="908"/>
        <item x="718"/>
        <item x="385"/>
        <item x="858"/>
        <item x="189"/>
        <item x="389"/>
        <item x="637"/>
        <item x="339"/>
        <item x="235"/>
        <item x="793"/>
        <item x="791"/>
        <item x="684"/>
        <item x="1271"/>
        <item x="382"/>
        <item x="511"/>
        <item x="935"/>
        <item x="1195"/>
        <item x="214"/>
        <item x="295"/>
        <item x="461"/>
        <item x="110"/>
        <item x="703"/>
        <item x="714"/>
        <item x="686"/>
        <item x="1127"/>
        <item x="85"/>
        <item x="645"/>
        <item x="292"/>
        <item x="411"/>
        <item x="1237"/>
        <item x="871"/>
        <item x="707"/>
        <item x="443"/>
        <item x="133"/>
        <item x="854"/>
        <item x="352"/>
        <item x="541"/>
        <item x="933"/>
        <item x="979"/>
        <item x="1152"/>
        <item x="1074"/>
        <item x="959"/>
        <item x="348"/>
        <item x="856"/>
        <item x="566"/>
        <item x="353"/>
        <item x="839"/>
        <item x="413"/>
        <item x="1279"/>
        <item x="100"/>
        <item x="653"/>
        <item x="516"/>
        <item x="867"/>
        <item x="1015"/>
        <item x="845"/>
        <item x="1133"/>
        <item x="1010"/>
        <item x="1151"/>
        <item x="191"/>
        <item x="1155"/>
        <item x="689"/>
        <item x="580"/>
        <item x="1070"/>
        <item x="24"/>
        <item x="399"/>
        <item x="185"/>
        <item x="155"/>
        <item x="738"/>
        <item x="418"/>
        <item x="600"/>
        <item x="388"/>
        <item x="956"/>
        <item x="59"/>
        <item x="9"/>
        <item x="219"/>
        <item x="439"/>
        <item x="227"/>
        <item x="727"/>
        <item x="1226"/>
        <item x="252"/>
        <item x="1064"/>
        <item x="1163"/>
        <item x="879"/>
        <item x="257"/>
        <item x="33"/>
        <item x="1117"/>
        <item x="470"/>
        <item x="503"/>
        <item x="1158"/>
        <item x="999"/>
        <item x="1105"/>
        <item x="251"/>
        <item x="401"/>
        <item x="255"/>
        <item x="628"/>
        <item x="465"/>
        <item x="836"/>
        <item x="332"/>
        <item x="428"/>
        <item x="1142"/>
        <item x="1186"/>
        <item x="1119"/>
        <item x="484"/>
        <item x="1048"/>
        <item x="453"/>
        <item x="733"/>
        <item x="1061"/>
        <item x="825"/>
        <item x="598"/>
        <item x="263"/>
        <item x="130"/>
        <item x="910"/>
        <item x="1097"/>
        <item x="346"/>
        <item x="247"/>
        <item x="408"/>
        <item x="1249"/>
        <item x="410"/>
        <item x="812"/>
        <item x="84"/>
        <item x="1262"/>
        <item x="827"/>
        <item x="1284"/>
        <item x="73"/>
        <item x="800"/>
        <item x="982"/>
        <item x="14"/>
        <item x="830"/>
        <item x="865"/>
        <item x="1059"/>
        <item x="367"/>
        <item x="89"/>
        <item x="1009"/>
        <item x="12"/>
        <item x="196"/>
        <item x="92"/>
        <item x="926"/>
        <item x="1037"/>
        <item x="915"/>
        <item x="463"/>
        <item x="1182"/>
        <item x="713"/>
        <item x="1079"/>
        <item x="1146"/>
        <item x="1161"/>
        <item x="552"/>
        <item x="297"/>
        <item x="5"/>
        <item x="305"/>
        <item x="1242"/>
        <item x="365"/>
        <item x="244"/>
        <item x="372"/>
        <item x="112"/>
        <item x="226"/>
        <item x="55"/>
        <item x="441"/>
        <item x="931"/>
        <item x="996"/>
        <item x="899"/>
        <item x="390"/>
        <item x="67"/>
        <item x="86"/>
        <item x="625"/>
        <item x="957"/>
        <item x="866"/>
        <item x="392"/>
        <item x="946"/>
        <item x="393"/>
        <item x="309"/>
        <item x="1060"/>
        <item x="876"/>
        <item x="557"/>
        <item x="1091"/>
        <item x="715"/>
        <item x="1192"/>
        <item x="460"/>
        <item x="521"/>
        <item x="58"/>
        <item x="527"/>
        <item x="966"/>
        <item x="264"/>
        <item x="773"/>
        <item x="1210"/>
        <item x="256"/>
        <item x="1243"/>
        <item x="293"/>
        <item x="40"/>
        <item x="330"/>
        <item x="376"/>
        <item x="1129"/>
        <item x="831"/>
        <item x="795"/>
        <item x="884"/>
        <item x="66"/>
        <item x="419"/>
        <item x="1302"/>
        <item x="1294"/>
        <item x="177"/>
        <item x="919"/>
        <item x="22"/>
        <item x="299"/>
        <item x="651"/>
        <item x="1216"/>
        <item x="1062"/>
        <item x="261"/>
        <item x="646"/>
        <item x="1044"/>
        <item x="420"/>
        <item x="17"/>
        <item x="583"/>
        <item x="417"/>
        <item x="207"/>
        <item x="941"/>
        <item x="1145"/>
        <item x="242"/>
        <item x="1165"/>
        <item x="179"/>
        <item x="673"/>
        <item x="767"/>
        <item x="398"/>
        <item x="965"/>
        <item x="886"/>
        <item x="980"/>
        <item x="1103"/>
        <item x="726"/>
        <item x="829"/>
        <item x="507"/>
        <item x="736"/>
        <item x="64"/>
        <item x="578"/>
        <item x="147"/>
        <item x="1018"/>
        <item x="11"/>
        <item x="679"/>
        <item x="599"/>
        <item x="91"/>
        <item x="508"/>
        <item x="514"/>
        <item x="430"/>
        <item x="844"/>
        <item x="913"/>
        <item x="1257"/>
        <item x="742"/>
        <item x="761"/>
        <item x="190"/>
        <item x="357"/>
        <item x="6"/>
        <item x="98"/>
        <item x="477"/>
        <item x="61"/>
        <item x="518"/>
        <item x="779"/>
        <item x="1291"/>
        <item x="775"/>
        <item x="934"/>
        <item x="1028"/>
        <item x="1132"/>
        <item x="837"/>
        <item x="1252"/>
        <item x="168"/>
        <item x="472"/>
        <item x="1068"/>
        <item x="1043"/>
        <item x="70"/>
        <item x="893"/>
        <item x="1128"/>
        <item x="504"/>
        <item x="1228"/>
        <item x="291"/>
        <item x="241"/>
        <item x="101"/>
        <item x="360"/>
        <item x="1164"/>
        <item x="99"/>
        <item x="1077"/>
        <item x="849"/>
        <item x="434"/>
        <item x="7"/>
        <item x="1207"/>
        <item x="464"/>
        <item x="997"/>
        <item x="1014"/>
        <item x="569"/>
        <item x="955"/>
        <item x="1234"/>
        <item x="303"/>
        <item x="142"/>
        <item x="201"/>
        <item x="581"/>
        <item x="975"/>
        <item x="1007"/>
        <item x="533"/>
        <item x="493"/>
        <item x="534"/>
        <item x="932"/>
        <item x="467"/>
        <item x="880"/>
        <item x="197"/>
        <item x="807"/>
        <item x="231"/>
        <item x="558"/>
        <item x="887"/>
        <item x="209"/>
        <item x="294"/>
        <item x="286"/>
        <item x="515"/>
        <item x="1205"/>
        <item x="665"/>
        <item x="1288"/>
        <item x="890"/>
        <item x="1220"/>
        <item x="768"/>
        <item x="923"/>
        <item x="153"/>
        <item x="433"/>
        <item x="1236"/>
        <item x="210"/>
        <item x="766"/>
        <item x="743"/>
        <item x="553"/>
        <item x="123"/>
        <item x="216"/>
        <item x="643"/>
        <item x="2"/>
        <item x="1231"/>
        <item x="208"/>
        <item x="1029"/>
        <item x="273"/>
        <item x="607"/>
        <item x="445"/>
        <item x="118"/>
        <item x="725"/>
        <item x="137"/>
        <item x="954"/>
        <item x="531"/>
        <item x="1169"/>
        <item x="0"/>
        <item x="988"/>
        <item x="1004"/>
        <item x="1098"/>
        <item x="368"/>
        <item x="900"/>
        <item x="1269"/>
        <item x="724"/>
        <item x="285"/>
        <item x="983"/>
        <item x="658"/>
        <item x="1219"/>
        <item x="593"/>
        <item x="77"/>
        <item x="115"/>
        <item x="1104"/>
        <item x="195"/>
        <item x="1005"/>
        <item x="695"/>
        <item x="873"/>
        <item x="874"/>
        <item x="1051"/>
        <item x="19"/>
        <item x="211"/>
        <item x="315"/>
        <item x="789"/>
        <item x="343"/>
        <item x="656"/>
        <item x="1000"/>
        <item x="1071"/>
        <item x="734"/>
        <item x="1212"/>
        <item x="319"/>
        <item x="412"/>
        <item x="951"/>
        <item x="108"/>
        <item x="135"/>
        <item x="561"/>
        <item x="917"/>
        <item x="103"/>
        <item x="80"/>
        <item x="366"/>
        <item x="702"/>
        <item x="106"/>
        <item x="82"/>
        <item x="994"/>
        <item x="961"/>
        <item x="1232"/>
        <item x="939"/>
        <item x="546"/>
        <item x="749"/>
        <item x="1179"/>
        <item x="756"/>
        <item x="603"/>
        <item x="1137"/>
        <item x="56"/>
        <item x="60"/>
        <item x="796"/>
        <item x="310"/>
        <item x="1094"/>
        <item x="25"/>
        <item x="691"/>
        <item x="532"/>
        <item x="1045"/>
        <item x="283"/>
        <item x="859"/>
        <item x="269"/>
        <item x="601"/>
        <item x="1183"/>
        <item x="976"/>
        <item x="1282"/>
        <item x="116"/>
        <item x="542"/>
        <item x="550"/>
        <item x="717"/>
        <item x="1201"/>
        <item x="1057"/>
        <item x="1033"/>
        <item x="21"/>
        <item x="861"/>
        <item x="1011"/>
        <item x="821"/>
        <item x="124"/>
        <item x="1245"/>
        <item x="289"/>
        <item x="1238"/>
        <item x="180"/>
        <item x="765"/>
        <item x="1092"/>
        <item x="840"/>
        <item x="281"/>
        <item x="806"/>
        <item x="1140"/>
        <item x="1041"/>
        <item x="690"/>
        <item x="1066"/>
        <item x="394"/>
        <item x="1298"/>
        <item x="1069"/>
        <item x="597"/>
        <item x="333"/>
        <item x="159"/>
        <item x="1290"/>
        <item x="311"/>
        <item x="304"/>
        <item x="1030"/>
        <item x="790"/>
        <item x="1123"/>
        <item x="302"/>
        <item x="525"/>
        <item x="267"/>
        <item x="678"/>
        <item x="1299"/>
        <item x="936"/>
        <item x="1095"/>
        <item x="57"/>
        <item x="1244"/>
        <item x="894"/>
        <item x="1189"/>
        <item x="850"/>
        <item x="741"/>
        <item x="551"/>
        <item x="986"/>
        <item x="1087"/>
        <item x="781"/>
        <item x="1008"/>
        <item x="801"/>
        <item x="1035"/>
        <item x="992"/>
        <item x="810"/>
        <item x="400"/>
        <item x="672"/>
        <item x="1084"/>
        <item x="141"/>
        <item x="53"/>
        <item x="1093"/>
        <item x="94"/>
        <item x="870"/>
        <item x="1046"/>
        <item x="1175"/>
        <item x="1032"/>
        <item x="1287"/>
        <item x="892"/>
        <item x="794"/>
        <item x="324"/>
        <item x="949"/>
        <item x="1096"/>
        <item x="776"/>
        <item x="1148"/>
        <item x="1072"/>
        <item x="896"/>
        <item x="205"/>
        <item x="483"/>
        <item x="530"/>
        <item x="559"/>
        <item x="811"/>
        <item x="30"/>
        <item x="479"/>
        <item x="1187"/>
        <item x="306"/>
        <item x="178"/>
        <item x="163"/>
        <item x="1099"/>
        <item x="220"/>
        <item x="751"/>
        <item x="995"/>
        <item x="944"/>
        <item x="987"/>
        <item x="1181"/>
        <item x="818"/>
        <item x="881"/>
        <item x="826"/>
        <item x="72"/>
        <item x="1116"/>
        <item x="50"/>
        <item x="28"/>
        <item x="254"/>
        <item x="327"/>
        <item x="1213"/>
        <item x="621"/>
        <item x="225"/>
        <item x="674"/>
        <item x="29"/>
        <item x="1268"/>
        <item x="287"/>
        <item x="1204"/>
        <item x="454"/>
        <item x="595"/>
        <item x="44"/>
        <item x="1197"/>
        <item x="877"/>
        <item x="109"/>
        <item x="528"/>
        <item x="644"/>
        <item x="510"/>
        <item x="1265"/>
        <item x="1173"/>
        <item x="444"/>
        <item x="964"/>
        <item x="128"/>
        <item x="1031"/>
        <item x="26"/>
        <item x="170"/>
        <item x="1168"/>
        <item x="1167"/>
        <item x="334"/>
        <item x="728"/>
        <item x="140"/>
        <item x="752"/>
        <item x="560"/>
        <item x="122"/>
        <item x="524"/>
        <item x="1157"/>
        <item x="740"/>
        <item x="1198"/>
        <item x="857"/>
        <item x="166"/>
        <item x="547"/>
        <item x="1281"/>
        <item x="474"/>
        <item x="616"/>
        <item x="440"/>
        <item x="739"/>
        <item x="1172"/>
        <item x="529"/>
        <item x="52"/>
        <item x="1261"/>
        <item x="1154"/>
        <item x="422"/>
        <item x="290"/>
        <item x="635"/>
        <item x="204"/>
        <item x="200"/>
        <item x="748"/>
        <item x="730"/>
        <item x="636"/>
        <item x="971"/>
        <item x="456"/>
        <item x="1199"/>
        <item x="667"/>
        <item x="609"/>
        <item x="1297"/>
        <item x="592"/>
        <item x="172"/>
        <item x="631"/>
        <item x="1058"/>
        <item x="967"/>
        <item x="1270"/>
        <item x="1050"/>
        <item x="1235"/>
        <item x="183"/>
        <item x="898"/>
        <item x="763"/>
        <item x="960"/>
        <item x="329"/>
        <item x="624"/>
        <item x="102"/>
        <item x="570"/>
        <item x="161"/>
        <item x="758"/>
        <item x="143"/>
        <item x="447"/>
        <item x="638"/>
        <item x="633"/>
        <item x="502"/>
        <item x="300"/>
        <item x="929"/>
        <item x="706"/>
        <item x="568"/>
        <item x="187"/>
        <item x="701"/>
        <item x="1247"/>
        <item x="864"/>
        <item x="54"/>
        <item x="243"/>
        <item x="407"/>
        <item x="396"/>
        <item x="1110"/>
        <item x="490"/>
        <item x="785"/>
        <item x="387"/>
        <item x="1120"/>
        <item x="1206"/>
        <item x="1230"/>
        <item x="699"/>
        <item x="1178"/>
        <item x="1233"/>
        <item x="438"/>
        <item x="265"/>
        <item x="326"/>
        <item x="27"/>
        <item x="938"/>
        <item x="1225"/>
        <item x="697"/>
        <item x="573"/>
        <item x="835"/>
        <item x="520"/>
        <item x="808"/>
        <item x="157"/>
        <item x="1025"/>
        <item x="838"/>
        <item x="652"/>
        <item x="539"/>
        <item x="338"/>
        <item x="13"/>
        <item x="351"/>
        <item x="471"/>
        <item x="481"/>
        <item x="221"/>
        <item x="65"/>
        <item x="145"/>
        <item x="1052"/>
        <item x="787"/>
        <item x="96"/>
        <item x="1114"/>
        <item x="587"/>
        <item x="132"/>
        <item x="458"/>
        <item x="630"/>
        <item x="280"/>
        <item x="426"/>
        <item x="612"/>
        <item x="1150"/>
        <item x="1082"/>
        <item x="1221"/>
        <item x="1166"/>
        <item x="1055"/>
        <item x="1194"/>
        <item x="945"/>
        <item x="816"/>
        <item x="1121"/>
        <item x="556"/>
        <item x="8"/>
        <item x="75"/>
        <item x="814"/>
        <item x="1088"/>
        <item x="820"/>
        <item x="362"/>
        <item x="318"/>
        <item x="1275"/>
        <item x="788"/>
        <item x="104"/>
        <item x="772"/>
        <item x="1102"/>
        <item x="813"/>
        <item x="485"/>
        <item x="379"/>
        <item x="301"/>
        <item x="148"/>
        <item x="1"/>
        <item x="654"/>
        <item x="649"/>
        <item x="270"/>
        <item x="594"/>
        <item x="45"/>
        <item x="358"/>
        <item x="554"/>
        <item x="762"/>
        <item x="1258"/>
        <item x="872"/>
        <item x="1283"/>
        <item x="572"/>
        <item x="930"/>
        <item x="907"/>
        <item x="342"/>
        <item x="855"/>
        <item x="131"/>
        <item x="1067"/>
        <item x="878"/>
        <item x="1138"/>
        <item x="95"/>
        <item x="841"/>
        <item x="705"/>
        <item x="1286"/>
        <item x="139"/>
        <item x="998"/>
        <item x="608"/>
        <item x="1111"/>
        <item x="359"/>
        <item x="735"/>
        <item x="969"/>
        <item x="38"/>
        <item x="1149"/>
        <item x="842"/>
        <item x="614"/>
        <item x="834"/>
        <item x="538"/>
        <item x="402"/>
        <item x="371"/>
        <item x="1274"/>
        <item x="549"/>
        <item x="78"/>
        <item x="1267"/>
        <item x="1113"/>
        <item x="182"/>
        <item x="1255"/>
        <item x="1229"/>
        <item x="81"/>
        <item x="234"/>
        <item x="882"/>
        <item x="948"/>
        <item x="604"/>
        <item x="675"/>
        <item x="677"/>
        <item x="1253"/>
        <item x="1174"/>
        <item x="162"/>
        <item x="1196"/>
        <item x="173"/>
        <item x="435"/>
        <item x="663"/>
        <item x="523"/>
        <item x="113"/>
        <item x="927"/>
        <item x="1027"/>
        <item x="764"/>
        <item x="1289"/>
        <item x="378"/>
        <item x="466"/>
        <item x="582"/>
        <item x="782"/>
        <item x="381"/>
        <item x="498"/>
        <item x="627"/>
        <item x="488"/>
        <item x="1241"/>
        <item x="436"/>
        <item x="199"/>
        <item x="427"/>
        <item x="476"/>
        <item x="817"/>
        <item x="35"/>
        <item x="203"/>
        <item x="585"/>
        <item x="671"/>
        <item x="784"/>
        <item x="977"/>
        <item x="331"/>
        <item x="114"/>
        <item x="160"/>
        <item x="536"/>
        <item x="1240"/>
        <item x="237"/>
        <item x="862"/>
        <item x="1301"/>
        <item x="375"/>
        <item x="596"/>
        <item x="16"/>
        <item x="1285"/>
        <item x="71"/>
        <item x="519"/>
        <item x="340"/>
        <item x="10"/>
        <item x="1159"/>
        <item x="1300"/>
        <item x="824"/>
        <item x="462"/>
        <item x="175"/>
        <item x="777"/>
        <item x="478"/>
        <item x="754"/>
        <item x="685"/>
        <item x="138"/>
        <item x="1208"/>
        <item x="224"/>
        <item x="266"/>
        <item x="288"/>
        <item x="62"/>
        <item x="229"/>
        <item x="349"/>
        <item x="709"/>
        <item x="1191"/>
        <item x="848"/>
        <item x="282"/>
        <item x="1156"/>
        <item x="1065"/>
        <item x="3"/>
        <item x="632"/>
        <item x="786"/>
        <item x="847"/>
        <item x="819"/>
        <item x="704"/>
        <item x="1085"/>
        <item x="914"/>
        <item x="696"/>
        <item x="298"/>
        <item x="107"/>
        <item x="641"/>
        <item x="363"/>
        <item x="972"/>
        <item x="312"/>
        <item x="164"/>
        <item x="369"/>
        <item x="1224"/>
        <item x="747"/>
        <item x="232"/>
        <item x="952"/>
        <item x="712"/>
        <item x="1215"/>
        <item x="991"/>
        <item x="238"/>
        <item x="432"/>
        <item x="622"/>
        <item x="666"/>
        <item x="619"/>
        <item x="1081"/>
        <item x="1047"/>
        <item x="239"/>
        <item x="902"/>
        <item x="1256"/>
        <item x="1086"/>
        <item x="501"/>
        <item x="87"/>
        <item x="889"/>
        <item x="921"/>
        <item x="918"/>
        <item x="74"/>
        <item x="615"/>
        <item x="937"/>
        <item x="1053"/>
        <item x="341"/>
        <item x="391"/>
        <item x="1254"/>
        <item x="1139"/>
        <item x="590"/>
        <item x="452"/>
        <item x="1260"/>
        <item x="732"/>
        <item x="662"/>
        <item x="968"/>
        <item x="650"/>
        <item x="688"/>
        <item x="136"/>
        <item x="722"/>
        <item x="489"/>
        <item x="374"/>
        <item x="405"/>
        <item x="262"/>
        <item x="449"/>
        <item x="505"/>
        <item x="1211"/>
        <item x="457"/>
        <item x="248"/>
        <item x="1118"/>
        <item x="562"/>
        <item x="617"/>
        <item x="345"/>
        <item x="974"/>
        <item x="623"/>
        <item x="1131"/>
        <item x="1083"/>
        <item x="760"/>
        <item x="404"/>
        <item x="1107"/>
        <item x="563"/>
        <item x="93"/>
        <item x="350"/>
        <item x="1100"/>
        <item x="1021"/>
        <item x="721"/>
        <item x="833"/>
        <item x="1296"/>
        <item x="1001"/>
        <item x="1022"/>
        <item x="448"/>
        <item x="526"/>
        <item x="495"/>
        <item x="192"/>
        <item x="852"/>
        <item x="993"/>
        <item x="589"/>
        <item x="272"/>
        <item x="121"/>
        <item x="120"/>
        <item x="660"/>
        <item x="509"/>
        <item x="1054"/>
        <item x="63"/>
        <item x="973"/>
        <item x="1209"/>
        <item x="1006"/>
        <item x="105"/>
        <item x="127"/>
        <item x="165"/>
        <item x="659"/>
        <item x="1101"/>
        <item x="246"/>
        <item x="451"/>
        <item x="655"/>
        <item x="1202"/>
        <item x="694"/>
        <item x="279"/>
        <item x="883"/>
        <item x="361"/>
        <item x="564"/>
        <item x="770"/>
        <item x="328"/>
        <item x="437"/>
        <item x="1248"/>
        <item x="486"/>
        <item x="31"/>
        <item x="798"/>
        <item x="591"/>
        <item x="920"/>
        <item x="1108"/>
        <item x="962"/>
        <item x="517"/>
        <item x="639"/>
        <item x="431"/>
        <item x="729"/>
        <item x="317"/>
        <item x="911"/>
        <item x="1263"/>
        <item x="1130"/>
        <item x="1124"/>
        <item x="940"/>
        <item x="640"/>
        <item x="978"/>
        <item x="869"/>
        <item x="746"/>
        <item x="446"/>
        <item x="1259"/>
        <item x="494"/>
        <item x="184"/>
        <item x="492"/>
        <item x="370"/>
        <item x="903"/>
        <item x="1184"/>
        <item x="181"/>
        <item x="414"/>
        <item x="236"/>
        <item x="459"/>
        <item x="981"/>
        <item x="198"/>
        <item x="1125"/>
        <item x="1019"/>
        <item x="895"/>
        <item x="698"/>
        <item x="543"/>
        <item x="51"/>
        <item x="947"/>
        <item x="90"/>
        <item x="759"/>
        <item x="34"/>
        <item x="565"/>
        <item x="809"/>
        <item x="901"/>
        <item x="258"/>
        <item x="119"/>
        <item x="792"/>
        <item x="423"/>
        <item x="1090"/>
        <item x="1039"/>
        <item x="1042"/>
        <item x="755"/>
        <item x="1034"/>
        <item x="1188"/>
        <item x="618"/>
        <item x="15"/>
        <item x="41"/>
        <item x="1073"/>
        <item x="522"/>
        <item x="218"/>
        <item x="828"/>
        <item x="1038"/>
        <item x="39"/>
        <item x="487"/>
        <item x="230"/>
        <item x="802"/>
        <item x="909"/>
        <item x="657"/>
        <item x="1024"/>
        <item x="708"/>
        <item x="383"/>
        <item x="545"/>
        <item x="1250"/>
        <item x="555"/>
        <item x="233"/>
        <item x="32"/>
        <item x="891"/>
        <item x="535"/>
        <item x="134"/>
        <item x="668"/>
        <item x="950"/>
        <item x="253"/>
        <item x="629"/>
        <item x="4"/>
        <item x="356"/>
        <item x="355"/>
        <item x="149"/>
        <item x="1135"/>
        <item x="687"/>
        <item x="397"/>
        <item x="985"/>
        <item x="250"/>
        <item x="1246"/>
        <item x="308"/>
        <item x="68"/>
        <item x="953"/>
        <item x="863"/>
        <item x="276"/>
        <item x="506"/>
        <item x="18"/>
        <item x="989"/>
        <item x="1185"/>
        <item x="497"/>
        <item x="424"/>
        <item x="984"/>
        <item x="307"/>
        <item x="1013"/>
        <item x="942"/>
        <item x="154"/>
        <item x="577"/>
        <item x="693"/>
        <item x="403"/>
        <item x="284"/>
        <item x="610"/>
        <item x="406"/>
        <item x="868"/>
        <item x="661"/>
        <item x="48"/>
        <item x="579"/>
        <item x="97"/>
        <item x="1203"/>
        <item x="380"/>
        <item x="249"/>
        <item x="928"/>
        <item x="575"/>
        <item x="700"/>
        <item x="473"/>
        <item x="611"/>
        <item x="669"/>
        <item x="336"/>
        <item x="670"/>
        <item x="421"/>
        <item x="797"/>
        <item x="860"/>
        <item x="152"/>
        <item x="268"/>
        <item x="415"/>
        <item x="681"/>
        <item x="512"/>
        <item x="325"/>
        <item x="322"/>
        <item x="571"/>
        <item x="500"/>
        <item x="1277"/>
        <item x="193"/>
        <item x="1218"/>
        <item x="316"/>
        <item x="771"/>
        <item x="750"/>
        <item x="875"/>
        <item x="1227"/>
        <item x="499"/>
        <item x="769"/>
        <item t="default"/>
      </items>
    </pivotField>
    <pivotField showAll="0"/>
    <pivotField showAll="0"/>
    <pivotField dataField="1" showAll="0">
      <items count="1122">
        <item x="802"/>
        <item x="981"/>
        <item x="721"/>
        <item x="957"/>
        <item x="820"/>
        <item x="123"/>
        <item x="238"/>
        <item x="700"/>
        <item x="1026"/>
        <item x="755"/>
        <item x="819"/>
        <item x="1055"/>
        <item x="253"/>
        <item x="454"/>
        <item x="404"/>
        <item x="742"/>
        <item x="198"/>
        <item x="1101"/>
        <item x="81"/>
        <item x="45"/>
        <item x="299"/>
        <item x="770"/>
        <item x="991"/>
        <item x="943"/>
        <item x="448"/>
        <item x="68"/>
        <item x="211"/>
        <item x="1112"/>
        <item x="164"/>
        <item x="978"/>
        <item x="266"/>
        <item x="464"/>
        <item x="975"/>
        <item x="811"/>
        <item x="366"/>
        <item x="317"/>
        <item x="269"/>
        <item x="609"/>
        <item x="608"/>
        <item x="298"/>
        <item x="840"/>
        <item x="166"/>
        <item x="913"/>
        <item x="114"/>
        <item x="183"/>
        <item x="668"/>
        <item x="907"/>
        <item x="265"/>
        <item x="723"/>
        <item x="889"/>
        <item x="20"/>
        <item x="1017"/>
        <item x="77"/>
        <item x="443"/>
        <item x="677"/>
        <item x="486"/>
        <item x="1043"/>
        <item x="580"/>
        <item x="286"/>
        <item x="838"/>
        <item x="1010"/>
        <item x="1034"/>
        <item x="647"/>
        <item x="305"/>
        <item x="108"/>
        <item x="216"/>
        <item x="875"/>
        <item x="839"/>
        <item x="521"/>
        <item x="1098"/>
        <item x="756"/>
        <item x="306"/>
        <item x="48"/>
        <item x="151"/>
        <item x="572"/>
        <item x="190"/>
        <item x="726"/>
        <item x="640"/>
        <item x="1084"/>
        <item x="268"/>
        <item x="36"/>
        <item x="208"/>
        <item x="207"/>
        <item x="470"/>
        <item x="35"/>
        <item x="884"/>
        <item x="425"/>
        <item x="23"/>
        <item x="718"/>
        <item x="41"/>
        <item x="1111"/>
        <item x="554"/>
        <item x="1061"/>
        <item x="442"/>
        <item x="928"/>
        <item x="140"/>
        <item x="146"/>
        <item x="1073"/>
        <item x="592"/>
        <item x="510"/>
        <item x="662"/>
        <item x="605"/>
        <item x="994"/>
        <item x="634"/>
        <item x="122"/>
        <item x="346"/>
        <item x="142"/>
        <item x="209"/>
        <item x="326"/>
        <item x="468"/>
        <item x="954"/>
        <item x="539"/>
        <item x="334"/>
        <item x="625"/>
        <item x="517"/>
        <item x="689"/>
        <item x="804"/>
        <item x="74"/>
        <item x="42"/>
        <item x="853"/>
        <item x="827"/>
        <item x="217"/>
        <item x="355"/>
        <item x="986"/>
        <item x="308"/>
        <item x="400"/>
        <item x="516"/>
        <item x="319"/>
        <item x="373"/>
        <item x="638"/>
        <item x="777"/>
        <item x="683"/>
        <item x="153"/>
        <item x="162"/>
        <item x="690"/>
        <item x="452"/>
        <item x="46"/>
        <item x="367"/>
        <item x="1094"/>
        <item x="513"/>
        <item x="181"/>
        <item x="661"/>
        <item x="735"/>
        <item x="917"/>
        <item x="898"/>
        <item x="995"/>
        <item x="926"/>
        <item x="1104"/>
        <item x="234"/>
        <item x="252"/>
        <item x="171"/>
        <item x="1022"/>
        <item x="417"/>
        <item x="864"/>
        <item x="387"/>
        <item x="831"/>
        <item x="359"/>
        <item x="667"/>
        <item x="741"/>
        <item x="184"/>
        <item x="321"/>
        <item x="329"/>
        <item x="956"/>
        <item x="569"/>
        <item x="222"/>
        <item x="669"/>
        <item x="823"/>
        <item x="781"/>
        <item x="369"/>
        <item x="613"/>
        <item x="229"/>
        <item x="733"/>
        <item x="641"/>
        <item x="364"/>
        <item x="484"/>
        <item x="1038"/>
        <item x="128"/>
        <item x="285"/>
        <item x="436"/>
        <item x="107"/>
        <item x="656"/>
        <item x="643"/>
        <item x="996"/>
        <item x="916"/>
        <item x="83"/>
        <item x="283"/>
        <item x="944"/>
        <item x="1072"/>
        <item x="614"/>
        <item x="418"/>
        <item x="778"/>
        <item x="333"/>
        <item x="844"/>
        <item x="1000"/>
        <item x="953"/>
        <item x="186"/>
        <item x="244"/>
        <item x="549"/>
        <item x="538"/>
        <item x="376"/>
        <item x="389"/>
        <item x="1103"/>
        <item x="97"/>
        <item x="488"/>
        <item x="906"/>
        <item x="337"/>
        <item x="903"/>
        <item x="774"/>
        <item x="1012"/>
        <item x="645"/>
        <item x="24"/>
        <item x="180"/>
        <item x="150"/>
        <item x="684"/>
        <item x="567"/>
        <item x="444"/>
        <item x="58"/>
        <item x="9"/>
        <item x="213"/>
        <item x="414"/>
        <item x="221"/>
        <item x="674"/>
        <item x="89"/>
        <item x="245"/>
        <item x="1018"/>
        <item x="796"/>
        <item x="250"/>
        <item x="32"/>
        <item x="1031"/>
        <item x="287"/>
        <item x="292"/>
        <item x="477"/>
        <item x="1015"/>
        <item x="54"/>
        <item x="378"/>
        <item x="430"/>
        <item x="248"/>
        <item x="84"/>
        <item x="594"/>
        <item x="439"/>
        <item x="766"/>
        <item x="403"/>
        <item x="1005"/>
        <item x="793"/>
        <item x="456"/>
        <item x="665"/>
        <item x="428"/>
        <item x="679"/>
        <item x="942"/>
        <item x="499"/>
        <item x="565"/>
        <item x="255"/>
        <item x="825"/>
        <item x="969"/>
        <item x="328"/>
        <item x="240"/>
        <item x="385"/>
        <item x="386"/>
        <item x="746"/>
        <item x="82"/>
        <item x="759"/>
        <item x="812"/>
        <item x="172"/>
        <item x="347"/>
        <item x="14"/>
        <item x="109"/>
        <item x="787"/>
        <item x="940"/>
        <item x="349"/>
        <item x="86"/>
        <item x="12"/>
        <item x="192"/>
        <item x="394"/>
        <item x="552"/>
        <item x="830"/>
        <item x="235"/>
        <item x="1027"/>
        <item x="664"/>
        <item x="372"/>
        <item x="870"/>
        <item x="524"/>
        <item x="5"/>
        <item x="850"/>
        <item x="761"/>
        <item x="237"/>
        <item x="354"/>
        <item x="220"/>
        <item x="416"/>
        <item x="566"/>
        <item x="894"/>
        <item x="487"/>
        <item x="66"/>
        <item x="358"/>
        <item x="591"/>
        <item x="1085"/>
        <item x="338"/>
        <item x="65"/>
        <item x="371"/>
        <item x="855"/>
        <item x="295"/>
        <item x="941"/>
        <item x="529"/>
        <item x="835"/>
        <item x="1036"/>
        <item x="435"/>
        <item x="493"/>
        <item x="57"/>
        <item x="871"/>
        <item x="256"/>
        <item x="1052"/>
        <item x="249"/>
        <item x="284"/>
        <item x="39"/>
        <item x="202"/>
        <item x="948"/>
        <item x="762"/>
        <item x="801"/>
        <item x="997"/>
        <item x="393"/>
        <item x="1120"/>
        <item x="1113"/>
        <item x="673"/>
        <item x="22"/>
        <item x="63"/>
        <item x="98"/>
        <item x="96"/>
        <item x="984"/>
        <item x="749"/>
        <item x="409"/>
        <item x="438"/>
        <item x="17"/>
        <item x="392"/>
        <item x="851"/>
        <item x="1006"/>
        <item x="1019"/>
        <item x="6"/>
        <item x="174"/>
        <item x="138"/>
        <item x="712"/>
        <item x="197"/>
        <item x="722"/>
        <item x="803"/>
        <item x="974"/>
        <item x="466"/>
        <item x="682"/>
        <item x="547"/>
        <item x="143"/>
        <item x="908"/>
        <item x="11"/>
        <item x="637"/>
        <item x="88"/>
        <item x="481"/>
        <item x="405"/>
        <item x="163"/>
        <item x="828"/>
        <item x="687"/>
        <item x="204"/>
        <item x="185"/>
        <item x="95"/>
        <item x="60"/>
        <item x="490"/>
        <item x="341"/>
        <item x="719"/>
        <item x="955"/>
        <item x="919"/>
        <item x="7"/>
        <item x="767"/>
        <item x="688"/>
        <item x="905"/>
        <item x="120"/>
        <item x="606"/>
        <item x="69"/>
        <item x="808"/>
        <item x="550"/>
        <item x="478"/>
        <item x="282"/>
        <item x="441"/>
        <item x="503"/>
        <item x="225"/>
        <item x="421"/>
        <item x="887"/>
        <item x="509"/>
        <item x="895"/>
        <item x="541"/>
        <item x="395"/>
        <item x="619"/>
        <item x="627"/>
        <item x="1058"/>
        <item x="879"/>
        <item x="713"/>
        <item x="505"/>
        <item x="506"/>
        <item x="148"/>
        <item x="797"/>
        <item x="205"/>
        <item x="193"/>
        <item x="525"/>
        <item x="935"/>
        <item x="530"/>
        <item x="206"/>
        <item x="2"/>
        <item x="732"/>
        <item x="920"/>
        <item x="277"/>
        <item x="952"/>
        <item x="573"/>
        <item x="1047"/>
        <item x="1025"/>
        <item x="672"/>
        <item x="130"/>
        <item x="1048"/>
        <item x="832"/>
        <item x="78"/>
        <item x="408"/>
        <item x="0"/>
        <item x="711"/>
        <item x="899"/>
        <item x="848"/>
        <item x="814"/>
        <item x="210"/>
        <item x="1067"/>
        <item x="203"/>
        <item x="264"/>
        <item x="25"/>
        <item x="504"/>
        <item x="115"/>
        <item x="805"/>
        <item x="133"/>
        <item x="900"/>
        <item x="912"/>
        <item x="514"/>
        <item x="927"/>
        <item x="821"/>
        <item x="970"/>
        <item x="350"/>
        <item x="169"/>
        <item x="276"/>
        <item x="754"/>
        <item x="1078"/>
        <item x="1057"/>
        <item x="304"/>
        <item x="75"/>
        <item x="105"/>
        <item x="1004"/>
        <item x="533"/>
        <item x="112"/>
        <item x="191"/>
        <item x="461"/>
        <item x="650"/>
        <item x="791"/>
        <item x="866"/>
        <item x="519"/>
        <item x="921"/>
        <item x="19"/>
        <item x="497"/>
        <item x="55"/>
        <item x="300"/>
        <item x="325"/>
        <item x="617"/>
        <item x="1119"/>
        <item x="950"/>
        <item x="868"/>
        <item x="680"/>
        <item x="775"/>
        <item x="388"/>
        <item x="782"/>
        <item x="860"/>
        <item x="568"/>
        <item x="925"/>
        <item x="880"/>
        <item x="100"/>
        <item x="377"/>
        <item x="348"/>
        <item x="113"/>
        <item x="103"/>
        <item x="80"/>
        <item x="892"/>
        <item x="666"/>
        <item x="1068"/>
        <item x="694"/>
        <item x="187"/>
        <item x="703"/>
        <item x="570"/>
        <item x="968"/>
        <item x="121"/>
        <item x="59"/>
        <item x="737"/>
        <item x="710"/>
        <item x="810"/>
        <item x="344"/>
        <item x="455"/>
        <item x="502"/>
        <item x="745"/>
        <item x="451"/>
        <item x="274"/>
        <item x="261"/>
        <item x="1028"/>
        <item x="949"/>
        <item x="893"/>
        <item x="296"/>
        <item x="752"/>
        <item x="523"/>
        <item x="987"/>
        <item x="259"/>
        <item x="21"/>
        <item x="967"/>
        <item x="312"/>
        <item x="219"/>
        <item x="280"/>
        <item x="1096"/>
        <item x="175"/>
        <item x="965"/>
        <item x="562"/>
        <item x="272"/>
        <item x="43"/>
        <item x="931"/>
        <item x="646"/>
        <item x="794"/>
        <item x="946"/>
        <item x="607"/>
        <item x="564"/>
        <item x="316"/>
        <item x="154"/>
        <item x="869"/>
        <item x="125"/>
        <item x="1109"/>
        <item x="26"/>
        <item x="309"/>
        <item x="291"/>
        <item x="636"/>
        <item x="845"/>
        <item x="56"/>
        <item x="136"/>
        <item x="532"/>
        <item x="119"/>
        <item x="901"/>
        <item x="1014"/>
        <item x="29"/>
        <item x="773"/>
        <item x="780"/>
        <item x="724"/>
        <item x="520"/>
        <item x="1105"/>
        <item x="982"/>
        <item x="685"/>
        <item x="137"/>
        <item x="501"/>
        <item x="52"/>
        <item x="966"/>
        <item x="91"/>
        <item x="49"/>
        <item x="281"/>
        <item x="923"/>
        <item x="736"/>
        <item x="858"/>
        <item x="196"/>
        <item x="693"/>
        <item x="28"/>
        <item x="676"/>
        <item x="1007"/>
        <item x="600"/>
        <item x="1046"/>
        <item x="201"/>
        <item x="1042"/>
        <item x="531"/>
        <item x="816"/>
        <item x="1115"/>
        <item x="167"/>
        <item x="173"/>
        <item x="106"/>
        <item x="158"/>
        <item x="500"/>
        <item x="934"/>
        <item x="483"/>
        <item x="1071"/>
        <item x="214"/>
        <item x="698"/>
        <item x="419"/>
        <item x="708"/>
        <item x="798"/>
        <item x="922"/>
        <item x="314"/>
        <item x="165"/>
        <item x="71"/>
        <item x="1021"/>
        <item x="131"/>
        <item x="156"/>
        <item x="247"/>
        <item x="422"/>
        <item x="587"/>
        <item x="699"/>
        <item x="632"/>
        <item x="696"/>
        <item x="278"/>
        <item x="496"/>
        <item x="289"/>
        <item x="686"/>
        <item x="429"/>
        <item x="1041"/>
        <item x="540"/>
        <item x="161"/>
        <item x="1040"/>
        <item x="447"/>
        <item x="415"/>
        <item x="834"/>
        <item x="51"/>
        <item x="1011"/>
        <item x="397"/>
        <item x="200"/>
        <item x="1076"/>
        <item x="368"/>
        <item x="431"/>
        <item x="575"/>
        <item x="559"/>
        <item x="596"/>
        <item x="1097"/>
        <item x="583"/>
        <item x="178"/>
        <item x="813"/>
        <item x="1023"/>
        <item x="590"/>
        <item x="1070"/>
        <item x="743"/>
        <item x="704"/>
        <item x="599"/>
        <item x="601"/>
        <item x="757"/>
        <item x="476"/>
        <item x="182"/>
        <item x="655"/>
        <item x="1080"/>
        <item x="1116"/>
        <item x="786"/>
        <item x="872"/>
        <item x="236"/>
        <item x="384"/>
        <item x="865"/>
        <item x="374"/>
        <item x="979"/>
        <item x="99"/>
        <item x="139"/>
        <item x="728"/>
        <item x="989"/>
        <item x="598"/>
        <item x="1049"/>
        <item x="1066"/>
        <item x="653"/>
        <item x="939"/>
        <item x="1069"/>
        <item x="257"/>
        <item x="311"/>
        <item x="27"/>
        <item x="847"/>
        <item x="1063"/>
        <item x="53"/>
        <item x="544"/>
        <item x="492"/>
        <item x="152"/>
        <item x="915"/>
        <item x="463"/>
        <item x="303"/>
        <item x="512"/>
        <item x="320"/>
        <item x="332"/>
        <item x="453"/>
        <item x="215"/>
        <item x="64"/>
        <item x="141"/>
        <item x="413"/>
        <item x="936"/>
        <item x="730"/>
        <item x="93"/>
        <item x="985"/>
        <item x="555"/>
        <item x="127"/>
        <item x="433"/>
        <item x="765"/>
        <item x="271"/>
        <item x="401"/>
        <item x="579"/>
        <item x="1009"/>
        <item x="959"/>
        <item x="612"/>
        <item x="1059"/>
        <item x="13"/>
        <item x="707"/>
        <item x="445"/>
        <item x="1037"/>
        <item x="576"/>
        <item x="750"/>
        <item x="990"/>
        <item x="528"/>
        <item x="863"/>
        <item x="748"/>
        <item x="963"/>
        <item x="1033"/>
        <item x="543"/>
        <item x="1100"/>
        <item x="731"/>
        <item x="101"/>
        <item x="717"/>
        <item x="1020"/>
        <item x="973"/>
        <item x="747"/>
        <item x="854"/>
        <item x="457"/>
        <item x="697"/>
        <item x="290"/>
        <item x="8"/>
        <item x="73"/>
        <item x="615"/>
        <item x="610"/>
        <item x="262"/>
        <item x="343"/>
        <item x="44"/>
        <item x="560"/>
        <item x="574"/>
        <item x="361"/>
        <item x="144"/>
        <item x="1"/>
        <item x="561"/>
        <item x="339"/>
        <item x="526"/>
        <item x="1090"/>
        <item x="1008"/>
        <item x="790"/>
        <item x="1106"/>
        <item x="843"/>
        <item x="511"/>
        <item x="822"/>
        <item x="324"/>
        <item x="779"/>
        <item x="126"/>
        <item x="947"/>
        <item x="76"/>
        <item x="795"/>
        <item x="1002"/>
        <item x="92"/>
        <item x="768"/>
        <item x="658"/>
        <item x="1108"/>
        <item x="135"/>
        <item x="896"/>
        <item x="980"/>
        <item x="340"/>
        <item x="410"/>
        <item x="681"/>
        <item x="874"/>
        <item x="37"/>
        <item x="769"/>
        <item x="581"/>
        <item x="764"/>
        <item x="379"/>
        <item x="709"/>
        <item x="353"/>
        <item x="1099"/>
        <item x="522"/>
        <item x="1095"/>
        <item x="983"/>
        <item x="177"/>
        <item x="1088"/>
        <item x="1065"/>
        <item x="79"/>
        <item x="228"/>
        <item x="799"/>
        <item x="857"/>
        <item x="571"/>
        <item x="633"/>
        <item x="635"/>
        <item x="1086"/>
        <item x="1024"/>
        <item x="157"/>
        <item x="1039"/>
        <item x="168"/>
        <item x="624"/>
        <item x="495"/>
        <item x="110"/>
        <item x="841"/>
        <item x="563"/>
        <item x="918"/>
        <item x="1110"/>
        <item x="360"/>
        <item x="440"/>
        <item x="551"/>
        <item x="725"/>
        <item x="363"/>
        <item x="472"/>
        <item x="593"/>
        <item x="460"/>
        <item x="1075"/>
        <item x="411"/>
        <item x="279"/>
        <item x="195"/>
        <item x="402"/>
        <item x="449"/>
        <item x="751"/>
        <item x="1035"/>
        <item x="34"/>
        <item x="199"/>
        <item x="553"/>
        <item x="631"/>
        <item x="3"/>
        <item x="727"/>
        <item x="881"/>
        <item x="1082"/>
        <item x="315"/>
        <item x="111"/>
        <item x="104"/>
        <item x="155"/>
        <item x="508"/>
        <item x="1074"/>
        <item x="231"/>
        <item x="784"/>
        <item x="1118"/>
        <item x="345"/>
        <item x="357"/>
        <item x="16"/>
        <item x="1107"/>
        <item x="70"/>
        <item x="491"/>
        <item x="322"/>
        <item x="10"/>
        <item x="1016"/>
        <item x="1117"/>
        <item x="758"/>
        <item x="437"/>
        <item x="626"/>
        <item x="170"/>
        <item x="720"/>
        <item x="450"/>
        <item x="962"/>
        <item x="701"/>
        <item x="642"/>
        <item x="134"/>
        <item x="1050"/>
        <item x="72"/>
        <item x="218"/>
        <item x="258"/>
        <item x="61"/>
        <item x="223"/>
        <item x="330"/>
        <item x="660"/>
        <item x="1003"/>
        <item x="772"/>
        <item x="273"/>
        <item x="1013"/>
        <item x="945"/>
        <item x="1060"/>
        <item x="597"/>
        <item x="729"/>
        <item x="771"/>
        <item x="753"/>
        <item x="657"/>
        <item x="961"/>
        <item x="829"/>
        <item x="651"/>
        <item x="288"/>
        <item x="604"/>
        <item x="132"/>
        <item x="876"/>
        <item x="297"/>
        <item x="671"/>
        <item x="159"/>
        <item x="351"/>
        <item x="1062"/>
        <item x="692"/>
        <item x="226"/>
        <item x="861"/>
        <item x="663"/>
        <item x="1054"/>
        <item x="890"/>
        <item x="232"/>
        <item x="407"/>
        <item x="588"/>
        <item x="462"/>
        <item x="586"/>
        <item x="958"/>
        <item x="933"/>
        <item x="233"/>
        <item x="356"/>
        <item x="817"/>
        <item x="1089"/>
        <item x="1077"/>
        <item x="475"/>
        <item x="85"/>
        <item x="806"/>
        <item x="837"/>
        <item x="833"/>
        <item x="382"/>
        <item x="582"/>
        <item x="846"/>
        <item x="937"/>
        <item x="323"/>
        <item x="370"/>
        <item x="1087"/>
        <item x="557"/>
        <item x="427"/>
        <item x="1092"/>
        <item x="678"/>
        <item x="623"/>
        <item x="873"/>
        <item x="611"/>
        <item x="254"/>
        <item x="424"/>
        <item x="479"/>
        <item x="1053"/>
        <item x="432"/>
        <item x="241"/>
        <item x="988"/>
        <item x="534"/>
        <item x="584"/>
        <item x="327"/>
        <item x="878"/>
        <item x="589"/>
        <item x="999"/>
        <item x="960"/>
        <item x="706"/>
        <item x="381"/>
        <item x="976"/>
        <item x="535"/>
        <item x="90"/>
        <item x="331"/>
        <item x="971"/>
        <item x="910"/>
        <item x="670"/>
        <item x="763"/>
        <item x="1114"/>
        <item x="897"/>
        <item x="911"/>
        <item x="423"/>
        <item x="498"/>
        <item x="469"/>
        <item x="188"/>
        <item x="776"/>
        <item x="891"/>
        <item x="556"/>
        <item x="263"/>
        <item x="118"/>
        <item x="117"/>
        <item x="621"/>
        <item x="482"/>
        <item x="938"/>
        <item x="62"/>
        <item x="877"/>
        <item x="1051"/>
        <item x="902"/>
        <item x="102"/>
        <item x="124"/>
        <item x="160"/>
        <item x="620"/>
        <item x="972"/>
        <item x="239"/>
        <item x="426"/>
        <item x="616"/>
        <item x="1044"/>
        <item x="649"/>
        <item x="270"/>
        <item x="800"/>
        <item x="342"/>
        <item x="536"/>
        <item x="715"/>
        <item x="313"/>
        <item x="412"/>
        <item x="1081"/>
        <item x="458"/>
        <item x="30"/>
        <item x="739"/>
        <item x="558"/>
        <item x="836"/>
        <item x="977"/>
        <item x="867"/>
        <item x="489"/>
        <item x="602"/>
        <item x="406"/>
        <item x="675"/>
        <item x="302"/>
        <item x="826"/>
        <item x="1093"/>
        <item x="998"/>
        <item x="992"/>
        <item x="849"/>
        <item x="603"/>
        <item x="882"/>
        <item x="789"/>
        <item x="691"/>
        <item x="420"/>
        <item x="1091"/>
        <item x="467"/>
        <item x="179"/>
        <item x="465"/>
        <item x="352"/>
        <item x="818"/>
        <item x="1029"/>
        <item x="176"/>
        <item x="390"/>
        <item x="230"/>
        <item x="434"/>
        <item x="883"/>
        <item x="194"/>
        <item x="993"/>
        <item x="909"/>
        <item x="809"/>
        <item x="652"/>
        <item x="515"/>
        <item x="50"/>
        <item x="856"/>
        <item x="87"/>
        <item x="705"/>
        <item x="33"/>
        <item x="537"/>
        <item x="744"/>
        <item x="815"/>
        <item x="251"/>
        <item x="116"/>
        <item x="734"/>
        <item x="398"/>
        <item x="964"/>
        <item x="930"/>
        <item x="932"/>
        <item x="702"/>
        <item x="924"/>
        <item x="1032"/>
        <item x="585"/>
        <item x="15"/>
        <item x="40"/>
        <item x="951"/>
        <item x="494"/>
        <item x="212"/>
        <item x="760"/>
        <item x="929"/>
        <item x="38"/>
        <item x="459"/>
        <item x="224"/>
        <item x="740"/>
        <item x="824"/>
        <item x="618"/>
        <item x="914"/>
        <item x="659"/>
        <item x="365"/>
        <item x="518"/>
        <item x="1083"/>
        <item x="527"/>
        <item x="227"/>
        <item x="31"/>
        <item x="807"/>
        <item x="507"/>
        <item x="129"/>
        <item x="628"/>
        <item x="859"/>
        <item x="246"/>
        <item x="595"/>
        <item x="4"/>
        <item x="336"/>
        <item x="335"/>
        <item x="145"/>
        <item x="1001"/>
        <item x="644"/>
        <item x="375"/>
        <item x="886"/>
        <item x="243"/>
        <item x="1079"/>
        <item x="294"/>
        <item x="67"/>
        <item x="862"/>
        <item x="785"/>
        <item x="267"/>
        <item x="480"/>
        <item x="18"/>
        <item x="888"/>
        <item x="1030"/>
        <item x="471"/>
        <item x="399"/>
        <item x="885"/>
        <item x="293"/>
        <item x="904"/>
        <item x="852"/>
        <item x="149"/>
        <item x="546"/>
        <item x="648"/>
        <item x="380"/>
        <item x="275"/>
        <item x="577"/>
        <item x="383"/>
        <item x="788"/>
        <item x="622"/>
        <item x="47"/>
        <item x="548"/>
        <item x="94"/>
        <item x="1045"/>
        <item x="362"/>
        <item x="242"/>
        <item x="842"/>
        <item x="545"/>
        <item x="654"/>
        <item x="446"/>
        <item x="578"/>
        <item x="629"/>
        <item x="318"/>
        <item x="630"/>
        <item x="396"/>
        <item x="738"/>
        <item x="783"/>
        <item x="147"/>
        <item x="260"/>
        <item x="391"/>
        <item x="639"/>
        <item x="485"/>
        <item x="310"/>
        <item x="307"/>
        <item x="542"/>
        <item x="474"/>
        <item x="1102"/>
        <item x="189"/>
        <item x="1056"/>
        <item x="301"/>
        <item x="716"/>
        <item x="695"/>
        <item x="792"/>
        <item x="1064"/>
        <item x="473"/>
        <item x="714"/>
        <item t="default"/>
      </items>
    </pivotField>
    <pivotField showAll="0">
      <items count="4">
        <item x="1"/>
        <item h="1" x="0"/>
        <item h="1" x="2"/>
        <item t="default"/>
      </items>
    </pivotField>
    <pivotField showAll="0">
      <items count="5">
        <item h="1" x="0"/>
        <item h="1" x="2"/>
        <item h="1" x="1"/>
        <item x="3"/>
        <item t="default"/>
      </items>
    </pivotField>
    <pivotField showAll="0">
      <items count="4">
        <item x="1"/>
        <item h="1" x="2"/>
        <item x="0"/>
        <item t="default"/>
      </items>
    </pivotField>
    <pivotField showAll="0"/>
    <pivotField showAll="0"/>
    <pivotField showAll="0"/>
    <pivotField showAll="0"/>
    <pivotField showAll="0">
      <items count="15">
        <item x="7"/>
        <item x="9"/>
        <item x="10"/>
        <item x="0"/>
        <item x="13"/>
        <item x="5"/>
        <item x="4"/>
        <item x="2"/>
        <item h="1" x="8"/>
        <item h="1" x="12"/>
        <item h="1" x="6"/>
        <item h="1" x="11"/>
        <item x="3"/>
        <item h="1" x="1"/>
        <item t="default"/>
      </items>
    </pivotField>
    <pivotField showAll="0"/>
    <pivotField showAll="0">
      <items count="6">
        <item x="1"/>
        <item x="3"/>
        <item x="0"/>
        <item x="2"/>
        <item h="1" x="4"/>
        <item t="default"/>
      </items>
    </pivotField>
    <pivotField axis="axisRow" showAll="0">
      <items count="13">
        <item h="1" x="0"/>
        <item x="5"/>
        <item x="6"/>
        <item h="1" x="1"/>
        <item h="1" x="3"/>
        <item h="1" x="7"/>
        <item x="4"/>
        <item h="1" x="9"/>
        <item x="2"/>
        <item h="1" x="8"/>
        <item x="10"/>
        <item x="11"/>
        <item t="default"/>
      </items>
    </pivotField>
    <pivotField showAll="0"/>
  </pivotFields>
  <rowFields count="1">
    <field x="20"/>
  </rowFields>
  <rowItems count="5">
    <i>
      <x v="6"/>
    </i>
    <i>
      <x v="8"/>
    </i>
    <i>
      <x v="10"/>
    </i>
    <i>
      <x v="11"/>
    </i>
    <i t="grand">
      <x/>
    </i>
  </rowItems>
  <colFields count="1">
    <field x="-2"/>
  </colFields>
  <colItems count="2">
    <i>
      <x/>
    </i>
    <i i="1">
      <x v="1"/>
    </i>
  </colItems>
  <dataFields count="2">
    <dataField name="Sum of Total Sale" fld="6" baseField="0" baseItem="0"/>
    <dataField name="Sum of Profit/Loss" fld="9" baseField="0" baseItem="0"/>
  </dataFields>
  <chartFormats count="2">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Loss" xr10:uid="{29CAB27D-520F-4ECD-B742-5D57D42C9C62}" sourceName="Profit/Loss">
  <pivotTables>
    <pivotTable tabId="2" name="PivotTable10"/>
    <pivotTable tabId="2" name="PivotTable4"/>
    <pivotTable tabId="2" name="PivotTable5"/>
    <pivotTable tabId="2" name="PivotTable7"/>
    <pivotTable tabId="2" name="PivotTable8"/>
  </pivotTables>
  <data>
    <tabular pivotCacheId="1864684642">
      <items count="1121">
        <i x="213" s="1"/>
        <i x="73" s="1"/>
        <i x="768" s="1"/>
        <i x="522" s="1"/>
        <i x="829" s="1"/>
        <i x="802" s="1" nd="1"/>
        <i x="981" s="1" nd="1"/>
        <i x="721" s="1" nd="1"/>
        <i x="957" s="1" nd="1"/>
        <i x="820" s="1" nd="1"/>
        <i x="123" s="1" nd="1"/>
        <i x="238" s="1" nd="1"/>
        <i x="700" s="1" nd="1"/>
        <i x="1026" s="1" nd="1"/>
        <i x="755" s="1" nd="1"/>
        <i x="819" s="1" nd="1"/>
        <i x="1055" s="1" nd="1"/>
        <i x="253" s="1" nd="1"/>
        <i x="454" s="1" nd="1"/>
        <i x="404" s="1" nd="1"/>
        <i x="742" s="1" nd="1"/>
        <i x="198" s="1" nd="1"/>
        <i x="1101" s="1" nd="1"/>
        <i x="81" s="1" nd="1"/>
        <i x="45" s="1" nd="1"/>
        <i x="299" s="1" nd="1"/>
        <i x="770" s="1" nd="1"/>
        <i x="991" s="1" nd="1"/>
        <i x="943" s="1" nd="1"/>
        <i x="448" s="1" nd="1"/>
        <i x="68" s="1" nd="1"/>
        <i x="211" s="1" nd="1"/>
        <i x="1112" s="1" nd="1"/>
        <i x="164" s="1" nd="1"/>
        <i x="978" s="1" nd="1"/>
        <i x="266" s="1" nd="1"/>
        <i x="464" s="1" nd="1"/>
        <i x="975" s="1" nd="1"/>
        <i x="811" s="1" nd="1"/>
        <i x="366" s="1" nd="1"/>
        <i x="317" s="1" nd="1"/>
        <i x="269" s="1" nd="1"/>
        <i x="609" s="1" nd="1"/>
        <i x="608" s="1" nd="1"/>
        <i x="298" s="1" nd="1"/>
        <i x="840" s="1" nd="1"/>
        <i x="166" s="1" nd="1"/>
        <i x="913" s="1" nd="1"/>
        <i x="114" s="1" nd="1"/>
        <i x="183" s="1" nd="1"/>
        <i x="668" s="1" nd="1"/>
        <i x="907" s="1" nd="1"/>
        <i x="265" s="1" nd="1"/>
        <i x="723" s="1" nd="1"/>
        <i x="889" s="1" nd="1"/>
        <i x="20" s="1" nd="1"/>
        <i x="1017" s="1" nd="1"/>
        <i x="77" s="1" nd="1"/>
        <i x="443" s="1" nd="1"/>
        <i x="677" s="1" nd="1"/>
        <i x="486" s="1" nd="1"/>
        <i x="1043" s="1" nd="1"/>
        <i x="580" s="1" nd="1"/>
        <i x="286" s="1" nd="1"/>
        <i x="838" s="1" nd="1"/>
        <i x="1010" s="1" nd="1"/>
        <i x="1034" s="1" nd="1"/>
        <i x="647" s="1" nd="1"/>
        <i x="305" s="1" nd="1"/>
        <i x="108" s="1" nd="1"/>
        <i x="216" s="1" nd="1"/>
        <i x="875" s="1" nd="1"/>
        <i x="839" s="1" nd="1"/>
        <i x="521" s="1" nd="1"/>
        <i x="1098" s="1" nd="1"/>
        <i x="756" s="1" nd="1"/>
        <i x="306" s="1" nd="1"/>
        <i x="48" s="1" nd="1"/>
        <i x="151" s="1" nd="1"/>
        <i x="572" s="1" nd="1"/>
        <i x="190" s="1" nd="1"/>
        <i x="726" s="1" nd="1"/>
        <i x="640" s="1" nd="1"/>
        <i x="1084" s="1" nd="1"/>
        <i x="268" s="1" nd="1"/>
        <i x="36" s="1" nd="1"/>
        <i x="208" s="1" nd="1"/>
        <i x="207" s="1" nd="1"/>
        <i x="470" s="1" nd="1"/>
        <i x="35" s="1" nd="1"/>
        <i x="884" s="1" nd="1"/>
        <i x="425" s="1" nd="1"/>
        <i x="23" s="1" nd="1"/>
        <i x="718" s="1" nd="1"/>
        <i x="41" s="1" nd="1"/>
        <i x="1111" s="1" nd="1"/>
        <i x="554" s="1" nd="1"/>
        <i x="1061" s="1" nd="1"/>
        <i x="442" s="1" nd="1"/>
        <i x="928" s="1" nd="1"/>
        <i x="140" s="1" nd="1"/>
        <i x="146" s="1" nd="1"/>
        <i x="1073" s="1" nd="1"/>
        <i x="592" s="1" nd="1"/>
        <i x="510" s="1" nd="1"/>
        <i x="662" s="1" nd="1"/>
        <i x="605" s="1" nd="1"/>
        <i x="994" s="1" nd="1"/>
        <i x="634" s="1" nd="1"/>
        <i x="122" s="1" nd="1"/>
        <i x="346" s="1" nd="1"/>
        <i x="142" s="1" nd="1"/>
        <i x="209" s="1" nd="1"/>
        <i x="326" s="1" nd="1"/>
        <i x="468" s="1" nd="1"/>
        <i x="954" s="1" nd="1"/>
        <i x="539" s="1" nd="1"/>
        <i x="334" s="1" nd="1"/>
        <i x="625" s="1" nd="1"/>
        <i x="517" s="1" nd="1"/>
        <i x="689" s="1" nd="1"/>
        <i x="804" s="1" nd="1"/>
        <i x="74" s="1" nd="1"/>
        <i x="42" s="1" nd="1"/>
        <i x="853" s="1" nd="1"/>
        <i x="827" s="1" nd="1"/>
        <i x="217" s="1" nd="1"/>
        <i x="355" s="1" nd="1"/>
        <i x="986" s="1" nd="1"/>
        <i x="308" s="1" nd="1"/>
        <i x="400" s="1" nd="1"/>
        <i x="516" s="1" nd="1"/>
        <i x="319" s="1" nd="1"/>
        <i x="373" s="1" nd="1"/>
        <i x="638" s="1" nd="1"/>
        <i x="777" s="1" nd="1"/>
        <i x="683" s="1" nd="1"/>
        <i x="153" s="1" nd="1"/>
        <i x="162" s="1" nd="1"/>
        <i x="690" s="1" nd="1"/>
        <i x="452" s="1" nd="1"/>
        <i x="46" s="1" nd="1"/>
        <i x="367" s="1" nd="1"/>
        <i x="1094" s="1" nd="1"/>
        <i x="513" s="1" nd="1"/>
        <i x="181" s="1" nd="1"/>
        <i x="661" s="1" nd="1"/>
        <i x="735" s="1" nd="1"/>
        <i x="917" s="1" nd="1"/>
        <i x="898" s="1" nd="1"/>
        <i x="995" s="1" nd="1"/>
        <i x="926" s="1" nd="1"/>
        <i x="1104" s="1" nd="1"/>
        <i x="234" s="1" nd="1"/>
        <i x="252" s="1" nd="1"/>
        <i x="171" s="1" nd="1"/>
        <i x="1022" s="1" nd="1"/>
        <i x="417" s="1" nd="1"/>
        <i x="864" s="1" nd="1"/>
        <i x="387" s="1" nd="1"/>
        <i x="831" s="1" nd="1"/>
        <i x="359" s="1" nd="1"/>
        <i x="667" s="1" nd="1"/>
        <i x="741" s="1" nd="1"/>
        <i x="184" s="1" nd="1"/>
        <i x="321" s="1" nd="1"/>
        <i x="329" s="1" nd="1"/>
        <i x="956" s="1" nd="1"/>
        <i x="569" s="1" nd="1"/>
        <i x="222" s="1" nd="1"/>
        <i x="669" s="1" nd="1"/>
        <i x="823" s="1" nd="1"/>
        <i x="781" s="1" nd="1"/>
        <i x="369" s="1" nd="1"/>
        <i x="613" s="1" nd="1"/>
        <i x="229" s="1" nd="1"/>
        <i x="733" s="1" nd="1"/>
        <i x="641" s="1" nd="1"/>
        <i x="364" s="1" nd="1"/>
        <i x="484" s="1" nd="1"/>
        <i x="1038" s="1" nd="1"/>
        <i x="128" s="1" nd="1"/>
        <i x="285" s="1" nd="1"/>
        <i x="436" s="1" nd="1"/>
        <i x="107" s="1" nd="1"/>
        <i x="656" s="1" nd="1"/>
        <i x="643" s="1" nd="1"/>
        <i x="996" s="1" nd="1"/>
        <i x="916" s="1" nd="1"/>
        <i x="83" s="1" nd="1"/>
        <i x="283" s="1" nd="1"/>
        <i x="944" s="1" nd="1"/>
        <i x="1072" s="1" nd="1"/>
        <i x="614" s="1" nd="1"/>
        <i x="418" s="1" nd="1"/>
        <i x="778" s="1" nd="1"/>
        <i x="333" s="1" nd="1"/>
        <i x="844" s="1" nd="1"/>
        <i x="1000" s="1" nd="1"/>
        <i x="953" s="1" nd="1"/>
        <i x="186" s="1" nd="1"/>
        <i x="244" s="1" nd="1"/>
        <i x="549" s="1" nd="1"/>
        <i x="538" s="1" nd="1"/>
        <i x="376" s="1" nd="1"/>
        <i x="389" s="1" nd="1"/>
        <i x="1103" s="1" nd="1"/>
        <i x="97" s="1" nd="1"/>
        <i x="488" s="1" nd="1"/>
        <i x="906" s="1" nd="1"/>
        <i x="337" s="1" nd="1"/>
        <i x="903" s="1" nd="1"/>
        <i x="774" s="1" nd="1"/>
        <i x="1012" s="1" nd="1"/>
        <i x="645" s="1" nd="1"/>
        <i x="24" s="1" nd="1"/>
        <i x="180" s="1" nd="1"/>
        <i x="150" s="1" nd="1"/>
        <i x="684" s="1" nd="1"/>
        <i x="567" s="1" nd="1"/>
        <i x="444" s="1" nd="1"/>
        <i x="58" s="1" nd="1"/>
        <i x="9" s="1" nd="1"/>
        <i x="414" s="1" nd="1"/>
        <i x="221" s="1" nd="1"/>
        <i x="674" s="1" nd="1"/>
        <i x="89" s="1" nd="1"/>
        <i x="245" s="1" nd="1"/>
        <i x="1018" s="1" nd="1"/>
        <i x="796" s="1" nd="1"/>
        <i x="250" s="1" nd="1"/>
        <i x="32" s="1" nd="1"/>
        <i x="1031" s="1" nd="1"/>
        <i x="287" s="1" nd="1"/>
        <i x="292" s="1" nd="1"/>
        <i x="477" s="1" nd="1"/>
        <i x="1015" s="1" nd="1"/>
        <i x="54" s="1" nd="1"/>
        <i x="378" s="1" nd="1"/>
        <i x="430" s="1" nd="1"/>
        <i x="248" s="1" nd="1"/>
        <i x="84" s="1" nd="1"/>
        <i x="594" s="1" nd="1"/>
        <i x="439" s="1" nd="1"/>
        <i x="766" s="1" nd="1"/>
        <i x="403" s="1" nd="1"/>
        <i x="1005" s="1" nd="1"/>
        <i x="793" s="1" nd="1"/>
        <i x="456" s="1" nd="1"/>
        <i x="665" s="1" nd="1"/>
        <i x="428" s="1" nd="1"/>
        <i x="679" s="1" nd="1"/>
        <i x="942" s="1" nd="1"/>
        <i x="499" s="1" nd="1"/>
        <i x="565" s="1" nd="1"/>
        <i x="255" s="1" nd="1"/>
        <i x="825" s="1" nd="1"/>
        <i x="969" s="1" nd="1"/>
        <i x="328" s="1" nd="1"/>
        <i x="240" s="1" nd="1"/>
        <i x="385" s="1" nd="1"/>
        <i x="386" s="1" nd="1"/>
        <i x="746" s="1" nd="1"/>
        <i x="82" s="1" nd="1"/>
        <i x="759" s="1" nd="1"/>
        <i x="812" s="1" nd="1"/>
        <i x="172" s="1" nd="1"/>
        <i x="347" s="1" nd="1"/>
        <i x="14" s="1" nd="1"/>
        <i x="109" s="1" nd="1"/>
        <i x="787" s="1" nd="1"/>
        <i x="940" s="1" nd="1"/>
        <i x="349" s="1" nd="1"/>
        <i x="86" s="1" nd="1"/>
        <i x="12" s="1" nd="1"/>
        <i x="192" s="1" nd="1"/>
        <i x="394" s="1" nd="1"/>
        <i x="552" s="1" nd="1"/>
        <i x="830" s="1" nd="1"/>
        <i x="235" s="1" nd="1"/>
        <i x="1027" s="1" nd="1"/>
        <i x="664" s="1" nd="1"/>
        <i x="372" s="1" nd="1"/>
        <i x="870" s="1" nd="1"/>
        <i x="524" s="1" nd="1"/>
        <i x="5" s="1" nd="1"/>
        <i x="850" s="1" nd="1"/>
        <i x="761" s="1" nd="1"/>
        <i x="237" s="1" nd="1"/>
        <i x="354" s="1" nd="1"/>
        <i x="220" s="1" nd="1"/>
        <i x="416" s="1" nd="1"/>
        <i x="566" s="1" nd="1"/>
        <i x="894" s="1" nd="1"/>
        <i x="487" s="1" nd="1"/>
        <i x="66" s="1" nd="1"/>
        <i x="358" s="1" nd="1"/>
        <i x="591" s="1" nd="1"/>
        <i x="1085" s="1" nd="1"/>
        <i x="338" s="1" nd="1"/>
        <i x="65" s="1" nd="1"/>
        <i x="371" s="1" nd="1"/>
        <i x="855" s="1" nd="1"/>
        <i x="295" s="1" nd="1"/>
        <i x="941" s="1" nd="1"/>
        <i x="529" s="1" nd="1"/>
        <i x="835" s="1" nd="1"/>
        <i x="1036" s="1" nd="1"/>
        <i x="435" s="1" nd="1"/>
        <i x="493" s="1" nd="1"/>
        <i x="57" s="1" nd="1"/>
        <i x="871" s="1" nd="1"/>
        <i x="256" s="1" nd="1"/>
        <i x="1052" s="1" nd="1"/>
        <i x="249" s="1" nd="1"/>
        <i x="284" s="1" nd="1"/>
        <i x="39" s="1" nd="1"/>
        <i x="202" s="1" nd="1"/>
        <i x="948" s="1" nd="1"/>
        <i x="762" s="1" nd="1"/>
        <i x="801" s="1" nd="1"/>
        <i x="997" s="1" nd="1"/>
        <i x="393" s="1" nd="1"/>
        <i x="1120" s="1" nd="1"/>
        <i x="1113" s="1" nd="1"/>
        <i x="673" s="1" nd="1"/>
        <i x="22" s="1" nd="1"/>
        <i x="63" s="1" nd="1"/>
        <i x="98" s="1" nd="1"/>
        <i x="96" s="1" nd="1"/>
        <i x="984" s="1" nd="1"/>
        <i x="749" s="1" nd="1"/>
        <i x="409" s="1" nd="1"/>
        <i x="438" s="1" nd="1"/>
        <i x="17" s="1" nd="1"/>
        <i x="392" s="1" nd="1"/>
        <i x="851" s="1" nd="1"/>
        <i x="1006" s="1" nd="1"/>
        <i x="1019" s="1" nd="1"/>
        <i x="6" s="1" nd="1"/>
        <i x="174" s="1" nd="1"/>
        <i x="138" s="1" nd="1"/>
        <i x="712" s="1" nd="1"/>
        <i x="197" s="1" nd="1"/>
        <i x="722" s="1" nd="1"/>
        <i x="803" s="1" nd="1"/>
        <i x="974" s="1" nd="1"/>
        <i x="466" s="1" nd="1"/>
        <i x="682" s="1" nd="1"/>
        <i x="547" s="1" nd="1"/>
        <i x="143" s="1" nd="1"/>
        <i x="908" s="1" nd="1"/>
        <i x="11" s="1" nd="1"/>
        <i x="637" s="1" nd="1"/>
        <i x="88" s="1" nd="1"/>
        <i x="481" s="1" nd="1"/>
        <i x="405" s="1" nd="1"/>
        <i x="163" s="1" nd="1"/>
        <i x="828" s="1" nd="1"/>
        <i x="687" s="1" nd="1"/>
        <i x="204" s="1" nd="1"/>
        <i x="185" s="1" nd="1"/>
        <i x="95" s="1" nd="1"/>
        <i x="60" s="1" nd="1"/>
        <i x="490" s="1" nd="1"/>
        <i x="341" s="1" nd="1"/>
        <i x="719" s="1" nd="1"/>
        <i x="955" s="1" nd="1"/>
        <i x="919" s="1" nd="1"/>
        <i x="7" s="1" nd="1"/>
        <i x="767" s="1" nd="1"/>
        <i x="688" s="1" nd="1"/>
        <i x="905" s="1" nd="1"/>
        <i x="120" s="1" nd="1"/>
        <i x="606" s="1" nd="1"/>
        <i x="69" s="1" nd="1"/>
        <i x="808" s="1" nd="1"/>
        <i x="550" s="1" nd="1"/>
        <i x="478" s="1" nd="1"/>
        <i x="282" s="1" nd="1"/>
        <i x="441" s="1" nd="1"/>
        <i x="503" s="1" nd="1"/>
        <i x="225" s="1" nd="1"/>
        <i x="421" s="1" nd="1"/>
        <i x="887" s="1" nd="1"/>
        <i x="509" s="1" nd="1"/>
        <i x="895" s="1" nd="1"/>
        <i x="541" s="1" nd="1"/>
        <i x="395" s="1" nd="1"/>
        <i x="619" s="1" nd="1"/>
        <i x="627" s="1" nd="1"/>
        <i x="1058" s="1" nd="1"/>
        <i x="879" s="1" nd="1"/>
        <i x="713" s="1" nd="1"/>
        <i x="505" s="1" nd="1"/>
        <i x="506" s="1" nd="1"/>
        <i x="148" s="1" nd="1"/>
        <i x="797" s="1" nd="1"/>
        <i x="205" s="1" nd="1"/>
        <i x="193" s="1" nd="1"/>
        <i x="525" s="1" nd="1"/>
        <i x="935" s="1" nd="1"/>
        <i x="530" s="1" nd="1"/>
        <i x="206" s="1" nd="1"/>
        <i x="2" s="1" nd="1"/>
        <i x="732" s="1" nd="1"/>
        <i x="920" s="1" nd="1"/>
        <i x="277" s="1" nd="1"/>
        <i x="952" s="1" nd="1"/>
        <i x="573" s="1" nd="1"/>
        <i x="1047" s="1" nd="1"/>
        <i x="1025" s="1" nd="1"/>
        <i x="672" s="1" nd="1"/>
        <i x="130" s="1" nd="1"/>
        <i x="1048" s="1" nd="1"/>
        <i x="832" s="1" nd="1"/>
        <i x="78" s="1" nd="1"/>
        <i x="408" s="1" nd="1"/>
        <i x="0" s="1" nd="1"/>
        <i x="711" s="1" nd="1"/>
        <i x="899" s="1" nd="1"/>
        <i x="848" s="1" nd="1"/>
        <i x="814" s="1" nd="1"/>
        <i x="210" s="1" nd="1"/>
        <i x="1067" s="1" nd="1"/>
        <i x="203" s="1" nd="1"/>
        <i x="264" s="1" nd="1"/>
        <i x="25" s="1" nd="1"/>
        <i x="504" s="1" nd="1"/>
        <i x="115" s="1" nd="1"/>
        <i x="805" s="1" nd="1"/>
        <i x="133" s="1" nd="1"/>
        <i x="900" s="1" nd="1"/>
        <i x="912" s="1" nd="1"/>
        <i x="514" s="1" nd="1"/>
        <i x="927" s="1" nd="1"/>
        <i x="821" s="1" nd="1"/>
        <i x="970" s="1" nd="1"/>
        <i x="350" s="1" nd="1"/>
        <i x="169" s="1" nd="1"/>
        <i x="276" s="1" nd="1"/>
        <i x="754" s="1" nd="1"/>
        <i x="1078" s="1" nd="1"/>
        <i x="1057" s="1" nd="1"/>
        <i x="304" s="1" nd="1"/>
        <i x="75" s="1" nd="1"/>
        <i x="105" s="1" nd="1"/>
        <i x="1004" s="1" nd="1"/>
        <i x="533" s="1" nd="1"/>
        <i x="112" s="1" nd="1"/>
        <i x="191" s="1" nd="1"/>
        <i x="461" s="1" nd="1"/>
        <i x="650" s="1" nd="1"/>
        <i x="791" s="1" nd="1"/>
        <i x="866" s="1" nd="1"/>
        <i x="519" s="1" nd="1"/>
        <i x="921" s="1" nd="1"/>
        <i x="19" s="1" nd="1"/>
        <i x="497" s="1" nd="1"/>
        <i x="55" s="1" nd="1"/>
        <i x="300" s="1" nd="1"/>
        <i x="325" s="1" nd="1"/>
        <i x="617" s="1" nd="1"/>
        <i x="1119" s="1" nd="1"/>
        <i x="950" s="1" nd="1"/>
        <i x="868" s="1" nd="1"/>
        <i x="680" s="1" nd="1"/>
        <i x="775" s="1" nd="1"/>
        <i x="388" s="1" nd="1"/>
        <i x="782" s="1" nd="1"/>
        <i x="860" s="1" nd="1"/>
        <i x="568" s="1" nd="1"/>
        <i x="925" s="1" nd="1"/>
        <i x="880" s="1" nd="1"/>
        <i x="100" s="1" nd="1"/>
        <i x="377" s="1" nd="1"/>
        <i x="348" s="1" nd="1"/>
        <i x="113" s="1" nd="1"/>
        <i x="103" s="1" nd="1"/>
        <i x="80" s="1" nd="1"/>
        <i x="892" s="1" nd="1"/>
        <i x="666" s="1" nd="1"/>
        <i x="1068" s="1" nd="1"/>
        <i x="694" s="1" nd="1"/>
        <i x="187" s="1" nd="1"/>
        <i x="703" s="1" nd="1"/>
        <i x="570" s="1" nd="1"/>
        <i x="968" s="1" nd="1"/>
        <i x="121" s="1" nd="1"/>
        <i x="59" s="1" nd="1"/>
        <i x="737" s="1" nd="1"/>
        <i x="710" s="1" nd="1"/>
        <i x="810" s="1" nd="1"/>
        <i x="344" s="1" nd="1"/>
        <i x="455" s="1" nd="1"/>
        <i x="502" s="1" nd="1"/>
        <i x="745" s="1" nd="1"/>
        <i x="451" s="1" nd="1"/>
        <i x="274" s="1" nd="1"/>
        <i x="261" s="1" nd="1"/>
        <i x="1028" s="1" nd="1"/>
        <i x="949" s="1" nd="1"/>
        <i x="893" s="1" nd="1"/>
        <i x="296" s="1" nd="1"/>
        <i x="752" s="1" nd="1"/>
        <i x="523" s="1" nd="1"/>
        <i x="987" s="1" nd="1"/>
        <i x="259" s="1" nd="1"/>
        <i x="21" s="1" nd="1"/>
        <i x="967" s="1" nd="1"/>
        <i x="312" s="1" nd="1"/>
        <i x="219" s="1" nd="1"/>
        <i x="280" s="1" nd="1"/>
        <i x="1096" s="1" nd="1"/>
        <i x="175" s="1" nd="1"/>
        <i x="965" s="1" nd="1"/>
        <i x="562" s="1" nd="1"/>
        <i x="272" s="1" nd="1"/>
        <i x="43" s="1" nd="1"/>
        <i x="931" s="1" nd="1"/>
        <i x="646" s="1" nd="1"/>
        <i x="794" s="1" nd="1"/>
        <i x="946" s="1" nd="1"/>
        <i x="607" s="1" nd="1"/>
        <i x="564" s="1" nd="1"/>
        <i x="316" s="1" nd="1"/>
        <i x="154" s="1" nd="1"/>
        <i x="869" s="1" nd="1"/>
        <i x="125" s="1" nd="1"/>
        <i x="1109" s="1" nd="1"/>
        <i x="26" s="1" nd="1"/>
        <i x="309" s="1" nd="1"/>
        <i x="291" s="1" nd="1"/>
        <i x="636" s="1" nd="1"/>
        <i x="845" s="1" nd="1"/>
        <i x="56" s="1" nd="1"/>
        <i x="136" s="1" nd="1"/>
        <i x="532" s="1" nd="1"/>
        <i x="119" s="1" nd="1"/>
        <i x="901" s="1" nd="1"/>
        <i x="1014" s="1" nd="1"/>
        <i x="29" s="1" nd="1"/>
        <i x="773" s="1" nd="1"/>
        <i x="780" s="1" nd="1"/>
        <i x="724" s="1" nd="1"/>
        <i x="520" s="1" nd="1"/>
        <i x="1105" s="1" nd="1"/>
        <i x="982" s="1" nd="1"/>
        <i x="685" s="1" nd="1"/>
        <i x="137" s="1" nd="1"/>
        <i x="501" s="1" nd="1"/>
        <i x="52" s="1" nd="1"/>
        <i x="966" s="1" nd="1"/>
        <i x="91" s="1" nd="1"/>
        <i x="49" s="1" nd="1"/>
        <i x="281" s="1" nd="1"/>
        <i x="923" s="1" nd="1"/>
        <i x="736" s="1" nd="1"/>
        <i x="858" s="1" nd="1"/>
        <i x="196" s="1" nd="1"/>
        <i x="693" s="1" nd="1"/>
        <i x="28" s="1" nd="1"/>
        <i x="676" s="1" nd="1"/>
        <i x="1007" s="1" nd="1"/>
        <i x="600" s="1" nd="1"/>
        <i x="1046" s="1" nd="1"/>
        <i x="201" s="1" nd="1"/>
        <i x="1042" s="1" nd="1"/>
        <i x="531" s="1" nd="1"/>
        <i x="816" s="1" nd="1"/>
        <i x="1115" s="1" nd="1"/>
        <i x="167" s="1" nd="1"/>
        <i x="173" s="1" nd="1"/>
        <i x="106" s="1" nd="1"/>
        <i x="158" s="1" nd="1"/>
        <i x="500" s="1" nd="1"/>
        <i x="934" s="1" nd="1"/>
        <i x="483" s="1" nd="1"/>
        <i x="1071" s="1" nd="1"/>
        <i x="214" s="1" nd="1"/>
        <i x="698" s="1" nd="1"/>
        <i x="419" s="1" nd="1"/>
        <i x="708" s="1" nd="1"/>
        <i x="798" s="1" nd="1"/>
        <i x="922" s="1" nd="1"/>
        <i x="314" s="1" nd="1"/>
        <i x="165" s="1" nd="1"/>
        <i x="71" s="1" nd="1"/>
        <i x="1021" s="1" nd="1"/>
        <i x="131" s="1" nd="1"/>
        <i x="156" s="1" nd="1"/>
        <i x="247" s="1" nd="1"/>
        <i x="422" s="1" nd="1"/>
        <i x="587" s="1" nd="1"/>
        <i x="699" s="1" nd="1"/>
        <i x="632" s="1" nd="1"/>
        <i x="696" s="1" nd="1"/>
        <i x="278" s="1" nd="1"/>
        <i x="496" s="1" nd="1"/>
        <i x="289" s="1" nd="1"/>
        <i x="686" s="1" nd="1"/>
        <i x="429" s="1" nd="1"/>
        <i x="1041" s="1" nd="1"/>
        <i x="540" s="1" nd="1"/>
        <i x="161" s="1" nd="1"/>
        <i x="1040" s="1" nd="1"/>
        <i x="447" s="1" nd="1"/>
        <i x="415" s="1" nd="1"/>
        <i x="834" s="1" nd="1"/>
        <i x="51" s="1" nd="1"/>
        <i x="1011" s="1" nd="1"/>
        <i x="397" s="1" nd="1"/>
        <i x="200" s="1" nd="1"/>
        <i x="1076" s="1" nd="1"/>
        <i x="368" s="1" nd="1"/>
        <i x="431" s="1" nd="1"/>
        <i x="575" s="1" nd="1"/>
        <i x="559" s="1" nd="1"/>
        <i x="596" s="1" nd="1"/>
        <i x="1097" s="1" nd="1"/>
        <i x="583" s="1" nd="1"/>
        <i x="178" s="1" nd="1"/>
        <i x="813" s="1" nd="1"/>
        <i x="1023" s="1" nd="1"/>
        <i x="590" s="1" nd="1"/>
        <i x="1070" s="1" nd="1"/>
        <i x="743" s="1" nd="1"/>
        <i x="704" s="1" nd="1"/>
        <i x="599" s="1" nd="1"/>
        <i x="601" s="1" nd="1"/>
        <i x="757" s="1" nd="1"/>
        <i x="476" s="1" nd="1"/>
        <i x="182" s="1" nd="1"/>
        <i x="655" s="1" nd="1"/>
        <i x="1080" s="1" nd="1"/>
        <i x="1116" s="1" nd="1"/>
        <i x="786" s="1" nd="1"/>
        <i x="872" s="1" nd="1"/>
        <i x="236" s="1" nd="1"/>
        <i x="384" s="1" nd="1"/>
        <i x="865" s="1" nd="1"/>
        <i x="374" s="1" nd="1"/>
        <i x="979" s="1" nd="1"/>
        <i x="99" s="1" nd="1"/>
        <i x="139" s="1" nd="1"/>
        <i x="728" s="1" nd="1"/>
        <i x="989" s="1" nd="1"/>
        <i x="598" s="1" nd="1"/>
        <i x="1049" s="1" nd="1"/>
        <i x="1066" s="1" nd="1"/>
        <i x="653" s="1" nd="1"/>
        <i x="939" s="1" nd="1"/>
        <i x="1069" s="1" nd="1"/>
        <i x="257" s="1" nd="1"/>
        <i x="311" s="1" nd="1"/>
        <i x="27" s="1" nd="1"/>
        <i x="847" s="1" nd="1"/>
        <i x="1063" s="1" nd="1"/>
        <i x="53" s="1" nd="1"/>
        <i x="544" s="1" nd="1"/>
        <i x="492" s="1" nd="1"/>
        <i x="152" s="1" nd="1"/>
        <i x="915" s="1" nd="1"/>
        <i x="463" s="1" nd="1"/>
        <i x="303" s="1" nd="1"/>
        <i x="512" s="1" nd="1"/>
        <i x="320" s="1" nd="1"/>
        <i x="332" s="1" nd="1"/>
        <i x="453" s="1" nd="1"/>
        <i x="215" s="1" nd="1"/>
        <i x="64" s="1" nd="1"/>
        <i x="141" s="1" nd="1"/>
        <i x="413" s="1" nd="1"/>
        <i x="936" s="1" nd="1"/>
        <i x="730" s="1" nd="1"/>
        <i x="93" s="1" nd="1"/>
        <i x="985" s="1" nd="1"/>
        <i x="555" s="1" nd="1"/>
        <i x="127" s="1" nd="1"/>
        <i x="433" s="1" nd="1"/>
        <i x="765" s="1" nd="1"/>
        <i x="271" s="1" nd="1"/>
        <i x="401" s="1" nd="1"/>
        <i x="579" s="1" nd="1"/>
        <i x="1009" s="1" nd="1"/>
        <i x="959" s="1" nd="1"/>
        <i x="612" s="1" nd="1"/>
        <i x="1059" s="1" nd="1"/>
        <i x="13" s="1" nd="1"/>
        <i x="707" s="1" nd="1"/>
        <i x="445" s="1" nd="1"/>
        <i x="1037" s="1" nd="1"/>
        <i x="576" s="1" nd="1"/>
        <i x="750" s="1" nd="1"/>
        <i x="990" s="1" nd="1"/>
        <i x="528" s="1" nd="1"/>
        <i x="863" s="1" nd="1"/>
        <i x="748" s="1" nd="1"/>
        <i x="963" s="1" nd="1"/>
        <i x="1033" s="1" nd="1"/>
        <i x="543" s="1" nd="1"/>
        <i x="1100" s="1" nd="1"/>
        <i x="731" s="1" nd="1"/>
        <i x="101" s="1" nd="1"/>
        <i x="717" s="1" nd="1"/>
        <i x="1020" s="1" nd="1"/>
        <i x="973" s="1" nd="1"/>
        <i x="747" s="1" nd="1"/>
        <i x="854" s="1" nd="1"/>
        <i x="457" s="1" nd="1"/>
        <i x="697" s="1" nd="1"/>
        <i x="290" s="1" nd="1"/>
        <i x="8" s="1" nd="1"/>
        <i x="615" s="1" nd="1"/>
        <i x="610" s="1" nd="1"/>
        <i x="262" s="1" nd="1"/>
        <i x="343" s="1" nd="1"/>
        <i x="44" s="1" nd="1"/>
        <i x="560" s="1" nd="1"/>
        <i x="574" s="1" nd="1"/>
        <i x="361" s="1" nd="1"/>
        <i x="144" s="1" nd="1"/>
        <i x="1" s="1" nd="1"/>
        <i x="561" s="1" nd="1"/>
        <i x="339" s="1" nd="1"/>
        <i x="526" s="1" nd="1"/>
        <i x="1090" s="1" nd="1"/>
        <i x="1008" s="1" nd="1"/>
        <i x="790" s="1" nd="1"/>
        <i x="1106" s="1" nd="1"/>
        <i x="843" s="1" nd="1"/>
        <i x="511" s="1" nd="1"/>
        <i x="822" s="1" nd="1"/>
        <i x="324" s="1" nd="1"/>
        <i x="779" s="1" nd="1"/>
        <i x="126" s="1" nd="1"/>
        <i x="947" s="1" nd="1"/>
        <i x="76" s="1" nd="1"/>
        <i x="795" s="1" nd="1"/>
        <i x="1002" s="1" nd="1"/>
        <i x="92" s="1" nd="1"/>
        <i x="658" s="1" nd="1"/>
        <i x="1108" s="1" nd="1"/>
        <i x="135" s="1" nd="1"/>
        <i x="896" s="1" nd="1"/>
        <i x="980" s="1" nd="1"/>
        <i x="340" s="1" nd="1"/>
        <i x="410" s="1" nd="1"/>
        <i x="681" s="1" nd="1"/>
        <i x="874" s="1" nd="1"/>
        <i x="37" s="1" nd="1"/>
        <i x="769" s="1" nd="1"/>
        <i x="581" s="1" nd="1"/>
        <i x="764" s="1" nd="1"/>
        <i x="379" s="1" nd="1"/>
        <i x="709" s="1" nd="1"/>
        <i x="353" s="1" nd="1"/>
        <i x="1099" s="1" nd="1"/>
        <i x="1095" s="1" nd="1"/>
        <i x="983" s="1" nd="1"/>
        <i x="177" s="1" nd="1"/>
        <i x="1088" s="1" nd="1"/>
        <i x="1065" s="1" nd="1"/>
        <i x="79" s="1" nd="1"/>
        <i x="228" s="1" nd="1"/>
        <i x="799" s="1" nd="1"/>
        <i x="857" s="1" nd="1"/>
        <i x="571" s="1" nd="1"/>
        <i x="633" s="1" nd="1"/>
        <i x="635" s="1" nd="1"/>
        <i x="1086" s="1" nd="1"/>
        <i x="1024" s="1" nd="1"/>
        <i x="157" s="1" nd="1"/>
        <i x="1039" s="1" nd="1"/>
        <i x="168" s="1" nd="1"/>
        <i x="624" s="1" nd="1"/>
        <i x="495" s="1" nd="1"/>
        <i x="110" s="1" nd="1"/>
        <i x="841" s="1" nd="1"/>
        <i x="563" s="1" nd="1"/>
        <i x="918" s="1" nd="1"/>
        <i x="1110" s="1" nd="1"/>
        <i x="360" s="1" nd="1"/>
        <i x="440" s="1" nd="1"/>
        <i x="551" s="1" nd="1"/>
        <i x="725" s="1" nd="1"/>
        <i x="363" s="1" nd="1"/>
        <i x="472" s="1" nd="1"/>
        <i x="593" s="1" nd="1"/>
        <i x="460" s="1" nd="1"/>
        <i x="1075" s="1" nd="1"/>
        <i x="411" s="1" nd="1"/>
        <i x="279" s="1" nd="1"/>
        <i x="195" s="1" nd="1"/>
        <i x="402" s="1" nd="1"/>
        <i x="449" s="1" nd="1"/>
        <i x="751" s="1" nd="1"/>
        <i x="1035" s="1" nd="1"/>
        <i x="34" s="1" nd="1"/>
        <i x="199" s="1" nd="1"/>
        <i x="553" s="1" nd="1"/>
        <i x="631" s="1" nd="1"/>
        <i x="3" s="1" nd="1"/>
        <i x="727" s="1" nd="1"/>
        <i x="881" s="1" nd="1"/>
        <i x="1082" s="1" nd="1"/>
        <i x="315" s="1" nd="1"/>
        <i x="111" s="1" nd="1"/>
        <i x="104" s="1" nd="1"/>
        <i x="155" s="1" nd="1"/>
        <i x="508" s="1" nd="1"/>
        <i x="1074" s="1" nd="1"/>
        <i x="231" s="1" nd="1"/>
        <i x="784" s="1" nd="1"/>
        <i x="1118" s="1" nd="1"/>
        <i x="345" s="1" nd="1"/>
        <i x="357" s="1" nd="1"/>
        <i x="16" s="1" nd="1"/>
        <i x="1107" s="1" nd="1"/>
        <i x="70" s="1" nd="1"/>
        <i x="491" s="1" nd="1"/>
        <i x="322" s="1" nd="1"/>
        <i x="10" s="1" nd="1"/>
        <i x="1016" s="1" nd="1"/>
        <i x="1117" s="1" nd="1"/>
        <i x="758" s="1" nd="1"/>
        <i x="437" s="1" nd="1"/>
        <i x="626" s="1" nd="1"/>
        <i x="170" s="1" nd="1"/>
        <i x="720" s="1" nd="1"/>
        <i x="450" s="1" nd="1"/>
        <i x="962" s="1" nd="1"/>
        <i x="701" s="1" nd="1"/>
        <i x="642" s="1" nd="1"/>
        <i x="134" s="1" nd="1"/>
        <i x="1050" s="1" nd="1"/>
        <i x="72" s="1" nd="1"/>
        <i x="218" s="1" nd="1"/>
        <i x="258" s="1" nd="1"/>
        <i x="61" s="1" nd="1"/>
        <i x="223" s="1" nd="1"/>
        <i x="330" s="1" nd="1"/>
        <i x="660" s="1" nd="1"/>
        <i x="1003" s="1" nd="1"/>
        <i x="772" s="1" nd="1"/>
        <i x="273" s="1" nd="1"/>
        <i x="1013" s="1" nd="1"/>
        <i x="945" s="1" nd="1"/>
        <i x="1060" s="1" nd="1"/>
        <i x="597" s="1" nd="1"/>
        <i x="729" s="1" nd="1"/>
        <i x="771" s="1" nd="1"/>
        <i x="753" s="1" nd="1"/>
        <i x="657" s="1" nd="1"/>
        <i x="961" s="1" nd="1"/>
        <i x="651" s="1" nd="1"/>
        <i x="288" s="1" nd="1"/>
        <i x="604" s="1" nd="1"/>
        <i x="132" s="1" nd="1"/>
        <i x="876" s="1" nd="1"/>
        <i x="297" s="1" nd="1"/>
        <i x="671" s="1" nd="1"/>
        <i x="159" s="1" nd="1"/>
        <i x="351" s="1" nd="1"/>
        <i x="1062" s="1" nd="1"/>
        <i x="692" s="1" nd="1"/>
        <i x="226" s="1" nd="1"/>
        <i x="861" s="1" nd="1"/>
        <i x="663" s="1" nd="1"/>
        <i x="1054" s="1" nd="1"/>
        <i x="890" s="1" nd="1"/>
        <i x="232" s="1" nd="1"/>
        <i x="407" s="1" nd="1"/>
        <i x="588" s="1" nd="1"/>
        <i x="462" s="1" nd="1"/>
        <i x="586" s="1" nd="1"/>
        <i x="958" s="1" nd="1"/>
        <i x="933" s="1" nd="1"/>
        <i x="233" s="1" nd="1"/>
        <i x="356" s="1" nd="1"/>
        <i x="817" s="1" nd="1"/>
        <i x="1089" s="1" nd="1"/>
        <i x="1077" s="1" nd="1"/>
        <i x="475" s="1" nd="1"/>
        <i x="85" s="1" nd="1"/>
        <i x="806" s="1" nd="1"/>
        <i x="837" s="1" nd="1"/>
        <i x="833" s="1" nd="1"/>
        <i x="382" s="1" nd="1"/>
        <i x="582" s="1" nd="1"/>
        <i x="846" s="1" nd="1"/>
        <i x="937" s="1" nd="1"/>
        <i x="323" s="1" nd="1"/>
        <i x="370" s="1" nd="1"/>
        <i x="1087" s="1" nd="1"/>
        <i x="557" s="1" nd="1"/>
        <i x="427" s="1" nd="1"/>
        <i x="1092" s="1" nd="1"/>
        <i x="678" s="1" nd="1"/>
        <i x="623" s="1" nd="1"/>
        <i x="873" s="1" nd="1"/>
        <i x="611" s="1" nd="1"/>
        <i x="254" s="1" nd="1"/>
        <i x="424" s="1" nd="1"/>
        <i x="479" s="1" nd="1"/>
        <i x="1053" s="1" nd="1"/>
        <i x="432" s="1" nd="1"/>
        <i x="241" s="1" nd="1"/>
        <i x="988" s="1" nd="1"/>
        <i x="534" s="1" nd="1"/>
        <i x="584" s="1" nd="1"/>
        <i x="327" s="1" nd="1"/>
        <i x="878" s="1" nd="1"/>
        <i x="589" s="1" nd="1"/>
        <i x="999" s="1" nd="1"/>
        <i x="960" s="1" nd="1"/>
        <i x="706" s="1" nd="1"/>
        <i x="381" s="1" nd="1"/>
        <i x="976" s="1" nd="1"/>
        <i x="535" s="1" nd="1"/>
        <i x="90" s="1" nd="1"/>
        <i x="331" s="1" nd="1"/>
        <i x="971" s="1" nd="1"/>
        <i x="910" s="1" nd="1"/>
        <i x="670" s="1" nd="1"/>
        <i x="763" s="1" nd="1"/>
        <i x="1114" s="1" nd="1"/>
        <i x="897" s="1" nd="1"/>
        <i x="911" s="1" nd="1"/>
        <i x="423" s="1" nd="1"/>
        <i x="498" s="1" nd="1"/>
        <i x="469" s="1" nd="1"/>
        <i x="188" s="1" nd="1"/>
        <i x="776" s="1" nd="1"/>
        <i x="891" s="1" nd="1"/>
        <i x="556" s="1" nd="1"/>
        <i x="263" s="1" nd="1"/>
        <i x="118" s="1" nd="1"/>
        <i x="117" s="1" nd="1"/>
        <i x="621" s="1" nd="1"/>
        <i x="482" s="1" nd="1"/>
        <i x="938" s="1" nd="1"/>
        <i x="62" s="1" nd="1"/>
        <i x="877" s="1" nd="1"/>
        <i x="1051" s="1" nd="1"/>
        <i x="902" s="1" nd="1"/>
        <i x="102" s="1" nd="1"/>
        <i x="124" s="1" nd="1"/>
        <i x="160" s="1" nd="1"/>
        <i x="620" s="1" nd="1"/>
        <i x="972" s="1" nd="1"/>
        <i x="239" s="1" nd="1"/>
        <i x="426" s="1" nd="1"/>
        <i x="616" s="1" nd="1"/>
        <i x="1044" s="1" nd="1"/>
        <i x="649" s="1" nd="1"/>
        <i x="270" s="1" nd="1"/>
        <i x="800" s="1" nd="1"/>
        <i x="342" s="1" nd="1"/>
        <i x="536" s="1" nd="1"/>
        <i x="715" s="1" nd="1"/>
        <i x="313" s="1" nd="1"/>
        <i x="412" s="1" nd="1"/>
        <i x="1081" s="1" nd="1"/>
        <i x="458" s="1" nd="1"/>
        <i x="30" s="1" nd="1"/>
        <i x="739" s="1" nd="1"/>
        <i x="558" s="1" nd="1"/>
        <i x="836" s="1" nd="1"/>
        <i x="977" s="1" nd="1"/>
        <i x="867" s="1" nd="1"/>
        <i x="489" s="1" nd="1"/>
        <i x="602" s="1" nd="1"/>
        <i x="406" s="1" nd="1"/>
        <i x="675" s="1" nd="1"/>
        <i x="302" s="1" nd="1"/>
        <i x="826" s="1" nd="1"/>
        <i x="1093" s="1" nd="1"/>
        <i x="998" s="1" nd="1"/>
        <i x="992" s="1" nd="1"/>
        <i x="849" s="1" nd="1"/>
        <i x="603" s="1" nd="1"/>
        <i x="882" s="1" nd="1"/>
        <i x="789" s="1" nd="1"/>
        <i x="691" s="1" nd="1"/>
        <i x="420" s="1" nd="1"/>
        <i x="1091" s="1" nd="1"/>
        <i x="467" s="1" nd="1"/>
        <i x="179" s="1" nd="1"/>
        <i x="465" s="1" nd="1"/>
        <i x="352" s="1" nd="1"/>
        <i x="818" s="1" nd="1"/>
        <i x="1029" s="1" nd="1"/>
        <i x="176" s="1" nd="1"/>
        <i x="390" s="1" nd="1"/>
        <i x="230" s="1" nd="1"/>
        <i x="434" s="1" nd="1"/>
        <i x="883" s="1" nd="1"/>
        <i x="194" s="1" nd="1"/>
        <i x="993" s="1" nd="1"/>
        <i x="909" s="1" nd="1"/>
        <i x="809" s="1" nd="1"/>
        <i x="652" s="1" nd="1"/>
        <i x="515" s="1" nd="1"/>
        <i x="50" s="1" nd="1"/>
        <i x="856" s="1" nd="1"/>
        <i x="87" s="1" nd="1"/>
        <i x="705" s="1" nd="1"/>
        <i x="33" s="1" nd="1"/>
        <i x="537" s="1" nd="1"/>
        <i x="744" s="1" nd="1"/>
        <i x="815" s="1" nd="1"/>
        <i x="251" s="1" nd="1"/>
        <i x="116" s="1" nd="1"/>
        <i x="734" s="1" nd="1"/>
        <i x="398" s="1" nd="1"/>
        <i x="964" s="1" nd="1"/>
        <i x="930" s="1" nd="1"/>
        <i x="932" s="1" nd="1"/>
        <i x="702" s="1" nd="1"/>
        <i x="924" s="1" nd="1"/>
        <i x="1032" s="1" nd="1"/>
        <i x="585" s="1" nd="1"/>
        <i x="15" s="1" nd="1"/>
        <i x="40" s="1" nd="1"/>
        <i x="951" s="1" nd="1"/>
        <i x="494" s="1" nd="1"/>
        <i x="212" s="1" nd="1"/>
        <i x="760" s="1" nd="1"/>
        <i x="929" s="1" nd="1"/>
        <i x="38" s="1" nd="1"/>
        <i x="459" s="1" nd="1"/>
        <i x="224" s="1" nd="1"/>
        <i x="740" s="1" nd="1"/>
        <i x="824" s="1" nd="1"/>
        <i x="618" s="1" nd="1"/>
        <i x="914" s="1" nd="1"/>
        <i x="659" s="1" nd="1"/>
        <i x="365" s="1" nd="1"/>
        <i x="518" s="1" nd="1"/>
        <i x="1083" s="1" nd="1"/>
        <i x="527" s="1" nd="1"/>
        <i x="227" s="1" nd="1"/>
        <i x="31" s="1" nd="1"/>
        <i x="807" s="1" nd="1"/>
        <i x="507" s="1" nd="1"/>
        <i x="129" s="1" nd="1"/>
        <i x="628" s="1" nd="1"/>
        <i x="859" s="1" nd="1"/>
        <i x="246" s="1" nd="1"/>
        <i x="595" s="1" nd="1"/>
        <i x="4" s="1" nd="1"/>
        <i x="336" s="1" nd="1"/>
        <i x="335" s="1" nd="1"/>
        <i x="145" s="1" nd="1"/>
        <i x="1001" s="1" nd="1"/>
        <i x="644" s="1" nd="1"/>
        <i x="375" s="1" nd="1"/>
        <i x="886" s="1" nd="1"/>
        <i x="243" s="1" nd="1"/>
        <i x="1079" s="1" nd="1"/>
        <i x="294" s="1" nd="1"/>
        <i x="67" s="1" nd="1"/>
        <i x="862" s="1" nd="1"/>
        <i x="785" s="1" nd="1"/>
        <i x="267" s="1" nd="1"/>
        <i x="480" s="1" nd="1"/>
        <i x="18" s="1" nd="1"/>
        <i x="888" s="1" nd="1"/>
        <i x="1030" s="1" nd="1"/>
        <i x="471" s="1" nd="1"/>
        <i x="399" s="1" nd="1"/>
        <i x="885" s="1" nd="1"/>
        <i x="293" s="1" nd="1"/>
        <i x="904" s="1" nd="1"/>
        <i x="852" s="1" nd="1"/>
        <i x="149" s="1" nd="1"/>
        <i x="546" s="1" nd="1"/>
        <i x="648" s="1" nd="1"/>
        <i x="380" s="1" nd="1"/>
        <i x="275" s="1" nd="1"/>
        <i x="577" s="1" nd="1"/>
        <i x="383" s="1" nd="1"/>
        <i x="788" s="1" nd="1"/>
        <i x="622" s="1" nd="1"/>
        <i x="47" s="1" nd="1"/>
        <i x="548" s="1" nd="1"/>
        <i x="94" s="1" nd="1"/>
        <i x="1045" s="1" nd="1"/>
        <i x="362" s="1" nd="1"/>
        <i x="242" s="1" nd="1"/>
        <i x="842" s="1" nd="1"/>
        <i x="545" s="1" nd="1"/>
        <i x="654" s="1" nd="1"/>
        <i x="446" s="1" nd="1"/>
        <i x="578" s="1" nd="1"/>
        <i x="629" s="1" nd="1"/>
        <i x="318" s="1" nd="1"/>
        <i x="630" s="1" nd="1"/>
        <i x="396" s="1" nd="1"/>
        <i x="738" s="1" nd="1"/>
        <i x="783" s="1" nd="1"/>
        <i x="147" s="1" nd="1"/>
        <i x="260" s="1" nd="1"/>
        <i x="391" s="1" nd="1"/>
        <i x="639" s="1" nd="1"/>
        <i x="485" s="1" nd="1"/>
        <i x="310" s="1" nd="1"/>
        <i x="307" s="1" nd="1"/>
        <i x="542" s="1" nd="1"/>
        <i x="474" s="1" nd="1"/>
        <i x="1102" s="1" nd="1"/>
        <i x="189" s="1" nd="1"/>
        <i x="1056" s="1" nd="1"/>
        <i x="301" s="1" nd="1"/>
        <i x="716" s="1" nd="1"/>
        <i x="695" s="1" nd="1"/>
        <i x="792" s="1" nd="1"/>
        <i x="1064" s="1" nd="1"/>
        <i x="473" s="1" nd="1"/>
        <i x="71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14134CB-BDCA-45AA-B04A-D728DF007BC0}" sourceName="Month">
  <pivotTables>
    <pivotTable tabId="2" name="PivotTable5"/>
    <pivotTable tabId="2" name="PivotTable10"/>
    <pivotTable tabId="2" name="PivotTable4"/>
    <pivotTable tabId="2" name="PivotTable7"/>
    <pivotTable tabId="2" name="PivotTable8"/>
  </pivotTables>
  <data>
    <tabular pivotCacheId="1864684642">
      <items count="12">
        <i x="0"/>
        <i x="4" s="1"/>
        <i x="2" s="1"/>
        <i x="10" s="1"/>
        <i x="11" s="1"/>
        <i x="5" s="1" nd="1"/>
        <i x="6" s="1" nd="1"/>
        <i x="1" nd="1"/>
        <i x="3" nd="1"/>
        <i x="7" nd="1"/>
        <i x="9"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21D96209-2D53-4D82-866B-5CBD293A9D01}" sourceName="Product Name">
  <pivotTables>
    <pivotTable tabId="2" name="PivotTable4"/>
    <pivotTable tabId="2" name="PivotTable10"/>
    <pivotTable tabId="2" name="PivotTable5"/>
    <pivotTable tabId="2" name="PivotTable7"/>
    <pivotTable tabId="2" name="PivotTable8"/>
  </pivotTables>
  <data>
    <tabular pivotCacheId="1864684642">
      <items count="6">
        <i x="1" s="1"/>
        <i x="2"/>
        <i x="4"/>
        <i x="3"/>
        <i x="0"/>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Type" xr10:uid="{67809690-2234-414B-8A20-9D91D0BD4E31}" sourceName="Buyer Type">
  <pivotTables>
    <pivotTable tabId="2" name="PivotTable5"/>
    <pivotTable tabId="2" name="PivotTable10"/>
    <pivotTable tabId="2" name="PivotTable4"/>
    <pivotTable tabId="2" name="PivotTable7"/>
    <pivotTable tabId="2" name="PivotTable8"/>
  </pivotTables>
  <data>
    <tabular pivotCacheId="1864684642">
      <items count="3">
        <i x="1" s="1"/>
        <i x="0"/>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45BFC75-9D41-4AC5-9ABD-605B3F3DAFBD}" sourceName="Payment Method">
  <pivotTables>
    <pivotTable tabId="2" name="PivotTable8"/>
    <pivotTable tabId="2" name="PivotTable10"/>
    <pivotTable tabId="2" name="PivotTable4"/>
    <pivotTable tabId="2" name="PivotTable5"/>
    <pivotTable tabId="2" name="PivotTable7"/>
  </pivotTables>
  <data>
    <tabular pivotCacheId="1864684642">
      <items count="3">
        <i x="1" s="1"/>
        <i x="2"/>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State" xr10:uid="{43D85EF4-A6D5-481F-8438-FA7E413AEDA9}" sourceName="Branch State">
  <pivotTables>
    <pivotTable tabId="2" name="PivotTable7"/>
    <pivotTable tabId="2" name="PivotTable10"/>
    <pivotTable tabId="2" name="PivotTable4"/>
    <pivotTable tabId="2" name="PivotTable5"/>
    <pivotTable tabId="2" name="PivotTable8"/>
  </pivotTables>
  <data>
    <tabular pivotCacheId="1864684642">
      <items count="14">
        <i x="9" s="1"/>
        <i x="0" s="1"/>
        <i x="13" s="1"/>
        <i x="4" s="1"/>
        <i x="2" s="1"/>
        <i x="8"/>
        <i x="6"/>
        <i x="7" s="1" nd="1"/>
        <i x="10" s="1" nd="1"/>
        <i x="5" s="1" nd="1"/>
        <i x="12" nd="1"/>
        <i x="11" nd="1"/>
        <i x="3" s="1" nd="1"/>
        <i x="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89DA98F-B3B9-47D7-AB4A-08077F1500F0}" sourceName="Year">
  <pivotTables>
    <pivotTable tabId="2" name="PivotTable4"/>
    <pivotTable tabId="2" name="PivotTable10"/>
    <pivotTable tabId="2" name="PivotTable5"/>
    <pivotTable tabId="2" name="PivotTable7"/>
    <pivotTable tabId="2" name="PivotTable8"/>
  </pivotTables>
  <data>
    <tabular pivotCacheId="1864684642">
      <items count="5">
        <i x="1" s="1"/>
        <i x="3" s="1"/>
        <i x="0" s="1"/>
        <i x="2" s="1"/>
        <i x="4"/>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7C3058F-070A-4242-B131-86B560A7704F}" sourceName="Sales Channel">
  <pivotTables>
    <pivotTable tabId="2" name="PivotTable5"/>
    <pivotTable tabId="2" name="PivotTable10"/>
    <pivotTable tabId="2" name="PivotTable4"/>
    <pivotTable tabId="2" name="PivotTable7"/>
    <pivotTable tabId="2" name="PivotTable8"/>
  </pivotTables>
  <data>
    <tabular pivotCacheId="1864684642">
      <items count="4">
        <i x="0"/>
        <i x="2"/>
        <i x="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 xr10:uid="{BEE8B20F-8C2E-489E-89D8-6A921506AF56}" sourceName="Total Sale">
  <pivotTables>
    <pivotTable tabId="2" name="PivotTable10"/>
    <pivotTable tabId="2" name="PivotTable4"/>
    <pivotTable tabId="2" name="PivotTable5"/>
    <pivotTable tabId="2" name="PivotTable7"/>
    <pivotTable tabId="2" name="PivotTable8"/>
  </pivotTables>
  <data>
    <tabular pivotCacheId="1864684642">
      <items count="1303">
        <i x="219" s="1"/>
        <i x="75" s="1"/>
        <i x="841" s="1"/>
        <i x="549" s="1"/>
        <i x="914" s="1"/>
        <i x="885" s="1" nd="1"/>
        <i x="1112" s="1" nd="1"/>
        <i x="778" s="1" nd="1"/>
        <i x="1080" s="1" nd="1"/>
        <i x="905" s="1" nd="1"/>
        <i x="126" s="1" nd="1"/>
        <i x="245" s="1" nd="1"/>
        <i x="753" s="1" nd="1"/>
        <i x="347" s="1" nd="1"/>
        <i x="1177" s="1" nd="1"/>
        <i x="822" s="1" nd="1"/>
        <i x="1222" s="1" nd="1"/>
        <i x="904" s="1" nd="1"/>
        <i x="1217" s="1" nd="1"/>
        <i x="260" s="1" nd="1"/>
        <i x="482" s="1" nd="1"/>
        <i x="1143" s="1" nd="1"/>
        <i x="1076" s="1" nd="1"/>
        <i x="805" s="1" nd="1"/>
        <i x="202" s="1" nd="1"/>
        <i x="46" s="1" nd="1"/>
        <i x="429" s="1" nd="1"/>
        <i x="83" s="1" nd="1"/>
        <i x="314" s="1" nd="1"/>
        <i x="843" s="1" nd="1"/>
        <i x="1122" s="1" nd="1"/>
        <i x="588" s="1" nd="1"/>
        <i x="1063" s="1" nd="1"/>
        <i x="1276" s="1" nd="1"/>
        <i x="475" s="1" nd="1"/>
        <i x="69" s="1" nd="1"/>
        <i x="1134" s="1" nd="1"/>
        <i x="716" s="1" nd="1"/>
        <i x="1056" s="1" nd="1"/>
        <i x="1109" s="1" nd="1"/>
        <i x="275" s="1" nd="1"/>
        <i x="169" s="1" nd="1"/>
        <i x="574" s="1" nd="1"/>
        <i x="491" s="1" nd="1"/>
        <i x="217" s="1" nd="1"/>
        <i x="384" s="1" nd="1"/>
        <i x="1106" s="1" nd="1"/>
        <i x="335" s="1" nd="1"/>
        <i x="278" s="1" nd="1"/>
        <i x="648" s="1" nd="1"/>
        <i x="647" s="1" nd="1"/>
        <i x="605" s="1" nd="1"/>
        <i x="313" s="1" nd="1"/>
        <i x="925" s="1" nd="1"/>
        <i x="897" s="1" nd="1"/>
        <i x="171" s="1" nd="1"/>
        <i x="1023" s="1" nd="1"/>
        <i x="409" s="1" nd="1"/>
        <i x="1214" s="1" nd="1"/>
        <i x="1040" s="1" nd="1"/>
        <i x="1141" s="1" nd="1"/>
        <i x="1278" s="1" nd="1"/>
        <i x="719" s="1" nd="1"/>
        <i x="188" s="1" nd="1"/>
        <i x="1002" s="1" nd="1"/>
        <i x="1144" s="1" nd="1"/>
        <i x="815" s="1" nd="1"/>
        <i x="780" s="1" nd="1"/>
        <i x="990" s="1" nd="1"/>
        <i x="20" s="1" nd="1"/>
        <i x="117" s="1" nd="1"/>
        <i x="1162" s="1" nd="1"/>
        <i x="1292" s="1" nd="1"/>
        <i x="79" s="1" nd="1"/>
        <i x="469" s="1" nd="1"/>
        <i x="731" s="1" nd="1"/>
        <i x="513" s="1" nd="1"/>
        <i x="1200" s="1" nd="1"/>
        <i x="613" s="1" nd="1"/>
        <i x="296" s="1" nd="1"/>
        <i x="922" s="1" nd="1"/>
        <i x="274" s="1" nd="1"/>
        <i x="1264" s="1" nd="1"/>
        <i x="1190" s="1" nd="1"/>
        <i x="846" s="1" nd="1"/>
        <i x="320" s="1" nd="1"/>
        <i x="111" s="1" nd="1"/>
        <i x="222" s="1" nd="1"/>
        <i x="1153" s="1" nd="1"/>
        <i x="1193" s="1" nd="1"/>
        <i x="924" s="1" nd="1"/>
        <i x="1295" s="1" nd="1"/>
        <i x="692" s="1" nd="1"/>
        <i x="548" s="1" nd="1"/>
        <i x="1180" s="1" nd="1"/>
        <i x="823" s="1" nd="1"/>
        <i x="321" s="1" nd="1"/>
        <i x="49" s="1" nd="1"/>
        <i x="156" s="1" nd="1"/>
        <i x="606" s="1" nd="1"/>
        <i x="1273" s="1" nd="1"/>
        <i x="194" s="1" nd="1"/>
        <i x="723" s="1" nd="1"/>
        <i x="783" s="1" nd="1"/>
        <i x="683" s="1" nd="1"/>
        <i x="206" s="1" nd="1"/>
        <i x="416" s="1" nd="1"/>
        <i x="970" s="1" nd="1"/>
        <i x="37" s="1" nd="1"/>
        <i x="212" s="1" nd="1"/>
        <i x="576" s="1" nd="1"/>
        <i x="36" s="1" nd="1"/>
        <i x="1272" s="1" nd="1"/>
        <i x="450" s="1" nd="1"/>
        <i x="213" s="1" nd="1"/>
        <i x="174" s="1" nd="1"/>
        <i x="774" s="1" nd="1"/>
        <i x="906" s="1" nd="1"/>
        <i x="682" s="1" nd="1"/>
        <i x="832" s="1" nd="1"/>
        <i x="1293" s="1" nd="1"/>
        <i x="271" s="1" nd="1"/>
        <i x="1223" s="1" nd="1"/>
        <i x="1016" s="1" nd="1"/>
        <i x="757" s="1" nd="1"/>
        <i x="1251" s="1" nd="1"/>
        <i x="1036" s="1" nd="1"/>
        <i x="1012" s="1" nd="1"/>
        <i x="277" s="1" nd="1"/>
        <i x="150" s="1" nd="1"/>
        <i x="1239" s="1" nd="1"/>
        <i x="851" s="1" nd="1"/>
        <i x="626" s="1" nd="1"/>
        <i x="537" s="1" nd="1"/>
        <i x="468" s="1" nd="1"/>
        <i x="711" s="1" nd="1"/>
        <i x="642" s="1" nd="1"/>
        <i x="496" s="1" nd="1"/>
        <i x="144" s="1" nd="1"/>
        <i x="676" s="1" nd="1"/>
        <i x="1136" s="1" nd="1"/>
        <i x="364" s="1" nd="1"/>
        <i x="151" s="1" nd="1"/>
        <i x="215" s="1" nd="1"/>
        <i x="23" s="1" nd="1"/>
        <i x="620" s="1" nd="1"/>
        <i x="584" s="1" nd="1"/>
        <i x="42" s="1" nd="1"/>
        <i x="1075" s="1" nd="1"/>
        <i x="1017" s="1" nd="1"/>
        <i x="354" s="1" nd="1"/>
        <i x="664" s="1" nd="1"/>
        <i x="544" s="1" nd="1"/>
        <i x="1171" s="1" nd="1"/>
        <i x="888" s="1" nd="1"/>
        <i x="634" s="1" nd="1"/>
        <i x="129" s="1" nd="1"/>
        <i x="943" s="1" nd="1"/>
        <i x="912" s="1" nd="1"/>
        <i x="223" s="1" nd="1"/>
        <i x="373" s="1" nd="1"/>
        <i x="1115" s="1" nd="1"/>
        <i x="799" s="1" nd="1"/>
        <i x="1160" s="1" nd="1"/>
        <i x="425" s="1" nd="1"/>
        <i x="88" s="1" nd="1"/>
        <i x="337" s="1" nd="1"/>
        <i x="395" s="1" nd="1"/>
        <i x="125" s="1" nd="1"/>
        <i x="803" s="1" nd="1"/>
        <i x="963" s="1" nd="1"/>
        <i x="853" s="1" nd="1"/>
        <i x="146" s="1" nd="1"/>
        <i x="737" s="1" nd="1"/>
        <i x="344" s="1" nd="1"/>
        <i x="158" s="1" nd="1"/>
        <i x="167" s="1" nd="1"/>
        <i x="323" s="1" nd="1"/>
        <i x="480" s="1" nd="1"/>
        <i x="1089" s="1" nd="1"/>
        <i x="1049" s="1" nd="1"/>
        <i x="567" s="1" nd="1"/>
        <i x="1266" s="1" nd="1"/>
        <i x="680" s="1" nd="1"/>
        <i x="586" s="1" nd="1"/>
        <i x="540" s="1" nd="1"/>
        <i x="186" s="1" nd="1"/>
        <i x="710" s="1" nd="1"/>
        <i x="1026" s="1" nd="1"/>
        <i x="744" s="1" nd="1"/>
        <i x="1003" s="1" nd="1"/>
        <i x="1126" s="1" nd="1"/>
        <i x="76" s="1" nd="1"/>
        <i x="1147" s="1" nd="1"/>
        <i x="43" s="1" nd="1"/>
        <i x="1280" s="1" nd="1"/>
        <i x="1176" s="1" nd="1"/>
        <i x="240" s="1" nd="1"/>
        <i x="259" s="1" nd="1"/>
        <i x="176" s="1" nd="1"/>
        <i x="1170" s="1" nd="1"/>
        <i x="442" s="1" nd="1"/>
        <i x="958" s="1" nd="1"/>
        <i x="455" s="1" nd="1"/>
        <i x="916" s="1" nd="1"/>
        <i x="377" s="1" nd="1"/>
        <i x="804" s="1" nd="1"/>
        <i x="386" s="1" nd="1"/>
        <i x="1020" s="1" nd="1"/>
        <i x="1078" s="1" nd="1"/>
        <i x="602" s="1" nd="1"/>
        <i x="228" s="1" nd="1"/>
        <i x="745" s="1" nd="1"/>
        <i x="720" s="1" nd="1"/>
        <i x="47" s="1" nd="1"/>
        <i x="908" s="1" nd="1"/>
        <i x="718" s="1" nd="1"/>
        <i x="385" s="1" nd="1"/>
        <i x="858" s="1" nd="1"/>
        <i x="189" s="1" nd="1"/>
        <i x="389" s="1" nd="1"/>
        <i x="637" s="1" nd="1"/>
        <i x="339" s="1" nd="1"/>
        <i x="235" s="1" nd="1"/>
        <i x="793" s="1" nd="1"/>
        <i x="791" s="1" nd="1"/>
        <i x="684" s="1" nd="1"/>
        <i x="1271" s="1" nd="1"/>
        <i x="382" s="1" nd="1"/>
        <i x="511" s="1" nd="1"/>
        <i x="935" s="1" nd="1"/>
        <i x="1195" s="1" nd="1"/>
        <i x="214" s="1" nd="1"/>
        <i x="295" s="1" nd="1"/>
        <i x="461" s="1" nd="1"/>
        <i x="110" s="1" nd="1"/>
        <i x="703" s="1" nd="1"/>
        <i x="714" s="1" nd="1"/>
        <i x="686" s="1" nd="1"/>
        <i x="1127" s="1" nd="1"/>
        <i x="85" s="1" nd="1"/>
        <i x="645" s="1" nd="1"/>
        <i x="292" s="1" nd="1"/>
        <i x="411" s="1" nd="1"/>
        <i x="1237" s="1" nd="1"/>
        <i x="871" s="1" nd="1"/>
        <i x="707" s="1" nd="1"/>
        <i x="443" s="1" nd="1"/>
        <i x="133" s="1" nd="1"/>
        <i x="854" s="1" nd="1"/>
        <i x="352" s="1" nd="1"/>
        <i x="541" s="1" nd="1"/>
        <i x="933" s="1" nd="1"/>
        <i x="979" s="1" nd="1"/>
        <i x="1152" s="1" nd="1"/>
        <i x="1074" s="1" nd="1"/>
        <i x="959" s="1" nd="1"/>
        <i x="348" s="1" nd="1"/>
        <i x="856" s="1" nd="1"/>
        <i x="566" s="1" nd="1"/>
        <i x="353" s="1" nd="1"/>
        <i x="839" s="1" nd="1"/>
        <i x="413" s="1" nd="1"/>
        <i x="1279" s="1" nd="1"/>
        <i x="100" s="1" nd="1"/>
        <i x="653" s="1" nd="1"/>
        <i x="516" s="1" nd="1"/>
        <i x="867" s="1" nd="1"/>
        <i x="1015" s="1" nd="1"/>
        <i x="845" s="1" nd="1"/>
        <i x="1133" s="1" nd="1"/>
        <i x="1010" s="1" nd="1"/>
        <i x="1151" s="1" nd="1"/>
        <i x="191" s="1" nd="1"/>
        <i x="1155" s="1" nd="1"/>
        <i x="689" s="1" nd="1"/>
        <i x="580" s="1" nd="1"/>
        <i x="1070" s="1" nd="1"/>
        <i x="24" s="1" nd="1"/>
        <i x="399" s="1" nd="1"/>
        <i x="185" s="1" nd="1"/>
        <i x="155" s="1" nd="1"/>
        <i x="738" s="1" nd="1"/>
        <i x="418" s="1" nd="1"/>
        <i x="600" s="1" nd="1"/>
        <i x="388" s="1" nd="1"/>
        <i x="956" s="1" nd="1"/>
        <i x="59" s="1" nd="1"/>
        <i x="9" s="1" nd="1"/>
        <i x="439" s="1" nd="1"/>
        <i x="227" s="1" nd="1"/>
        <i x="727" s="1" nd="1"/>
        <i x="1226" s="1" nd="1"/>
        <i x="252" s="1" nd="1"/>
        <i x="1064" s="1" nd="1"/>
        <i x="1163" s="1" nd="1"/>
        <i x="879" s="1" nd="1"/>
        <i x="257" s="1" nd="1"/>
        <i x="33" s="1" nd="1"/>
        <i x="1117" s="1" nd="1"/>
        <i x="470" s="1" nd="1"/>
        <i x="503" s="1" nd="1"/>
        <i x="1158" s="1" nd="1"/>
        <i x="999" s="1" nd="1"/>
        <i x="1105" s="1" nd="1"/>
        <i x="251" s="1" nd="1"/>
        <i x="401" s="1" nd="1"/>
        <i x="255" s="1" nd="1"/>
        <i x="628" s="1" nd="1"/>
        <i x="465" s="1" nd="1"/>
        <i x="836" s="1" nd="1"/>
        <i x="332" s="1" nd="1"/>
        <i x="428" s="1" nd="1"/>
        <i x="1142" s="1" nd="1"/>
        <i x="1186" s="1" nd="1"/>
        <i x="1119" s="1" nd="1"/>
        <i x="484" s="1" nd="1"/>
        <i x="1048" s="1" nd="1"/>
        <i x="453" s="1" nd="1"/>
        <i x="733" s="1" nd="1"/>
        <i x="1061" s="1" nd="1"/>
        <i x="825" s="1" nd="1"/>
        <i x="598" s="1" nd="1"/>
        <i x="263" s="1" nd="1"/>
        <i x="130" s="1" nd="1"/>
        <i x="910" s="1" nd="1"/>
        <i x="1097" s="1" nd="1"/>
        <i x="346" s="1" nd="1"/>
        <i x="247" s="1" nd="1"/>
        <i x="408" s="1" nd="1"/>
        <i x="1249" s="1" nd="1"/>
        <i x="410" s="1" nd="1"/>
        <i x="812" s="1" nd="1"/>
        <i x="84" s="1" nd="1"/>
        <i x="1262" s="1" nd="1"/>
        <i x="827" s="1" nd="1"/>
        <i x="1284" s="1" nd="1"/>
        <i x="73" s="1" nd="1"/>
        <i x="800" s="1" nd="1"/>
        <i x="982" s="1" nd="1"/>
        <i x="14" s="1" nd="1"/>
        <i x="830" s="1" nd="1"/>
        <i x="865" s="1" nd="1"/>
        <i x="1059" s="1" nd="1"/>
        <i x="367" s="1" nd="1"/>
        <i x="89" s="1" nd="1"/>
        <i x="1009" s="1" nd="1"/>
        <i x="12" s="1" nd="1"/>
        <i x="196" s="1" nd="1"/>
        <i x="92" s="1" nd="1"/>
        <i x="926" s="1" nd="1"/>
        <i x="1037" s="1" nd="1"/>
        <i x="915" s="1" nd="1"/>
        <i x="463" s="1" nd="1"/>
        <i x="1182" s="1" nd="1"/>
        <i x="713" s="1" nd="1"/>
        <i x="1079" s="1" nd="1"/>
        <i x="1146" s="1" nd="1"/>
        <i x="1161" s="1" nd="1"/>
        <i x="552" s="1" nd="1"/>
        <i x="297" s="1" nd="1"/>
        <i x="5" s="1" nd="1"/>
        <i x="305" s="1" nd="1"/>
        <i x="1242" s="1" nd="1"/>
        <i x="365" s="1" nd="1"/>
        <i x="244" s="1" nd="1"/>
        <i x="372" s="1" nd="1"/>
        <i x="112" s="1" nd="1"/>
        <i x="226" s="1" nd="1"/>
        <i x="55" s="1" nd="1"/>
        <i x="441" s="1" nd="1"/>
        <i x="931" s="1" nd="1"/>
        <i x="996" s="1" nd="1"/>
        <i x="899" s="1" nd="1"/>
        <i x="390" s="1" nd="1"/>
        <i x="67" s="1" nd="1"/>
        <i x="86" s="1" nd="1"/>
        <i x="625" s="1" nd="1"/>
        <i x="957" s="1" nd="1"/>
        <i x="866" s="1" nd="1"/>
        <i x="392" s="1" nd="1"/>
        <i x="946" s="1" nd="1"/>
        <i x="393" s="1" nd="1"/>
        <i x="309" s="1" nd="1"/>
        <i x="1060" s="1" nd="1"/>
        <i x="876" s="1" nd="1"/>
        <i x="557" s="1" nd="1"/>
        <i x="1091" s="1" nd="1"/>
        <i x="715" s="1" nd="1"/>
        <i x="1192" s="1" nd="1"/>
        <i x="460" s="1" nd="1"/>
        <i x="521" s="1" nd="1"/>
        <i x="58" s="1" nd="1"/>
        <i x="527" s="1" nd="1"/>
        <i x="966" s="1" nd="1"/>
        <i x="264" s="1" nd="1"/>
        <i x="773" s="1" nd="1"/>
        <i x="1210" s="1" nd="1"/>
        <i x="256" s="1" nd="1"/>
        <i x="1243" s="1" nd="1"/>
        <i x="293" s="1" nd="1"/>
        <i x="40" s="1" nd="1"/>
        <i x="330" s="1" nd="1"/>
        <i x="376" s="1" nd="1"/>
        <i x="1129" s="1" nd="1"/>
        <i x="831" s="1" nd="1"/>
        <i x="795" s="1" nd="1"/>
        <i x="884" s="1" nd="1"/>
        <i x="66" s="1" nd="1"/>
        <i x="419" s="1" nd="1"/>
        <i x="1302" s="1" nd="1"/>
        <i x="1294" s="1" nd="1"/>
        <i x="177" s="1" nd="1"/>
        <i x="919" s="1" nd="1"/>
        <i x="22" s="1" nd="1"/>
        <i x="299" s="1" nd="1"/>
        <i x="651" s="1" nd="1"/>
        <i x="1216" s="1" nd="1"/>
        <i x="1062" s="1" nd="1"/>
        <i x="261" s="1" nd="1"/>
        <i x="646" s="1" nd="1"/>
        <i x="1044" s="1" nd="1"/>
        <i x="420" s="1" nd="1"/>
        <i x="17" s="1" nd="1"/>
        <i x="583" s="1" nd="1"/>
        <i x="417" s="1" nd="1"/>
        <i x="207" s="1" nd="1"/>
        <i x="941" s="1" nd="1"/>
        <i x="1145" s="1" nd="1"/>
        <i x="242" s="1" nd="1"/>
        <i x="1165" s="1" nd="1"/>
        <i x="179" s="1" nd="1"/>
        <i x="673" s="1" nd="1"/>
        <i x="767" s="1" nd="1"/>
        <i x="398" s="1" nd="1"/>
        <i x="965" s="1" nd="1"/>
        <i x="886" s="1" nd="1"/>
        <i x="980" s="1" nd="1"/>
        <i x="1103" s="1" nd="1"/>
        <i x="726" s="1" nd="1"/>
        <i x="829" s="1" nd="1"/>
        <i x="507" s="1" nd="1"/>
        <i x="736" s="1" nd="1"/>
        <i x="64" s="1" nd="1"/>
        <i x="578" s="1" nd="1"/>
        <i x="147" s="1" nd="1"/>
        <i x="1018" s="1" nd="1"/>
        <i x="11" s="1" nd="1"/>
        <i x="679" s="1" nd="1"/>
        <i x="599" s="1" nd="1"/>
        <i x="91" s="1" nd="1"/>
        <i x="508" s="1" nd="1"/>
        <i x="514" s="1" nd="1"/>
        <i x="430" s="1" nd="1"/>
        <i x="844" s="1" nd="1"/>
        <i x="913" s="1" nd="1"/>
        <i x="1257" s="1" nd="1"/>
        <i x="742" s="1" nd="1"/>
        <i x="761" s="1" nd="1"/>
        <i x="190" s="1" nd="1"/>
        <i x="357" s="1" nd="1"/>
        <i x="6" s="1" nd="1"/>
        <i x="98" s="1" nd="1"/>
        <i x="477" s="1" nd="1"/>
        <i x="61" s="1" nd="1"/>
        <i x="518" s="1" nd="1"/>
        <i x="779" s="1" nd="1"/>
        <i x="1291" s="1" nd="1"/>
        <i x="775" s="1" nd="1"/>
        <i x="934" s="1" nd="1"/>
        <i x="1028" s="1" nd="1"/>
        <i x="1132" s="1" nd="1"/>
        <i x="837" s="1" nd="1"/>
        <i x="1252" s="1" nd="1"/>
        <i x="168" s="1" nd="1"/>
        <i x="472" s="1" nd="1"/>
        <i x="1068" s="1" nd="1"/>
        <i x="1043" s="1" nd="1"/>
        <i x="70" s="1" nd="1"/>
        <i x="893" s="1" nd="1"/>
        <i x="1128" s="1" nd="1"/>
        <i x="504" s="1" nd="1"/>
        <i x="1228" s="1" nd="1"/>
        <i x="291" s="1" nd="1"/>
        <i x="241" s="1" nd="1"/>
        <i x="101" s="1" nd="1"/>
        <i x="360" s="1" nd="1"/>
        <i x="1164" s="1" nd="1"/>
        <i x="99" s="1" nd="1"/>
        <i x="1077" s="1" nd="1"/>
        <i x="849" s="1" nd="1"/>
        <i x="434" s="1" nd="1"/>
        <i x="7" s="1" nd="1"/>
        <i x="1207" s="1" nd="1"/>
        <i x="464" s="1" nd="1"/>
        <i x="997" s="1" nd="1"/>
        <i x="1014" s="1" nd="1"/>
        <i x="569" s="1" nd="1"/>
        <i x="955" s="1" nd="1"/>
        <i x="1234" s="1" nd="1"/>
        <i x="303" s="1" nd="1"/>
        <i x="142" s="1" nd="1"/>
        <i x="201" s="1" nd="1"/>
        <i x="581" s="1" nd="1"/>
        <i x="975" s="1" nd="1"/>
        <i x="1007" s="1" nd="1"/>
        <i x="533" s="1" nd="1"/>
        <i x="493" s="1" nd="1"/>
        <i x="534" s="1" nd="1"/>
        <i x="932" s="1" nd="1"/>
        <i x="467" s="1" nd="1"/>
        <i x="880" s="1" nd="1"/>
        <i x="197" s="1" nd="1"/>
        <i x="807" s="1" nd="1"/>
        <i x="231" s="1" nd="1"/>
        <i x="558" s="1" nd="1"/>
        <i x="887" s="1" nd="1"/>
        <i x="209" s="1" nd="1"/>
        <i x="294" s="1" nd="1"/>
        <i x="286" s="1" nd="1"/>
        <i x="515" s="1" nd="1"/>
        <i x="1205" s="1" nd="1"/>
        <i x="665" s="1" nd="1"/>
        <i x="1288" s="1" nd="1"/>
        <i x="890" s="1" nd="1"/>
        <i x="1220" s="1" nd="1"/>
        <i x="768" s="1" nd="1"/>
        <i x="923" s="1" nd="1"/>
        <i x="153" s="1" nd="1"/>
        <i x="433" s="1" nd="1"/>
        <i x="1236" s="1" nd="1"/>
        <i x="210" s="1" nd="1"/>
        <i x="766" s="1" nd="1"/>
        <i x="743" s="1" nd="1"/>
        <i x="553" s="1" nd="1"/>
        <i x="123" s="1" nd="1"/>
        <i x="216" s="1" nd="1"/>
        <i x="643" s="1" nd="1"/>
        <i x="2" s="1" nd="1"/>
        <i x="1231" s="1" nd="1"/>
        <i x="208" s="1" nd="1"/>
        <i x="1029" s="1" nd="1"/>
        <i x="273" s="1" nd="1"/>
        <i x="607" s="1" nd="1"/>
        <i x="445" s="1" nd="1"/>
        <i x="118" s="1" nd="1"/>
        <i x="725" s="1" nd="1"/>
        <i x="137" s="1" nd="1"/>
        <i x="954" s="1" nd="1"/>
        <i x="531" s="1" nd="1"/>
        <i x="1169" s="1" nd="1"/>
        <i x="0" s="1" nd="1"/>
        <i x="988" s="1" nd="1"/>
        <i x="1004" s="1" nd="1"/>
        <i x="1098" s="1" nd="1"/>
        <i x="368" s="1" nd="1"/>
        <i x="900" s="1" nd="1"/>
        <i x="1269" s="1" nd="1"/>
        <i x="724" s="1" nd="1"/>
        <i x="285" s="1" nd="1"/>
        <i x="983" s="1" nd="1"/>
        <i x="658" s="1" nd="1"/>
        <i x="1219" s="1" nd="1"/>
        <i x="593" s="1" nd="1"/>
        <i x="77" s="1" nd="1"/>
        <i x="115" s="1" nd="1"/>
        <i x="1104" s="1" nd="1"/>
        <i x="195" s="1" nd="1"/>
        <i x="1005" s="1" nd="1"/>
        <i x="695" s="1" nd="1"/>
        <i x="873" s="1" nd="1"/>
        <i x="874" s="1" nd="1"/>
        <i x="1051" s="1" nd="1"/>
        <i x="19" s="1" nd="1"/>
        <i x="211" s="1" nd="1"/>
        <i x="315" s="1" nd="1"/>
        <i x="789" s="1" nd="1"/>
        <i x="343" s="1" nd="1"/>
        <i x="656" s="1" nd="1"/>
        <i x="1000" s="1" nd="1"/>
        <i x="1071" s="1" nd="1"/>
        <i x="734" s="1" nd="1"/>
        <i x="1212" s="1" nd="1"/>
        <i x="319" s="1" nd="1"/>
        <i x="412" s="1" nd="1"/>
        <i x="951" s="1" nd="1"/>
        <i x="108" s="1" nd="1"/>
        <i x="135" s="1" nd="1"/>
        <i x="561" s="1" nd="1"/>
        <i x="917" s="1" nd="1"/>
        <i x="103" s="1" nd="1"/>
        <i x="80" s="1" nd="1"/>
        <i x="366" s="1" nd="1"/>
        <i x="702" s="1" nd="1"/>
        <i x="106" s="1" nd="1"/>
        <i x="82" s="1" nd="1"/>
        <i x="994" s="1" nd="1"/>
        <i x="961" s="1" nd="1"/>
        <i x="1232" s="1" nd="1"/>
        <i x="939" s="1" nd="1"/>
        <i x="546" s="1" nd="1"/>
        <i x="749" s="1" nd="1"/>
        <i x="1179" s="1" nd="1"/>
        <i x="756" s="1" nd="1"/>
        <i x="603" s="1" nd="1"/>
        <i x="1137" s="1" nd="1"/>
        <i x="56" s="1" nd="1"/>
        <i x="60" s="1" nd="1"/>
        <i x="796" s="1" nd="1"/>
        <i x="310" s="1" nd="1"/>
        <i x="1094" s="1" nd="1"/>
        <i x="25" s="1" nd="1"/>
        <i x="691" s="1" nd="1"/>
        <i x="532" s="1" nd="1"/>
        <i x="1045" s="1" nd="1"/>
        <i x="283" s="1" nd="1"/>
        <i x="859" s="1" nd="1"/>
        <i x="269" s="1" nd="1"/>
        <i x="601" s="1" nd="1"/>
        <i x="1183" s="1" nd="1"/>
        <i x="976" s="1" nd="1"/>
        <i x="1282" s="1" nd="1"/>
        <i x="116" s="1" nd="1"/>
        <i x="542" s="1" nd="1"/>
        <i x="550" s="1" nd="1"/>
        <i x="717" s="1" nd="1"/>
        <i x="1201" s="1" nd="1"/>
        <i x="1057" s="1" nd="1"/>
        <i x="1033" s="1" nd="1"/>
        <i x="21" s="1" nd="1"/>
        <i x="861" s="1" nd="1"/>
        <i x="1011" s="1" nd="1"/>
        <i x="821" s="1" nd="1"/>
        <i x="124" s="1" nd="1"/>
        <i x="1245" s="1" nd="1"/>
        <i x="289" s="1" nd="1"/>
        <i x="1238" s="1" nd="1"/>
        <i x="180" s="1" nd="1"/>
        <i x="765" s="1" nd="1"/>
        <i x="1092" s="1" nd="1"/>
        <i x="840" s="1" nd="1"/>
        <i x="281" s="1" nd="1"/>
        <i x="806" s="1" nd="1"/>
        <i x="1140" s="1" nd="1"/>
        <i x="1041" s="1" nd="1"/>
        <i x="690" s="1" nd="1"/>
        <i x="1066" s="1" nd="1"/>
        <i x="394" s="1" nd="1"/>
        <i x="1298" s="1" nd="1"/>
        <i x="1069" s="1" nd="1"/>
        <i x="597" s="1" nd="1"/>
        <i x="333" s="1" nd="1"/>
        <i x="159" s="1" nd="1"/>
        <i x="1290" s="1" nd="1"/>
        <i x="311" s="1" nd="1"/>
        <i x="304" s="1" nd="1"/>
        <i x="1030" s="1" nd="1"/>
        <i x="790" s="1" nd="1"/>
        <i x="1123" s="1" nd="1"/>
        <i x="302" s="1" nd="1"/>
        <i x="525" s="1" nd="1"/>
        <i x="267" s="1" nd="1"/>
        <i x="678" s="1" nd="1"/>
        <i x="1299" s="1" nd="1"/>
        <i x="936" s="1" nd="1"/>
        <i x="1095" s="1" nd="1"/>
        <i x="57" s="1" nd="1"/>
        <i x="1244" s="1" nd="1"/>
        <i x="894" s="1" nd="1"/>
        <i x="1189" s="1" nd="1"/>
        <i x="850" s="1" nd="1"/>
        <i x="741" s="1" nd="1"/>
        <i x="551" s="1" nd="1"/>
        <i x="986" s="1" nd="1"/>
        <i x="1087" s="1" nd="1"/>
        <i x="781" s="1" nd="1"/>
        <i x="1008" s="1" nd="1"/>
        <i x="801" s="1" nd="1"/>
        <i x="1035" s="1" nd="1"/>
        <i x="992" s="1" nd="1"/>
        <i x="810" s="1" nd="1"/>
        <i x="400" s="1" nd="1"/>
        <i x="672" s="1" nd="1"/>
        <i x="1084" s="1" nd="1"/>
        <i x="141" s="1" nd="1"/>
        <i x="53" s="1" nd="1"/>
        <i x="1093" s="1" nd="1"/>
        <i x="94" s="1" nd="1"/>
        <i x="870" s="1" nd="1"/>
        <i x="1046" s="1" nd="1"/>
        <i x="1175" s="1" nd="1"/>
        <i x="1032" s="1" nd="1"/>
        <i x="1287" s="1" nd="1"/>
        <i x="892" s="1" nd="1"/>
        <i x="794" s="1" nd="1"/>
        <i x="324" s="1" nd="1"/>
        <i x="949" s="1" nd="1"/>
        <i x="1096" s="1" nd="1"/>
        <i x="776" s="1" nd="1"/>
        <i x="1148" s="1" nd="1"/>
        <i x="1072" s="1" nd="1"/>
        <i x="896" s="1" nd="1"/>
        <i x="205" s="1" nd="1"/>
        <i x="483" s="1" nd="1"/>
        <i x="530" s="1" nd="1"/>
        <i x="559" s="1" nd="1"/>
        <i x="811" s="1" nd="1"/>
        <i x="30" s="1" nd="1"/>
        <i x="479" s="1" nd="1"/>
        <i x="1187" s="1" nd="1"/>
        <i x="306" s="1" nd="1"/>
        <i x="178" s="1" nd="1"/>
        <i x="163" s="1" nd="1"/>
        <i x="1099" s="1" nd="1"/>
        <i x="220" s="1" nd="1"/>
        <i x="751" s="1" nd="1"/>
        <i x="995" s="1" nd="1"/>
        <i x="944" s="1" nd="1"/>
        <i x="987" s="1" nd="1"/>
        <i x="1181" s="1" nd="1"/>
        <i x="818" s="1" nd="1"/>
        <i x="881" s="1" nd="1"/>
        <i x="826" s="1" nd="1"/>
        <i x="72" s="1" nd="1"/>
        <i x="1116" s="1" nd="1"/>
        <i x="50" s="1" nd="1"/>
        <i x="28" s="1" nd="1"/>
        <i x="254" s="1" nd="1"/>
        <i x="327" s="1" nd="1"/>
        <i x="1213" s="1" nd="1"/>
        <i x="621" s="1" nd="1"/>
        <i x="225" s="1" nd="1"/>
        <i x="674" s="1" nd="1"/>
        <i x="29" s="1" nd="1"/>
        <i x="1268" s="1" nd="1"/>
        <i x="287" s="1" nd="1"/>
        <i x="1204" s="1" nd="1"/>
        <i x="454" s="1" nd="1"/>
        <i x="595" s="1" nd="1"/>
        <i x="44" s="1" nd="1"/>
        <i x="1197" s="1" nd="1"/>
        <i x="877" s="1" nd="1"/>
        <i x="109" s="1" nd="1"/>
        <i x="528" s="1" nd="1"/>
        <i x="644" s="1" nd="1"/>
        <i x="510" s="1" nd="1"/>
        <i x="1265" s="1" nd="1"/>
        <i x="1173" s="1" nd="1"/>
        <i x="444" s="1" nd="1"/>
        <i x="964" s="1" nd="1"/>
        <i x="128" s="1" nd="1"/>
        <i x="1031" s="1" nd="1"/>
        <i x="26" s="1" nd="1"/>
        <i x="170" s="1" nd="1"/>
        <i x="1168" s="1" nd="1"/>
        <i x="1167" s="1" nd="1"/>
        <i x="334" s="1" nd="1"/>
        <i x="728" s="1" nd="1"/>
        <i x="140" s="1" nd="1"/>
        <i x="752" s="1" nd="1"/>
        <i x="560" s="1" nd="1"/>
        <i x="122" s="1" nd="1"/>
        <i x="524" s="1" nd="1"/>
        <i x="1157" s="1" nd="1"/>
        <i x="740" s="1" nd="1"/>
        <i x="1198" s="1" nd="1"/>
        <i x="857" s="1" nd="1"/>
        <i x="166" s="1" nd="1"/>
        <i x="547" s="1" nd="1"/>
        <i x="1281" s="1" nd="1"/>
        <i x="474" s="1" nd="1"/>
        <i x="616" s="1" nd="1"/>
        <i x="440" s="1" nd="1"/>
        <i x="739" s="1" nd="1"/>
        <i x="1172" s="1" nd="1"/>
        <i x="529" s="1" nd="1"/>
        <i x="52" s="1" nd="1"/>
        <i x="1261" s="1" nd="1"/>
        <i x="1154" s="1" nd="1"/>
        <i x="422" s="1" nd="1"/>
        <i x="290" s="1" nd="1"/>
        <i x="635" s="1" nd="1"/>
        <i x="204" s="1" nd="1"/>
        <i x="200" s="1" nd="1"/>
        <i x="748" s="1" nd="1"/>
        <i x="730" s="1" nd="1"/>
        <i x="636" s="1" nd="1"/>
        <i x="971" s="1" nd="1"/>
        <i x="456" s="1" nd="1"/>
        <i x="1199" s="1" nd="1"/>
        <i x="667" s="1" nd="1"/>
        <i x="609" s="1" nd="1"/>
        <i x="1297" s="1" nd="1"/>
        <i x="592" s="1" nd="1"/>
        <i x="172" s="1" nd="1"/>
        <i x="631" s="1" nd="1"/>
        <i x="1058" s="1" nd="1"/>
        <i x="967" s="1" nd="1"/>
        <i x="1270" s="1" nd="1"/>
        <i x="1050" s="1" nd="1"/>
        <i x="1235" s="1" nd="1"/>
        <i x="183" s="1" nd="1"/>
        <i x="898" s="1" nd="1"/>
        <i x="763" s="1" nd="1"/>
        <i x="960" s="1" nd="1"/>
        <i x="329" s="1" nd="1"/>
        <i x="624" s="1" nd="1"/>
        <i x="102" s="1" nd="1"/>
        <i x="570" s="1" nd="1"/>
        <i x="161" s="1" nd="1"/>
        <i x="758" s="1" nd="1"/>
        <i x="143" s="1" nd="1"/>
        <i x="447" s="1" nd="1"/>
        <i x="638" s="1" nd="1"/>
        <i x="633" s="1" nd="1"/>
        <i x="502" s="1" nd="1"/>
        <i x="300" s="1" nd="1"/>
        <i x="929" s="1" nd="1"/>
        <i x="706" s="1" nd="1"/>
        <i x="568" s="1" nd="1"/>
        <i x="187" s="1" nd="1"/>
        <i x="701" s="1" nd="1"/>
        <i x="1247" s="1" nd="1"/>
        <i x="864" s="1" nd="1"/>
        <i x="54" s="1" nd="1"/>
        <i x="243" s="1" nd="1"/>
        <i x="407" s="1" nd="1"/>
        <i x="396" s="1" nd="1"/>
        <i x="1110" s="1" nd="1"/>
        <i x="490" s="1" nd="1"/>
        <i x="785" s="1" nd="1"/>
        <i x="387" s="1" nd="1"/>
        <i x="1120" s="1" nd="1"/>
        <i x="1206" s="1" nd="1"/>
        <i x="1230" s="1" nd="1"/>
        <i x="699" s="1" nd="1"/>
        <i x="1178" s="1" nd="1"/>
        <i x="1233" s="1" nd="1"/>
        <i x="438" s="1" nd="1"/>
        <i x="265" s="1" nd="1"/>
        <i x="326" s="1" nd="1"/>
        <i x="27" s="1" nd="1"/>
        <i x="938" s="1" nd="1"/>
        <i x="1225" s="1" nd="1"/>
        <i x="697" s="1" nd="1"/>
        <i x="573" s="1" nd="1"/>
        <i x="835" s="1" nd="1"/>
        <i x="520" s="1" nd="1"/>
        <i x="808" s="1" nd="1"/>
        <i x="157" s="1" nd="1"/>
        <i x="1025" s="1" nd="1"/>
        <i x="838" s="1" nd="1"/>
        <i x="652" s="1" nd="1"/>
        <i x="539" s="1" nd="1"/>
        <i x="338" s="1" nd="1"/>
        <i x="13" s="1" nd="1"/>
        <i x="351" s="1" nd="1"/>
        <i x="471" s="1" nd="1"/>
        <i x="481" s="1" nd="1"/>
        <i x="221" s="1" nd="1"/>
        <i x="65" s="1" nd="1"/>
        <i x="145" s="1" nd="1"/>
        <i x="1052" s="1" nd="1"/>
        <i x="787" s="1" nd="1"/>
        <i x="96" s="1" nd="1"/>
        <i x="1114" s="1" nd="1"/>
        <i x="587" s="1" nd="1"/>
        <i x="132" s="1" nd="1"/>
        <i x="458" s="1" nd="1"/>
        <i x="630" s="1" nd="1"/>
        <i x="280" s="1" nd="1"/>
        <i x="426" s="1" nd="1"/>
        <i x="612" s="1" nd="1"/>
        <i x="1150" s="1" nd="1"/>
        <i x="1082" s="1" nd="1"/>
        <i x="1221" s="1" nd="1"/>
        <i x="1166" s="1" nd="1"/>
        <i x="1055" s="1" nd="1"/>
        <i x="1194" s="1" nd="1"/>
        <i x="945" s="1" nd="1"/>
        <i x="816" s="1" nd="1"/>
        <i x="1121" s="1" nd="1"/>
        <i x="556" s="1" nd="1"/>
        <i x="8" s="1" nd="1"/>
        <i x="814" s="1" nd="1"/>
        <i x="1088" s="1" nd="1"/>
        <i x="820" s="1" nd="1"/>
        <i x="362" s="1" nd="1"/>
        <i x="318" s="1" nd="1"/>
        <i x="1275" s="1" nd="1"/>
        <i x="788" s="1" nd="1"/>
        <i x="104" s="1" nd="1"/>
        <i x="772" s="1" nd="1"/>
        <i x="1102" s="1" nd="1"/>
        <i x="813" s="1" nd="1"/>
        <i x="485" s="1" nd="1"/>
        <i x="379" s="1" nd="1"/>
        <i x="301" s="1" nd="1"/>
        <i x="148" s="1" nd="1"/>
        <i x="1" s="1" nd="1"/>
        <i x="654" s="1" nd="1"/>
        <i x="649" s="1" nd="1"/>
        <i x="270" s="1" nd="1"/>
        <i x="594" s="1" nd="1"/>
        <i x="45" s="1" nd="1"/>
        <i x="358" s="1" nd="1"/>
        <i x="554" s="1" nd="1"/>
        <i x="762" s="1" nd="1"/>
        <i x="1258" s="1" nd="1"/>
        <i x="872" s="1" nd="1"/>
        <i x="1283" s="1" nd="1"/>
        <i x="572" s="1" nd="1"/>
        <i x="930" s="1" nd="1"/>
        <i x="907" s="1" nd="1"/>
        <i x="342" s="1" nd="1"/>
        <i x="855" s="1" nd="1"/>
        <i x="131" s="1" nd="1"/>
        <i x="1067" s="1" nd="1"/>
        <i x="878" s="1" nd="1"/>
        <i x="1138" s="1" nd="1"/>
        <i x="95" s="1" nd="1"/>
        <i x="705" s="1" nd="1"/>
        <i x="1286" s="1" nd="1"/>
        <i x="139" s="1" nd="1"/>
        <i x="998" s="1" nd="1"/>
        <i x="608" s="1" nd="1"/>
        <i x="1111" s="1" nd="1"/>
        <i x="359" s="1" nd="1"/>
        <i x="735" s="1" nd="1"/>
        <i x="969" s="1" nd="1"/>
        <i x="38" s="1" nd="1"/>
        <i x="1149" s="1" nd="1"/>
        <i x="842" s="1" nd="1"/>
        <i x="614" s="1" nd="1"/>
        <i x="834" s="1" nd="1"/>
        <i x="538" s="1" nd="1"/>
        <i x="402" s="1" nd="1"/>
        <i x="371" s="1" nd="1"/>
        <i x="1274" s="1" nd="1"/>
        <i x="78" s="1" nd="1"/>
        <i x="1267" s="1" nd="1"/>
        <i x="1113" s="1" nd="1"/>
        <i x="182" s="1" nd="1"/>
        <i x="1255" s="1" nd="1"/>
        <i x="1229" s="1" nd="1"/>
        <i x="81" s="1" nd="1"/>
        <i x="234" s="1" nd="1"/>
        <i x="882" s="1" nd="1"/>
        <i x="948" s="1" nd="1"/>
        <i x="604" s="1" nd="1"/>
        <i x="675" s="1" nd="1"/>
        <i x="677" s="1" nd="1"/>
        <i x="1253" s="1" nd="1"/>
        <i x="1174" s="1" nd="1"/>
        <i x="162" s="1" nd="1"/>
        <i x="1196" s="1" nd="1"/>
        <i x="173" s="1" nd="1"/>
        <i x="435" s="1" nd="1"/>
        <i x="663" s="1" nd="1"/>
        <i x="523" s="1" nd="1"/>
        <i x="113" s="1" nd="1"/>
        <i x="927" s="1" nd="1"/>
        <i x="1027" s="1" nd="1"/>
        <i x="764" s="1" nd="1"/>
        <i x="1289" s="1" nd="1"/>
        <i x="378" s="1" nd="1"/>
        <i x="466" s="1" nd="1"/>
        <i x="582" s="1" nd="1"/>
        <i x="782" s="1" nd="1"/>
        <i x="381" s="1" nd="1"/>
        <i x="498" s="1" nd="1"/>
        <i x="627" s="1" nd="1"/>
        <i x="488" s="1" nd="1"/>
        <i x="1241" s="1" nd="1"/>
        <i x="436" s="1" nd="1"/>
        <i x="199" s="1" nd="1"/>
        <i x="427" s="1" nd="1"/>
        <i x="476" s="1" nd="1"/>
        <i x="817" s="1" nd="1"/>
        <i x="35" s="1" nd="1"/>
        <i x="203" s="1" nd="1"/>
        <i x="585" s="1" nd="1"/>
        <i x="671" s="1" nd="1"/>
        <i x="784" s="1" nd="1"/>
        <i x="977" s="1" nd="1"/>
        <i x="331" s="1" nd="1"/>
        <i x="114" s="1" nd="1"/>
        <i x="160" s="1" nd="1"/>
        <i x="536" s="1" nd="1"/>
        <i x="1240" s="1" nd="1"/>
        <i x="237" s="1" nd="1"/>
        <i x="862" s="1" nd="1"/>
        <i x="1301" s="1" nd="1"/>
        <i x="375" s="1" nd="1"/>
        <i x="596" s="1" nd="1"/>
        <i x="16" s="1" nd="1"/>
        <i x="1285" s="1" nd="1"/>
        <i x="71" s="1" nd="1"/>
        <i x="519" s="1" nd="1"/>
        <i x="340" s="1" nd="1"/>
        <i x="10" s="1" nd="1"/>
        <i x="1159" s="1" nd="1"/>
        <i x="1300" s="1" nd="1"/>
        <i x="824" s="1" nd="1"/>
        <i x="462" s="1" nd="1"/>
        <i x="175" s="1" nd="1"/>
        <i x="777" s="1" nd="1"/>
        <i x="478" s="1" nd="1"/>
        <i x="754" s="1" nd="1"/>
        <i x="685" s="1" nd="1"/>
        <i x="138" s="1" nd="1"/>
        <i x="1208" s="1" nd="1"/>
        <i x="224" s="1" nd="1"/>
        <i x="266" s="1" nd="1"/>
        <i x="288" s="1" nd="1"/>
        <i x="62" s="1" nd="1"/>
        <i x="229" s="1" nd="1"/>
        <i x="349" s="1" nd="1"/>
        <i x="709" s="1" nd="1"/>
        <i x="1191" s="1" nd="1"/>
        <i x="848" s="1" nd="1"/>
        <i x="282" s="1" nd="1"/>
        <i x="1156" s="1" nd="1"/>
        <i x="1065" s="1" nd="1"/>
        <i x="3" s="1" nd="1"/>
        <i x="632" s="1" nd="1"/>
        <i x="786" s="1" nd="1"/>
        <i x="847" s="1" nd="1"/>
        <i x="819" s="1" nd="1"/>
        <i x="704" s="1" nd="1"/>
        <i x="1085" s="1" nd="1"/>
        <i x="696" s="1" nd="1"/>
        <i x="298" s="1" nd="1"/>
        <i x="107" s="1" nd="1"/>
        <i x="641" s="1" nd="1"/>
        <i x="363" s="1" nd="1"/>
        <i x="972" s="1" nd="1"/>
        <i x="312" s="1" nd="1"/>
        <i x="164" s="1" nd="1"/>
        <i x="369" s="1" nd="1"/>
        <i x="1224" s="1" nd="1"/>
        <i x="747" s="1" nd="1"/>
        <i x="232" s="1" nd="1"/>
        <i x="952" s="1" nd="1"/>
        <i x="712" s="1" nd="1"/>
        <i x="1215" s="1" nd="1"/>
        <i x="991" s="1" nd="1"/>
        <i x="238" s="1" nd="1"/>
        <i x="432" s="1" nd="1"/>
        <i x="622" s="1" nd="1"/>
        <i x="666" s="1" nd="1"/>
        <i x="619" s="1" nd="1"/>
        <i x="1081" s="1" nd="1"/>
        <i x="1047" s="1" nd="1"/>
        <i x="239" s="1" nd="1"/>
        <i x="902" s="1" nd="1"/>
        <i x="1256" s="1" nd="1"/>
        <i x="1086" s="1" nd="1"/>
        <i x="501" s="1" nd="1"/>
        <i x="87" s="1" nd="1"/>
        <i x="889" s="1" nd="1"/>
        <i x="921" s="1" nd="1"/>
        <i x="918" s="1" nd="1"/>
        <i x="74" s="1" nd="1"/>
        <i x="615" s="1" nd="1"/>
        <i x="937" s="1" nd="1"/>
        <i x="1053" s="1" nd="1"/>
        <i x="341" s="1" nd="1"/>
        <i x="391" s="1" nd="1"/>
        <i x="1254" s="1" nd="1"/>
        <i x="1139" s="1" nd="1"/>
        <i x="590" s="1" nd="1"/>
        <i x="452" s="1" nd="1"/>
        <i x="1260" s="1" nd="1"/>
        <i x="732" s="1" nd="1"/>
        <i x="662" s="1" nd="1"/>
        <i x="968" s="1" nd="1"/>
        <i x="650" s="1" nd="1"/>
        <i x="688" s="1" nd="1"/>
        <i x="136" s="1" nd="1"/>
        <i x="722" s="1" nd="1"/>
        <i x="489" s="1" nd="1"/>
        <i x="374" s="1" nd="1"/>
        <i x="405" s="1" nd="1"/>
        <i x="262" s="1" nd="1"/>
        <i x="449" s="1" nd="1"/>
        <i x="505" s="1" nd="1"/>
        <i x="1211" s="1" nd="1"/>
        <i x="457" s="1" nd="1"/>
        <i x="248" s="1" nd="1"/>
        <i x="1118" s="1" nd="1"/>
        <i x="562" s="1" nd="1"/>
        <i x="617" s="1" nd="1"/>
        <i x="345" s="1" nd="1"/>
        <i x="974" s="1" nd="1"/>
        <i x="623" s="1" nd="1"/>
        <i x="1131" s="1" nd="1"/>
        <i x="1083" s="1" nd="1"/>
        <i x="760" s="1" nd="1"/>
        <i x="404" s="1" nd="1"/>
        <i x="1107" s="1" nd="1"/>
        <i x="563" s="1" nd="1"/>
        <i x="93" s="1" nd="1"/>
        <i x="350" s="1" nd="1"/>
        <i x="1100" s="1" nd="1"/>
        <i x="1021" s="1" nd="1"/>
        <i x="721" s="1" nd="1"/>
        <i x="833" s="1" nd="1"/>
        <i x="1296" s="1" nd="1"/>
        <i x="1001" s="1" nd="1"/>
        <i x="1022" s="1" nd="1"/>
        <i x="448" s="1" nd="1"/>
        <i x="526" s="1" nd="1"/>
        <i x="495" s="1" nd="1"/>
        <i x="192" s="1" nd="1"/>
        <i x="852" s="1" nd="1"/>
        <i x="993" s="1" nd="1"/>
        <i x="589" s="1" nd="1"/>
        <i x="272" s="1" nd="1"/>
        <i x="121" s="1" nd="1"/>
        <i x="120" s="1" nd="1"/>
        <i x="660" s="1" nd="1"/>
        <i x="509" s="1" nd="1"/>
        <i x="1054" s="1" nd="1"/>
        <i x="63" s="1" nd="1"/>
        <i x="973" s="1" nd="1"/>
        <i x="1209" s="1" nd="1"/>
        <i x="1006" s="1" nd="1"/>
        <i x="105" s="1" nd="1"/>
        <i x="127" s="1" nd="1"/>
        <i x="165" s="1" nd="1"/>
        <i x="659" s="1" nd="1"/>
        <i x="1101" s="1" nd="1"/>
        <i x="246" s="1" nd="1"/>
        <i x="451" s="1" nd="1"/>
        <i x="655" s="1" nd="1"/>
        <i x="1202" s="1" nd="1"/>
        <i x="694" s="1" nd="1"/>
        <i x="279" s="1" nd="1"/>
        <i x="883" s="1" nd="1"/>
        <i x="361" s="1" nd="1"/>
        <i x="564" s="1" nd="1"/>
        <i x="770" s="1" nd="1"/>
        <i x="328" s="1" nd="1"/>
        <i x="437" s="1" nd="1"/>
        <i x="1248" s="1" nd="1"/>
        <i x="486" s="1" nd="1"/>
        <i x="31" s="1" nd="1"/>
        <i x="798" s="1" nd="1"/>
        <i x="591" s="1" nd="1"/>
        <i x="920" s="1" nd="1"/>
        <i x="1108" s="1" nd="1"/>
        <i x="962" s="1" nd="1"/>
        <i x="517" s="1" nd="1"/>
        <i x="639" s="1" nd="1"/>
        <i x="431" s="1" nd="1"/>
        <i x="729" s="1" nd="1"/>
        <i x="317" s="1" nd="1"/>
        <i x="911" s="1" nd="1"/>
        <i x="1263" s="1" nd="1"/>
        <i x="1130" s="1" nd="1"/>
        <i x="1124" s="1" nd="1"/>
        <i x="940" s="1" nd="1"/>
        <i x="640" s="1" nd="1"/>
        <i x="978" s="1" nd="1"/>
        <i x="869" s="1" nd="1"/>
        <i x="746" s="1" nd="1"/>
        <i x="446" s="1" nd="1"/>
        <i x="1259" s="1" nd="1"/>
        <i x="494" s="1" nd="1"/>
        <i x="184" s="1" nd="1"/>
        <i x="492" s="1" nd="1"/>
        <i x="370" s="1" nd="1"/>
        <i x="903" s="1" nd="1"/>
        <i x="1184" s="1" nd="1"/>
        <i x="181" s="1" nd="1"/>
        <i x="414" s="1" nd="1"/>
        <i x="236" s="1" nd="1"/>
        <i x="459" s="1" nd="1"/>
        <i x="981" s="1" nd="1"/>
        <i x="198" s="1" nd="1"/>
        <i x="1125" s="1" nd="1"/>
        <i x="1019" s="1" nd="1"/>
        <i x="895" s="1" nd="1"/>
        <i x="698" s="1" nd="1"/>
        <i x="543" s="1" nd="1"/>
        <i x="51" s="1" nd="1"/>
        <i x="947" s="1" nd="1"/>
        <i x="90" s="1" nd="1"/>
        <i x="759" s="1" nd="1"/>
        <i x="34" s="1" nd="1"/>
        <i x="565" s="1" nd="1"/>
        <i x="809" s="1" nd="1"/>
        <i x="901" s="1" nd="1"/>
        <i x="258" s="1" nd="1"/>
        <i x="119" s="1" nd="1"/>
        <i x="792" s="1" nd="1"/>
        <i x="423" s="1" nd="1"/>
        <i x="1090" s="1" nd="1"/>
        <i x="1039" s="1" nd="1"/>
        <i x="1042" s="1" nd="1"/>
        <i x="755" s="1" nd="1"/>
        <i x="1034" s="1" nd="1"/>
        <i x="1188" s="1" nd="1"/>
        <i x="618" s="1" nd="1"/>
        <i x="15" s="1" nd="1"/>
        <i x="41" s="1" nd="1"/>
        <i x="1073" s="1" nd="1"/>
        <i x="522" s="1" nd="1"/>
        <i x="218" s="1" nd="1"/>
        <i x="828" s="1" nd="1"/>
        <i x="1038" s="1" nd="1"/>
        <i x="39" s="1" nd="1"/>
        <i x="487" s="1" nd="1"/>
        <i x="230" s="1" nd="1"/>
        <i x="802" s="1" nd="1"/>
        <i x="909" s="1" nd="1"/>
        <i x="657" s="1" nd="1"/>
        <i x="1024" s="1" nd="1"/>
        <i x="708" s="1" nd="1"/>
        <i x="383" s="1" nd="1"/>
        <i x="545" s="1" nd="1"/>
        <i x="1250" s="1" nd="1"/>
        <i x="555" s="1" nd="1"/>
        <i x="233" s="1" nd="1"/>
        <i x="32" s="1" nd="1"/>
        <i x="891" s="1" nd="1"/>
        <i x="535" s="1" nd="1"/>
        <i x="134" s="1" nd="1"/>
        <i x="668" s="1" nd="1"/>
        <i x="950" s="1" nd="1"/>
        <i x="253" s="1" nd="1"/>
        <i x="629" s="1" nd="1"/>
        <i x="4" s="1" nd="1"/>
        <i x="356" s="1" nd="1"/>
        <i x="355" s="1" nd="1"/>
        <i x="149" s="1" nd="1"/>
        <i x="1135" s="1" nd="1"/>
        <i x="687" s="1" nd="1"/>
        <i x="397" s="1" nd="1"/>
        <i x="985" s="1" nd="1"/>
        <i x="250" s="1" nd="1"/>
        <i x="1246" s="1" nd="1"/>
        <i x="308" s="1" nd="1"/>
        <i x="68" s="1" nd="1"/>
        <i x="953" s="1" nd="1"/>
        <i x="863" s="1" nd="1"/>
        <i x="276" s="1" nd="1"/>
        <i x="506" s="1" nd="1"/>
        <i x="18" s="1" nd="1"/>
        <i x="989" s="1" nd="1"/>
        <i x="1185" s="1" nd="1"/>
        <i x="497" s="1" nd="1"/>
        <i x="424" s="1" nd="1"/>
        <i x="984" s="1" nd="1"/>
        <i x="307" s="1" nd="1"/>
        <i x="1013" s="1" nd="1"/>
        <i x="942" s="1" nd="1"/>
        <i x="154" s="1" nd="1"/>
        <i x="577" s="1" nd="1"/>
        <i x="693" s="1" nd="1"/>
        <i x="403" s="1" nd="1"/>
        <i x="284" s="1" nd="1"/>
        <i x="610" s="1" nd="1"/>
        <i x="406" s="1" nd="1"/>
        <i x="868" s="1" nd="1"/>
        <i x="661" s="1" nd="1"/>
        <i x="48" s="1" nd="1"/>
        <i x="579" s="1" nd="1"/>
        <i x="97" s="1" nd="1"/>
        <i x="1203" s="1" nd="1"/>
        <i x="380" s="1" nd="1"/>
        <i x="249" s="1" nd="1"/>
        <i x="928" s="1" nd="1"/>
        <i x="575" s="1" nd="1"/>
        <i x="700" s="1" nd="1"/>
        <i x="473" s="1" nd="1"/>
        <i x="611" s="1" nd="1"/>
        <i x="669" s="1" nd="1"/>
        <i x="336" s="1" nd="1"/>
        <i x="670" s="1" nd="1"/>
        <i x="421" s="1" nd="1"/>
        <i x="797" s="1" nd="1"/>
        <i x="860" s="1" nd="1"/>
        <i x="152" s="1" nd="1"/>
        <i x="268" s="1" nd="1"/>
        <i x="415" s="1" nd="1"/>
        <i x="681" s="1" nd="1"/>
        <i x="512" s="1" nd="1"/>
        <i x="325" s="1" nd="1"/>
        <i x="322" s="1" nd="1"/>
        <i x="571" s="1" nd="1"/>
        <i x="500" s="1" nd="1"/>
        <i x="1277" s="1" nd="1"/>
        <i x="193" s="1" nd="1"/>
        <i x="1218" s="1" nd="1"/>
        <i x="316" s="1" nd="1"/>
        <i x="771" s="1" nd="1"/>
        <i x="750" s="1" nd="1"/>
        <i x="875" s="1" nd="1"/>
        <i x="1227" s="1" nd="1"/>
        <i x="499" s="1" nd="1"/>
        <i x="76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Loss" xr10:uid="{B8349773-50A5-49E3-B3DA-293CC4AA0E75}" cache="Slicer_Profit_Loss" caption="Profit/Loss" rowHeight="234950"/>
  <slicer name="Total Sale" xr10:uid="{A05056F5-6F22-40BA-B6FF-E2488767EE0C}" cache="Slicer_Total_Sale" caption="Total Sa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14D7DBC-1341-4D1F-A52E-E8A2D764ADB5}" cache="Slicer_Month" caption="Month" columnCount="12" showCaption="0" style="SlicerStyleDark5" rowHeight="432000"/>
  <slicer name="Product Name" xr10:uid="{9ED75CA2-201C-4188-BD54-B21F80D1C2D2}" cache="Slicer_Product_Name" caption="Product Name" showCaption="0" style="SlicerStyleDark5" rowHeight="234950"/>
  <slicer name="Buyer Type" xr10:uid="{A9562584-9291-473D-832F-B114EF6E52F0}" cache="Slicer_Buyer_Type" caption="Buyer Type" showCaption="0" style="SlicerStyleDark5" rowHeight="234950"/>
  <slicer name="Payment Method" xr10:uid="{499605E3-105F-40D1-ADED-EA64AE365D40}" cache="Slicer_Payment_Method" caption="Payment Method" showCaption="0" style="SlicerStyleDark5" rowHeight="234950"/>
  <slicer name="Branch State" xr10:uid="{BBCA4A0B-C811-4D30-8B0B-CD8858740255}" cache="Slicer_Branch_State" caption="Branch State" showCaption="0" style="SlicerStyleDark5" rowHeight="234950"/>
  <slicer name="Year" xr10:uid="{0EDE5B4F-946D-4146-97F9-04DDFA9684E8}" cache="Slicer_Year" caption="Year" columnCount="5" showCaption="0" style="SlicerStyleDark5" rowHeight="396000"/>
  <slicer name="Sales Channel" xr10:uid="{CE18B4FD-D82F-4B21-B3AC-C44FFF21EFFE}" cache="Slicer_Sales_Channel" caption="Sales Channel" showCaption="0"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Tbl" displayName="SalesDataTbl" ref="A1:V2102" totalsRowCount="1">
  <autoFilter ref="A1:V2101" xr:uid="{00000000-0009-0000-0100-000001000000}"/>
  <tableColumns count="22">
    <tableColumn id="1" xr3:uid="{00000000-0010-0000-0000-000001000000}" name="Date"/>
    <tableColumn id="2" xr3:uid="{00000000-0010-0000-0000-000002000000}" name="Product Name"/>
    <tableColumn id="3" xr3:uid="{00000000-0010-0000-0000-000003000000}" name="Category"/>
    <tableColumn id="4" xr3:uid="{00000000-0010-0000-0000-000004000000}" name="Variant"/>
    <tableColumn id="5" xr3:uid="{00000000-0010-0000-0000-000005000000}" name="Qty Sold"/>
    <tableColumn id="6" xr3:uid="{00000000-0010-0000-0000-000006000000}" name="Unit Price"/>
    <tableColumn id="7" xr3:uid="{00000000-0010-0000-0000-000007000000}" name="Total Sale" totalsRowFunction="custom">
      <calculatedColumnFormula>E2*F2</calculatedColumnFormula>
      <totalsRowFormula>SUM(G2:G2101)</totalsRowFormula>
    </tableColumn>
    <tableColumn id="8" xr3:uid="{00000000-0010-0000-0000-000008000000}" name="Cost Price"/>
    <tableColumn id="9" xr3:uid="{00000000-0010-0000-0000-000009000000}" name="Total Cost">
      <calculatedColumnFormula>E2*H2</calculatedColumnFormula>
    </tableColumn>
    <tableColumn id="10" xr3:uid="{00000000-0010-0000-0000-00000A000000}" name="Profit/Loss">
      <calculatedColumnFormula>G2-I2</calculatedColumnFormula>
    </tableColumn>
    <tableColumn id="11" xr3:uid="{00000000-0010-0000-0000-00000B000000}" name="Buyer Type"/>
    <tableColumn id="12" xr3:uid="{00000000-0010-0000-0000-00000C000000}" name="Sales Channel"/>
    <tableColumn id="13" xr3:uid="{00000000-0010-0000-0000-00000D000000}" name="Payment Method"/>
    <tableColumn id="14" xr3:uid="{00000000-0010-0000-0000-00000E000000}" name="Delivery Status"/>
    <tableColumn id="15" xr3:uid="{00000000-0010-0000-0000-00000F000000}" name="Stock In"/>
    <tableColumn id="16" xr3:uid="{00000000-0010-0000-0000-000010000000}" name="Stock Out"/>
    <tableColumn id="17" xr3:uid="{00000000-0010-0000-0000-000011000000}" name="Branch City"/>
    <tableColumn id="18" xr3:uid="{00000000-0010-0000-0000-000012000000}" name="Branch State"/>
    <tableColumn id="19" xr3:uid="{00000000-0010-0000-0000-000013000000}" name="Delivery Zone Area"/>
    <tableColumn id="20" xr3:uid="{00000000-0010-0000-0000-000014000000}" name="Year"/>
    <tableColumn id="21" xr3:uid="{00000000-0010-0000-0000-000015000000}" name="Month"/>
    <tableColumn id="22" xr3:uid="{A5D08813-C1FE-4DA3-B21C-05A2DFD6F58C}"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31272-FFE9-4D7F-B30C-271272F37D54}">
  <dimension ref="B3:L25"/>
  <sheetViews>
    <sheetView zoomScale="75" zoomScaleNormal="75" workbookViewId="0">
      <selection activeCell="N49" sqref="N49"/>
    </sheetView>
  </sheetViews>
  <sheetFormatPr defaultRowHeight="14.5" x14ac:dyDescent="0.35"/>
  <cols>
    <col min="1" max="1" width="14.08984375" bestFit="1" customWidth="1"/>
    <col min="2" max="2" width="13.81640625" bestFit="1" customWidth="1"/>
    <col min="3" max="3" width="15.81640625" bestFit="1" customWidth="1"/>
    <col min="4" max="4" width="16.81640625" bestFit="1" customWidth="1"/>
    <col min="5" max="5" width="14.90625" bestFit="1" customWidth="1"/>
    <col min="6" max="6" width="15.453125" customWidth="1"/>
    <col min="7" max="7" width="17" bestFit="1" customWidth="1"/>
    <col min="8" max="8" width="16.453125" bestFit="1" customWidth="1"/>
    <col min="9" max="9" width="3.1796875" hidden="1" customWidth="1"/>
    <col min="10" max="11" width="5.453125" bestFit="1" customWidth="1"/>
    <col min="12" max="12" width="11" bestFit="1" customWidth="1"/>
    <col min="13" max="13" width="15.6328125" bestFit="1" customWidth="1"/>
    <col min="14" max="14" width="16.7265625" bestFit="1" customWidth="1"/>
    <col min="15" max="15" width="14.81640625" bestFit="1" customWidth="1"/>
    <col min="16" max="16" width="11.90625" customWidth="1"/>
    <col min="17" max="17" width="2.08984375" customWidth="1"/>
    <col min="18" max="18" width="1.453125" customWidth="1"/>
    <col min="19" max="19" width="16.81640625" bestFit="1" customWidth="1"/>
    <col min="20" max="20" width="17" bestFit="1" customWidth="1"/>
    <col min="21" max="21" width="5" bestFit="1" customWidth="1"/>
    <col min="22" max="22" width="11.08984375" bestFit="1" customWidth="1"/>
    <col min="23" max="25" width="11.453125" bestFit="1" customWidth="1"/>
    <col min="26" max="26" width="16.6328125" bestFit="1" customWidth="1"/>
    <col min="27" max="27" width="2.1796875" customWidth="1"/>
    <col min="28" max="28" width="16.6328125" bestFit="1" customWidth="1"/>
    <col min="29" max="29" width="14.08984375" bestFit="1" customWidth="1"/>
    <col min="30" max="30" width="16.7265625" bestFit="1" customWidth="1"/>
    <col min="31" max="31" width="14.81640625" bestFit="1" customWidth="1"/>
    <col min="32" max="32" width="7.453125" bestFit="1" customWidth="1"/>
    <col min="33" max="33" width="10.81640625" bestFit="1" customWidth="1"/>
    <col min="34" max="34" width="1.81640625" customWidth="1"/>
    <col min="35" max="35" width="1.54296875" customWidth="1"/>
    <col min="36" max="36" width="1" customWidth="1"/>
    <col min="37" max="981" width="16.6328125" bestFit="1" customWidth="1"/>
    <col min="982" max="982" width="20.453125" bestFit="1" customWidth="1"/>
    <col min="983" max="983" width="21.54296875" bestFit="1" customWidth="1"/>
  </cols>
  <sheetData>
    <row r="3" spans="2:12" x14ac:dyDescent="0.35">
      <c r="B3" s="2" t="s">
        <v>118</v>
      </c>
      <c r="C3" t="s">
        <v>120</v>
      </c>
      <c r="D3" t="s">
        <v>121</v>
      </c>
    </row>
    <row r="4" spans="2:12" x14ac:dyDescent="0.35">
      <c r="B4" s="3">
        <v>2020</v>
      </c>
      <c r="C4" s="6">
        <v>12980</v>
      </c>
      <c r="D4" s="6">
        <v>5192</v>
      </c>
      <c r="G4" s="2" t="s">
        <v>118</v>
      </c>
      <c r="H4" t="s">
        <v>121</v>
      </c>
      <c r="I4" t="s">
        <v>123</v>
      </c>
    </row>
    <row r="5" spans="2:12" x14ac:dyDescent="0.35">
      <c r="B5" s="3">
        <v>2021</v>
      </c>
      <c r="C5" s="6">
        <v>800</v>
      </c>
      <c r="D5" s="6">
        <v>320</v>
      </c>
      <c r="G5" s="3" t="s">
        <v>64</v>
      </c>
      <c r="H5" s="6">
        <v>2088</v>
      </c>
      <c r="I5" s="6">
        <v>261</v>
      </c>
    </row>
    <row r="6" spans="2:12" x14ac:dyDescent="0.35">
      <c r="B6" s="3">
        <v>2022</v>
      </c>
      <c r="C6" s="6">
        <v>5220</v>
      </c>
      <c r="D6" s="6">
        <v>2088</v>
      </c>
      <c r="G6" s="3" t="s">
        <v>67</v>
      </c>
      <c r="H6" s="6">
        <v>3400</v>
      </c>
      <c r="I6" s="6">
        <v>425</v>
      </c>
    </row>
    <row r="7" spans="2:12" x14ac:dyDescent="0.35">
      <c r="B7" s="3">
        <v>2023</v>
      </c>
      <c r="C7" s="6">
        <v>3680</v>
      </c>
      <c r="D7" s="6">
        <v>1472</v>
      </c>
      <c r="G7" s="3" t="s">
        <v>87</v>
      </c>
      <c r="H7" s="6">
        <v>1792</v>
      </c>
      <c r="I7" s="6">
        <v>224</v>
      </c>
    </row>
    <row r="8" spans="2:12" x14ac:dyDescent="0.35">
      <c r="B8" s="3" t="s">
        <v>119</v>
      </c>
      <c r="C8" s="6">
        <v>22680</v>
      </c>
      <c r="D8" s="6">
        <v>9072</v>
      </c>
      <c r="G8" s="3" t="s">
        <v>92</v>
      </c>
      <c r="H8" s="6">
        <v>320</v>
      </c>
      <c r="I8" s="6">
        <v>40</v>
      </c>
    </row>
    <row r="9" spans="2:12" x14ac:dyDescent="0.35">
      <c r="G9" s="3" t="s">
        <v>113</v>
      </c>
      <c r="H9" s="6">
        <v>1472</v>
      </c>
      <c r="I9" s="6">
        <v>184</v>
      </c>
    </row>
    <row r="10" spans="2:12" x14ac:dyDescent="0.35">
      <c r="B10" s="2" t="s">
        <v>118</v>
      </c>
      <c r="C10" t="s">
        <v>120</v>
      </c>
      <c r="D10" t="s">
        <v>121</v>
      </c>
      <c r="G10" s="3" t="s">
        <v>119</v>
      </c>
      <c r="H10" s="6">
        <v>9072</v>
      </c>
      <c r="I10" s="6">
        <v>1134</v>
      </c>
    </row>
    <row r="11" spans="2:12" x14ac:dyDescent="0.35">
      <c r="B11" s="3" t="s">
        <v>62</v>
      </c>
      <c r="C11" s="6">
        <v>8900</v>
      </c>
      <c r="D11" s="6">
        <v>3560</v>
      </c>
    </row>
    <row r="12" spans="2:12" x14ac:dyDescent="0.35">
      <c r="B12" s="3" t="s">
        <v>53</v>
      </c>
      <c r="C12" s="6">
        <v>4480</v>
      </c>
      <c r="D12" s="6">
        <v>1792</v>
      </c>
    </row>
    <row r="13" spans="2:12" x14ac:dyDescent="0.35">
      <c r="B13" s="3" t="s">
        <v>105</v>
      </c>
      <c r="C13" s="6">
        <v>8500</v>
      </c>
      <c r="D13" s="6">
        <v>3400</v>
      </c>
      <c r="G13" s="2" t="s">
        <v>121</v>
      </c>
      <c r="H13" s="2" t="s">
        <v>122</v>
      </c>
    </row>
    <row r="14" spans="2:12" x14ac:dyDescent="0.35">
      <c r="B14" s="3" t="s">
        <v>109</v>
      </c>
      <c r="C14" s="6">
        <v>800</v>
      </c>
      <c r="D14" s="6">
        <v>320</v>
      </c>
      <c r="G14" s="2" t="s">
        <v>118</v>
      </c>
      <c r="H14">
        <v>2020</v>
      </c>
      <c r="I14">
        <v>2021</v>
      </c>
      <c r="J14">
        <v>2022</v>
      </c>
      <c r="K14">
        <v>2023</v>
      </c>
      <c r="L14" t="s">
        <v>119</v>
      </c>
    </row>
    <row r="15" spans="2:12" x14ac:dyDescent="0.35">
      <c r="B15" s="3" t="s">
        <v>119</v>
      </c>
      <c r="C15" s="6">
        <v>22680</v>
      </c>
      <c r="D15" s="6">
        <v>9072</v>
      </c>
      <c r="G15" s="3" t="s">
        <v>88</v>
      </c>
      <c r="H15" s="6">
        <v>1792</v>
      </c>
      <c r="I15" s="6"/>
      <c r="J15" s="6"/>
      <c r="K15" s="6"/>
      <c r="L15" s="6">
        <v>1792</v>
      </c>
    </row>
    <row r="16" spans="2:12" x14ac:dyDescent="0.35">
      <c r="G16" s="4" t="s">
        <v>87</v>
      </c>
      <c r="H16" s="6">
        <v>1792</v>
      </c>
      <c r="I16" s="6"/>
      <c r="J16" s="6"/>
      <c r="K16" s="6"/>
      <c r="L16" s="6">
        <v>1792</v>
      </c>
    </row>
    <row r="17" spans="2:12" x14ac:dyDescent="0.35">
      <c r="G17" s="3" t="s">
        <v>29</v>
      </c>
      <c r="H17" s="6"/>
      <c r="I17" s="6"/>
      <c r="J17" s="6">
        <v>2088</v>
      </c>
      <c r="K17" s="6"/>
      <c r="L17" s="6">
        <v>2088</v>
      </c>
    </row>
    <row r="18" spans="2:12" x14ac:dyDescent="0.35">
      <c r="B18" s="2" t="s">
        <v>118</v>
      </c>
      <c r="C18" t="s">
        <v>120</v>
      </c>
      <c r="D18" t="s">
        <v>121</v>
      </c>
      <c r="E18" t="s">
        <v>123</v>
      </c>
      <c r="G18" s="4" t="s">
        <v>64</v>
      </c>
      <c r="H18" s="6"/>
      <c r="I18" s="6"/>
      <c r="J18" s="6">
        <v>2088</v>
      </c>
      <c r="K18" s="6"/>
      <c r="L18" s="6">
        <v>2088</v>
      </c>
    </row>
    <row r="19" spans="2:12" x14ac:dyDescent="0.35">
      <c r="B19" s="3">
        <v>2020</v>
      </c>
      <c r="C19" s="6">
        <v>12980</v>
      </c>
      <c r="D19" s="6">
        <v>5192</v>
      </c>
      <c r="E19" s="6">
        <v>649</v>
      </c>
      <c r="G19" s="3" t="s">
        <v>114</v>
      </c>
      <c r="H19" s="6"/>
      <c r="I19" s="6"/>
      <c r="J19" s="6"/>
      <c r="K19" s="6">
        <v>1472</v>
      </c>
      <c r="L19" s="6">
        <v>1472</v>
      </c>
    </row>
    <row r="20" spans="2:12" x14ac:dyDescent="0.35">
      <c r="B20" s="3">
        <v>2021</v>
      </c>
      <c r="C20" s="6">
        <v>800</v>
      </c>
      <c r="D20" s="6">
        <v>320</v>
      </c>
      <c r="E20" s="6">
        <v>40</v>
      </c>
      <c r="G20" s="4" t="s">
        <v>113</v>
      </c>
      <c r="H20" s="6"/>
      <c r="I20" s="6"/>
      <c r="J20" s="6"/>
      <c r="K20" s="6">
        <v>1472</v>
      </c>
      <c r="L20" s="6">
        <v>1472</v>
      </c>
    </row>
    <row r="21" spans="2:12" x14ac:dyDescent="0.35">
      <c r="B21" s="3">
        <v>2022</v>
      </c>
      <c r="C21" s="6">
        <v>5220</v>
      </c>
      <c r="D21" s="6">
        <v>2088</v>
      </c>
      <c r="E21" s="6">
        <v>261</v>
      </c>
      <c r="G21" s="3" t="s">
        <v>68</v>
      </c>
      <c r="H21" s="6">
        <v>3400</v>
      </c>
      <c r="I21" s="6"/>
      <c r="J21" s="6"/>
      <c r="K21" s="6"/>
      <c r="L21" s="6">
        <v>3400</v>
      </c>
    </row>
    <row r="22" spans="2:12" x14ac:dyDescent="0.35">
      <c r="B22" s="3">
        <v>2023</v>
      </c>
      <c r="C22" s="6">
        <v>3680</v>
      </c>
      <c r="D22" s="6">
        <v>1472</v>
      </c>
      <c r="E22" s="6">
        <v>184</v>
      </c>
      <c r="G22" s="4" t="s">
        <v>67</v>
      </c>
      <c r="H22" s="6">
        <v>3400</v>
      </c>
      <c r="I22" s="6"/>
      <c r="J22" s="6"/>
      <c r="K22" s="6"/>
      <c r="L22" s="6">
        <v>3400</v>
      </c>
    </row>
    <row r="23" spans="2:12" x14ac:dyDescent="0.35">
      <c r="B23" s="3" t="s">
        <v>119</v>
      </c>
      <c r="C23" s="6">
        <v>22680</v>
      </c>
      <c r="D23" s="6">
        <v>9072</v>
      </c>
      <c r="E23" s="6">
        <v>1134</v>
      </c>
      <c r="G23" s="3" t="s">
        <v>45</v>
      </c>
      <c r="H23" s="6"/>
      <c r="I23" s="6">
        <v>320</v>
      </c>
      <c r="J23" s="6"/>
      <c r="K23" s="6"/>
      <c r="L23" s="6">
        <v>320</v>
      </c>
    </row>
    <row r="24" spans="2:12" x14ac:dyDescent="0.35">
      <c r="G24" s="4" t="s">
        <v>92</v>
      </c>
      <c r="H24" s="6"/>
      <c r="I24" s="6">
        <v>320</v>
      </c>
      <c r="J24" s="6"/>
      <c r="K24" s="6"/>
      <c r="L24" s="6">
        <v>320</v>
      </c>
    </row>
    <row r="25" spans="2:12" x14ac:dyDescent="0.35">
      <c r="G25" s="3" t="s">
        <v>119</v>
      </c>
      <c r="H25" s="6">
        <v>5192</v>
      </c>
      <c r="I25" s="6">
        <v>320</v>
      </c>
      <c r="J25" s="6">
        <v>2088</v>
      </c>
      <c r="K25" s="6">
        <v>1472</v>
      </c>
      <c r="L25" s="6">
        <v>9072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02"/>
  <sheetViews>
    <sheetView topLeftCell="K9" zoomScale="108" zoomScaleNormal="108" workbookViewId="0">
      <selection activeCell="A9" sqref="A9"/>
    </sheetView>
  </sheetViews>
  <sheetFormatPr defaultRowHeight="14.5" x14ac:dyDescent="0.35"/>
  <cols>
    <col min="1" max="1" width="12.6328125" customWidth="1"/>
    <col min="2" max="2" width="17.453125" bestFit="1" customWidth="1"/>
    <col min="3" max="3" width="17.54296875" bestFit="1" customWidth="1"/>
    <col min="4" max="4" width="9.36328125" bestFit="1" customWidth="1"/>
    <col min="5" max="5" width="10.36328125" bestFit="1" customWidth="1"/>
    <col min="6" max="7" width="11.36328125" bestFit="1" customWidth="1"/>
    <col min="8" max="8" width="11.453125" bestFit="1" customWidth="1"/>
    <col min="9" max="9" width="11.54296875" bestFit="1" customWidth="1"/>
    <col min="10" max="10" width="12.36328125" bestFit="1" customWidth="1"/>
    <col min="11" max="11" width="12.6328125" bestFit="1" customWidth="1"/>
    <col min="12" max="12" width="14.81640625" bestFit="1" customWidth="1"/>
    <col min="13" max="13" width="18.08984375" bestFit="1" customWidth="1"/>
    <col min="14" max="14" width="15.81640625" bestFit="1" customWidth="1"/>
    <col min="15" max="15" width="10" bestFit="1" customWidth="1"/>
    <col min="16" max="16" width="11.453125" bestFit="1" customWidth="1"/>
    <col min="17" max="17" width="12.81640625" bestFit="1" customWidth="1"/>
    <col min="18" max="18" width="14.54296875" bestFit="1" customWidth="1"/>
    <col min="19" max="19" width="19.08984375" bestFit="1" customWidth="1"/>
  </cols>
  <sheetData>
    <row r="1" spans="1:22" x14ac:dyDescent="0.35">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117</v>
      </c>
    </row>
    <row r="2" spans="1:22" x14ac:dyDescent="0.35">
      <c r="A2" s="1">
        <v>44592</v>
      </c>
      <c r="B2" t="s">
        <v>21</v>
      </c>
      <c r="C2" t="s">
        <v>22</v>
      </c>
      <c r="D2" t="s">
        <v>23</v>
      </c>
      <c r="E2">
        <v>210</v>
      </c>
      <c r="F2">
        <v>8</v>
      </c>
      <c r="G2">
        <f>E2*F2</f>
        <v>1680</v>
      </c>
      <c r="H2">
        <v>5</v>
      </c>
      <c r="I2">
        <f>E2*H2</f>
        <v>1050</v>
      </c>
      <c r="J2">
        <f>G2-I2</f>
        <v>630</v>
      </c>
      <c r="K2" t="s">
        <v>24</v>
      </c>
      <c r="L2" t="s">
        <v>25</v>
      </c>
      <c r="M2" t="s">
        <v>26</v>
      </c>
      <c r="N2" t="s">
        <v>27</v>
      </c>
      <c r="O2">
        <v>872</v>
      </c>
      <c r="P2">
        <v>210</v>
      </c>
      <c r="Q2" t="s">
        <v>28</v>
      </c>
      <c r="R2" t="s">
        <v>29</v>
      </c>
      <c r="S2" t="s">
        <v>30</v>
      </c>
      <c r="T2">
        <v>2022</v>
      </c>
      <c r="U2" t="s">
        <v>31</v>
      </c>
    </row>
    <row r="3" spans="1:22" x14ac:dyDescent="0.35">
      <c r="A3" s="1">
        <v>44593</v>
      </c>
      <c r="B3" t="s">
        <v>32</v>
      </c>
      <c r="C3" t="s">
        <v>33</v>
      </c>
      <c r="D3" t="s">
        <v>34</v>
      </c>
      <c r="E3">
        <v>196</v>
      </c>
      <c r="F3">
        <v>20</v>
      </c>
      <c r="G3">
        <f t="shared" ref="G3:G66" si="0">E3*F3</f>
        <v>3920</v>
      </c>
      <c r="H3">
        <v>12</v>
      </c>
      <c r="I3">
        <f t="shared" ref="I3:I66" si="1">E3*H3</f>
        <v>2352</v>
      </c>
      <c r="J3">
        <f t="shared" ref="J3:J66" si="2">G3-I3</f>
        <v>1568</v>
      </c>
      <c r="K3" t="s">
        <v>35</v>
      </c>
      <c r="L3" t="s">
        <v>36</v>
      </c>
      <c r="M3" t="s">
        <v>37</v>
      </c>
      <c r="N3" t="s">
        <v>38</v>
      </c>
      <c r="O3">
        <v>785</v>
      </c>
      <c r="P3">
        <v>196</v>
      </c>
      <c r="Q3" t="s">
        <v>39</v>
      </c>
      <c r="R3" t="s">
        <v>40</v>
      </c>
      <c r="S3" t="s">
        <v>41</v>
      </c>
      <c r="T3">
        <v>2020</v>
      </c>
      <c r="U3" t="s">
        <v>31</v>
      </c>
    </row>
    <row r="4" spans="1:22" x14ac:dyDescent="0.35">
      <c r="A4" s="1">
        <v>44594</v>
      </c>
      <c r="B4" t="s">
        <v>21</v>
      </c>
      <c r="C4" t="s">
        <v>22</v>
      </c>
      <c r="D4" t="s">
        <v>23</v>
      </c>
      <c r="E4">
        <v>201</v>
      </c>
      <c r="F4">
        <v>8</v>
      </c>
      <c r="G4">
        <f t="shared" si="0"/>
        <v>1608</v>
      </c>
      <c r="H4">
        <v>5</v>
      </c>
      <c r="I4">
        <f t="shared" si="1"/>
        <v>1005</v>
      </c>
      <c r="J4">
        <f t="shared" si="2"/>
        <v>603</v>
      </c>
      <c r="K4" t="s">
        <v>42</v>
      </c>
      <c r="L4" t="s">
        <v>25</v>
      </c>
      <c r="M4" t="s">
        <v>37</v>
      </c>
      <c r="N4" t="s">
        <v>43</v>
      </c>
      <c r="O4">
        <v>762</v>
      </c>
      <c r="P4">
        <v>201</v>
      </c>
      <c r="Q4" t="s">
        <v>44</v>
      </c>
      <c r="R4" t="s">
        <v>45</v>
      </c>
      <c r="S4" t="s">
        <v>46</v>
      </c>
      <c r="T4">
        <v>2020</v>
      </c>
      <c r="U4" t="s">
        <v>47</v>
      </c>
    </row>
    <row r="5" spans="1:22" x14ac:dyDescent="0.35">
      <c r="A5" s="1">
        <v>44595</v>
      </c>
      <c r="B5" t="s">
        <v>48</v>
      </c>
      <c r="C5" t="s">
        <v>49</v>
      </c>
      <c r="D5" t="s">
        <v>50</v>
      </c>
      <c r="E5">
        <v>55</v>
      </c>
      <c r="F5">
        <v>150</v>
      </c>
      <c r="G5">
        <f t="shared" si="0"/>
        <v>8250</v>
      </c>
      <c r="H5">
        <v>100</v>
      </c>
      <c r="I5">
        <f t="shared" si="1"/>
        <v>5500</v>
      </c>
      <c r="J5">
        <f t="shared" si="2"/>
        <v>2750</v>
      </c>
      <c r="K5" t="s">
        <v>42</v>
      </c>
      <c r="L5" t="s">
        <v>25</v>
      </c>
      <c r="M5" t="s">
        <v>37</v>
      </c>
      <c r="N5" t="s">
        <v>27</v>
      </c>
      <c r="O5">
        <v>865</v>
      </c>
      <c r="P5">
        <v>55</v>
      </c>
      <c r="Q5" t="s">
        <v>51</v>
      </c>
      <c r="R5" t="s">
        <v>45</v>
      </c>
      <c r="S5" t="s">
        <v>52</v>
      </c>
      <c r="T5">
        <v>2023</v>
      </c>
      <c r="U5" t="s">
        <v>53</v>
      </c>
    </row>
    <row r="6" spans="1:22" x14ac:dyDescent="0.35">
      <c r="A6" s="1">
        <v>44596</v>
      </c>
      <c r="B6" t="s">
        <v>48</v>
      </c>
      <c r="C6" t="s">
        <v>49</v>
      </c>
      <c r="D6" t="s">
        <v>50</v>
      </c>
      <c r="E6">
        <v>358</v>
      </c>
      <c r="F6">
        <v>150</v>
      </c>
      <c r="G6">
        <f t="shared" si="0"/>
        <v>53700</v>
      </c>
      <c r="H6">
        <v>100</v>
      </c>
      <c r="I6">
        <f t="shared" si="1"/>
        <v>35800</v>
      </c>
      <c r="J6">
        <f t="shared" si="2"/>
        <v>17900</v>
      </c>
      <c r="K6" t="s">
        <v>24</v>
      </c>
      <c r="L6" t="s">
        <v>25</v>
      </c>
      <c r="M6" t="s">
        <v>37</v>
      </c>
      <c r="N6" t="s">
        <v>43</v>
      </c>
      <c r="O6">
        <v>962</v>
      </c>
      <c r="P6">
        <v>358</v>
      </c>
      <c r="Q6" t="s">
        <v>54</v>
      </c>
      <c r="R6" t="s">
        <v>55</v>
      </c>
      <c r="S6" t="s">
        <v>56</v>
      </c>
      <c r="T6">
        <v>2023</v>
      </c>
      <c r="U6" t="s">
        <v>57</v>
      </c>
    </row>
    <row r="7" spans="1:22" x14ac:dyDescent="0.35">
      <c r="A7" s="1">
        <v>44597</v>
      </c>
      <c r="B7" t="s">
        <v>58</v>
      </c>
      <c r="C7" t="s">
        <v>59</v>
      </c>
      <c r="D7" t="s">
        <v>60</v>
      </c>
      <c r="E7">
        <v>202</v>
      </c>
      <c r="F7">
        <v>5</v>
      </c>
      <c r="G7">
        <f t="shared" si="0"/>
        <v>1010</v>
      </c>
      <c r="H7">
        <v>3</v>
      </c>
      <c r="I7">
        <f t="shared" si="1"/>
        <v>606</v>
      </c>
      <c r="J7">
        <f t="shared" si="2"/>
        <v>404</v>
      </c>
      <c r="K7" t="s">
        <v>35</v>
      </c>
      <c r="L7" t="s">
        <v>25</v>
      </c>
      <c r="M7" t="s">
        <v>61</v>
      </c>
      <c r="N7" t="s">
        <v>43</v>
      </c>
      <c r="O7">
        <v>837</v>
      </c>
      <c r="P7">
        <v>202</v>
      </c>
      <c r="Q7" t="s">
        <v>39</v>
      </c>
      <c r="R7" t="s">
        <v>40</v>
      </c>
      <c r="S7" t="s">
        <v>41</v>
      </c>
      <c r="T7">
        <v>2021</v>
      </c>
      <c r="U7" t="s">
        <v>62</v>
      </c>
    </row>
    <row r="8" spans="1:22" x14ac:dyDescent="0.35">
      <c r="A8" s="1">
        <v>44598</v>
      </c>
      <c r="B8" t="s">
        <v>21</v>
      </c>
      <c r="C8" t="s">
        <v>22</v>
      </c>
      <c r="D8" t="s">
        <v>23</v>
      </c>
      <c r="E8">
        <v>159</v>
      </c>
      <c r="F8">
        <v>8</v>
      </c>
      <c r="G8">
        <f t="shared" si="0"/>
        <v>1272</v>
      </c>
      <c r="H8">
        <v>5</v>
      </c>
      <c r="I8">
        <f t="shared" si="1"/>
        <v>795</v>
      </c>
      <c r="J8">
        <f t="shared" si="2"/>
        <v>477</v>
      </c>
      <c r="K8" t="s">
        <v>24</v>
      </c>
      <c r="L8" t="s">
        <v>63</v>
      </c>
      <c r="M8" t="s">
        <v>37</v>
      </c>
      <c r="N8" t="s">
        <v>27</v>
      </c>
      <c r="O8">
        <v>869</v>
      </c>
      <c r="P8">
        <v>159</v>
      </c>
      <c r="Q8" t="s">
        <v>64</v>
      </c>
      <c r="R8" t="s">
        <v>29</v>
      </c>
      <c r="S8" t="s">
        <v>65</v>
      </c>
      <c r="T8">
        <v>2023</v>
      </c>
      <c r="U8" t="s">
        <v>66</v>
      </c>
    </row>
    <row r="9" spans="1:22" x14ac:dyDescent="0.35">
      <c r="A9" s="1">
        <v>44599</v>
      </c>
      <c r="B9" t="s">
        <v>21</v>
      </c>
      <c r="C9" t="s">
        <v>22</v>
      </c>
      <c r="D9" t="s">
        <v>23</v>
      </c>
      <c r="E9">
        <v>175</v>
      </c>
      <c r="F9">
        <v>8</v>
      </c>
      <c r="G9">
        <f t="shared" si="0"/>
        <v>1400</v>
      </c>
      <c r="H9">
        <v>5</v>
      </c>
      <c r="I9">
        <f t="shared" si="1"/>
        <v>875</v>
      </c>
      <c r="J9">
        <f t="shared" si="2"/>
        <v>525</v>
      </c>
      <c r="K9" t="s">
        <v>24</v>
      </c>
      <c r="L9" t="s">
        <v>63</v>
      </c>
      <c r="M9" t="s">
        <v>26</v>
      </c>
      <c r="N9" t="s">
        <v>43</v>
      </c>
      <c r="O9">
        <v>952</v>
      </c>
      <c r="P9">
        <v>175</v>
      </c>
      <c r="Q9" t="s">
        <v>67</v>
      </c>
      <c r="R9" t="s">
        <v>68</v>
      </c>
      <c r="S9" t="s">
        <v>69</v>
      </c>
      <c r="T9">
        <v>2020</v>
      </c>
      <c r="U9" t="s">
        <v>31</v>
      </c>
    </row>
    <row r="10" spans="1:22" x14ac:dyDescent="0.35">
      <c r="A10" s="1">
        <v>44600</v>
      </c>
      <c r="B10" t="s">
        <v>32</v>
      </c>
      <c r="C10" t="s">
        <v>33</v>
      </c>
      <c r="D10" t="s">
        <v>34</v>
      </c>
      <c r="E10">
        <v>183</v>
      </c>
      <c r="F10">
        <v>20</v>
      </c>
      <c r="G10">
        <f t="shared" si="0"/>
        <v>3660</v>
      </c>
      <c r="H10">
        <v>12</v>
      </c>
      <c r="I10">
        <f t="shared" si="1"/>
        <v>2196</v>
      </c>
      <c r="J10">
        <f t="shared" si="2"/>
        <v>1464</v>
      </c>
      <c r="K10" t="s">
        <v>24</v>
      </c>
      <c r="L10" t="s">
        <v>63</v>
      </c>
      <c r="M10" t="s">
        <v>26</v>
      </c>
      <c r="N10" t="s">
        <v>38</v>
      </c>
      <c r="O10">
        <v>737</v>
      </c>
      <c r="P10">
        <v>183</v>
      </c>
      <c r="Q10" t="s">
        <v>70</v>
      </c>
      <c r="R10" t="s">
        <v>71</v>
      </c>
      <c r="S10" t="s">
        <v>72</v>
      </c>
      <c r="T10">
        <v>2024</v>
      </c>
      <c r="U10" t="s">
        <v>57</v>
      </c>
    </row>
    <row r="11" spans="1:22" x14ac:dyDescent="0.35">
      <c r="A11" s="1">
        <v>44601</v>
      </c>
      <c r="B11" t="s">
        <v>58</v>
      </c>
      <c r="C11" t="s">
        <v>59</v>
      </c>
      <c r="D11" t="s">
        <v>60</v>
      </c>
      <c r="E11">
        <v>159</v>
      </c>
      <c r="F11">
        <v>5</v>
      </c>
      <c r="G11">
        <f t="shared" si="0"/>
        <v>795</v>
      </c>
      <c r="H11">
        <v>3</v>
      </c>
      <c r="I11">
        <f t="shared" si="1"/>
        <v>477</v>
      </c>
      <c r="J11">
        <f t="shared" si="2"/>
        <v>318</v>
      </c>
      <c r="K11" t="s">
        <v>42</v>
      </c>
      <c r="L11" t="s">
        <v>73</v>
      </c>
      <c r="M11" t="s">
        <v>61</v>
      </c>
      <c r="N11" t="s">
        <v>38</v>
      </c>
      <c r="O11">
        <v>753</v>
      </c>
      <c r="P11">
        <v>159</v>
      </c>
      <c r="Q11" t="s">
        <v>74</v>
      </c>
      <c r="R11" t="s">
        <v>75</v>
      </c>
      <c r="S11" t="s">
        <v>76</v>
      </c>
      <c r="T11">
        <v>2020</v>
      </c>
      <c r="U11" t="s">
        <v>31</v>
      </c>
    </row>
    <row r="12" spans="1:22" x14ac:dyDescent="0.35">
      <c r="A12" s="1">
        <v>44602</v>
      </c>
      <c r="B12" t="s">
        <v>32</v>
      </c>
      <c r="C12" t="s">
        <v>33</v>
      </c>
      <c r="D12" t="s">
        <v>34</v>
      </c>
      <c r="E12">
        <v>375</v>
      </c>
      <c r="F12">
        <v>20</v>
      </c>
      <c r="G12">
        <f t="shared" si="0"/>
        <v>7500</v>
      </c>
      <c r="H12">
        <v>12</v>
      </c>
      <c r="I12">
        <f t="shared" si="1"/>
        <v>4500</v>
      </c>
      <c r="J12">
        <f t="shared" si="2"/>
        <v>3000</v>
      </c>
      <c r="K12" t="s">
        <v>35</v>
      </c>
      <c r="L12" t="s">
        <v>25</v>
      </c>
      <c r="M12" t="s">
        <v>26</v>
      </c>
      <c r="N12" t="s">
        <v>27</v>
      </c>
      <c r="O12">
        <v>558</v>
      </c>
      <c r="P12">
        <v>375</v>
      </c>
      <c r="Q12" t="s">
        <v>77</v>
      </c>
      <c r="R12" t="s">
        <v>78</v>
      </c>
      <c r="S12" t="s">
        <v>79</v>
      </c>
      <c r="T12">
        <v>2020</v>
      </c>
      <c r="U12" t="s">
        <v>47</v>
      </c>
      <c r="V12" t="s">
        <v>116</v>
      </c>
    </row>
    <row r="13" spans="1:22" x14ac:dyDescent="0.35">
      <c r="A13" s="1">
        <v>44603</v>
      </c>
      <c r="B13" t="s">
        <v>80</v>
      </c>
      <c r="C13" t="s">
        <v>81</v>
      </c>
      <c r="D13" t="s">
        <v>82</v>
      </c>
      <c r="E13">
        <v>493</v>
      </c>
      <c r="F13">
        <v>2.5</v>
      </c>
      <c r="G13">
        <f t="shared" si="0"/>
        <v>1232.5</v>
      </c>
      <c r="H13">
        <v>1.5</v>
      </c>
      <c r="I13">
        <f t="shared" si="1"/>
        <v>739.5</v>
      </c>
      <c r="J13">
        <f t="shared" si="2"/>
        <v>493</v>
      </c>
      <c r="K13" t="s">
        <v>24</v>
      </c>
      <c r="L13" t="s">
        <v>25</v>
      </c>
      <c r="M13" t="s">
        <v>37</v>
      </c>
      <c r="N13" t="s">
        <v>27</v>
      </c>
      <c r="O13">
        <v>936</v>
      </c>
      <c r="P13">
        <v>493</v>
      </c>
      <c r="Q13" t="s">
        <v>70</v>
      </c>
      <c r="R13" t="s">
        <v>71</v>
      </c>
      <c r="S13" t="s">
        <v>72</v>
      </c>
      <c r="T13">
        <v>2023</v>
      </c>
      <c r="U13" t="s">
        <v>53</v>
      </c>
    </row>
    <row r="14" spans="1:22" x14ac:dyDescent="0.35">
      <c r="A14" s="1">
        <v>44604</v>
      </c>
      <c r="B14" t="s">
        <v>80</v>
      </c>
      <c r="C14" t="s">
        <v>81</v>
      </c>
      <c r="D14" t="s">
        <v>82</v>
      </c>
      <c r="E14">
        <v>389</v>
      </c>
      <c r="F14">
        <v>2.5</v>
      </c>
      <c r="G14">
        <f t="shared" si="0"/>
        <v>972.5</v>
      </c>
      <c r="H14">
        <v>1.5</v>
      </c>
      <c r="I14">
        <f t="shared" si="1"/>
        <v>583.5</v>
      </c>
      <c r="J14">
        <f t="shared" si="2"/>
        <v>389</v>
      </c>
      <c r="K14" t="s">
        <v>35</v>
      </c>
      <c r="L14" t="s">
        <v>73</v>
      </c>
      <c r="M14" t="s">
        <v>37</v>
      </c>
      <c r="N14" t="s">
        <v>43</v>
      </c>
      <c r="O14">
        <v>737</v>
      </c>
      <c r="P14">
        <v>389</v>
      </c>
      <c r="Q14" t="s">
        <v>83</v>
      </c>
      <c r="R14" t="s">
        <v>84</v>
      </c>
      <c r="S14" t="s">
        <v>85</v>
      </c>
      <c r="T14">
        <v>2021</v>
      </c>
      <c r="U14" t="s">
        <v>86</v>
      </c>
    </row>
    <row r="15" spans="1:22" x14ac:dyDescent="0.35">
      <c r="A15" s="1">
        <v>44605</v>
      </c>
      <c r="B15" t="s">
        <v>32</v>
      </c>
      <c r="C15" t="s">
        <v>33</v>
      </c>
      <c r="D15" t="s">
        <v>34</v>
      </c>
      <c r="E15">
        <v>168</v>
      </c>
      <c r="F15">
        <v>20</v>
      </c>
      <c r="G15">
        <f t="shared" si="0"/>
        <v>3360</v>
      </c>
      <c r="H15">
        <v>12</v>
      </c>
      <c r="I15">
        <f t="shared" si="1"/>
        <v>2016</v>
      </c>
      <c r="J15">
        <f t="shared" si="2"/>
        <v>1344</v>
      </c>
      <c r="K15" t="s">
        <v>42</v>
      </c>
      <c r="L15" t="s">
        <v>36</v>
      </c>
      <c r="M15" t="s">
        <v>37</v>
      </c>
      <c r="N15" t="s">
        <v>27</v>
      </c>
      <c r="O15">
        <v>999</v>
      </c>
      <c r="P15">
        <v>168</v>
      </c>
      <c r="Q15" t="s">
        <v>87</v>
      </c>
      <c r="R15" t="s">
        <v>88</v>
      </c>
      <c r="S15" t="s">
        <v>89</v>
      </c>
      <c r="T15">
        <v>2022</v>
      </c>
      <c r="U15" t="s">
        <v>53</v>
      </c>
    </row>
    <row r="16" spans="1:22" x14ac:dyDescent="0.35">
      <c r="A16" s="1">
        <v>44606</v>
      </c>
      <c r="B16" t="s">
        <v>80</v>
      </c>
      <c r="C16" t="s">
        <v>81</v>
      </c>
      <c r="D16" t="s">
        <v>82</v>
      </c>
      <c r="E16">
        <v>382</v>
      </c>
      <c r="F16">
        <v>2.5</v>
      </c>
      <c r="G16">
        <f t="shared" si="0"/>
        <v>955</v>
      </c>
      <c r="H16">
        <v>1.5</v>
      </c>
      <c r="I16">
        <f t="shared" si="1"/>
        <v>573</v>
      </c>
      <c r="J16">
        <f t="shared" si="2"/>
        <v>382</v>
      </c>
      <c r="K16" t="s">
        <v>24</v>
      </c>
      <c r="L16" t="s">
        <v>25</v>
      </c>
      <c r="M16" t="s">
        <v>37</v>
      </c>
      <c r="N16" t="s">
        <v>27</v>
      </c>
      <c r="O16">
        <v>974</v>
      </c>
      <c r="P16">
        <v>382</v>
      </c>
      <c r="Q16" t="s">
        <v>39</v>
      </c>
      <c r="R16" t="s">
        <v>40</v>
      </c>
      <c r="S16" t="s">
        <v>41</v>
      </c>
      <c r="T16">
        <v>2021</v>
      </c>
      <c r="U16" t="s">
        <v>57</v>
      </c>
    </row>
    <row r="17" spans="1:21" x14ac:dyDescent="0.35">
      <c r="A17" s="1">
        <v>44607</v>
      </c>
      <c r="B17" t="s">
        <v>48</v>
      </c>
      <c r="C17" t="s">
        <v>49</v>
      </c>
      <c r="D17" t="s">
        <v>50</v>
      </c>
      <c r="E17">
        <v>301</v>
      </c>
      <c r="F17">
        <v>150</v>
      </c>
      <c r="G17">
        <f t="shared" si="0"/>
        <v>45150</v>
      </c>
      <c r="H17">
        <v>100</v>
      </c>
      <c r="I17">
        <f t="shared" si="1"/>
        <v>30100</v>
      </c>
      <c r="J17">
        <f t="shared" si="2"/>
        <v>15050</v>
      </c>
      <c r="K17" t="s">
        <v>24</v>
      </c>
      <c r="L17" t="s">
        <v>73</v>
      </c>
      <c r="M17" t="s">
        <v>26</v>
      </c>
      <c r="N17" t="s">
        <v>27</v>
      </c>
      <c r="O17">
        <v>890</v>
      </c>
      <c r="P17">
        <v>301</v>
      </c>
      <c r="Q17" t="s">
        <v>90</v>
      </c>
      <c r="R17" t="s">
        <v>55</v>
      </c>
      <c r="S17" t="s">
        <v>85</v>
      </c>
      <c r="T17">
        <v>2023</v>
      </c>
      <c r="U17" t="s">
        <v>91</v>
      </c>
    </row>
    <row r="18" spans="1:21" x14ac:dyDescent="0.35">
      <c r="A18" s="1">
        <v>44608</v>
      </c>
      <c r="B18" t="s">
        <v>32</v>
      </c>
      <c r="C18" t="s">
        <v>33</v>
      </c>
      <c r="D18" t="s">
        <v>34</v>
      </c>
      <c r="E18">
        <v>369</v>
      </c>
      <c r="F18">
        <v>20</v>
      </c>
      <c r="G18">
        <f t="shared" si="0"/>
        <v>7380</v>
      </c>
      <c r="H18">
        <v>12</v>
      </c>
      <c r="I18">
        <f t="shared" si="1"/>
        <v>4428</v>
      </c>
      <c r="J18">
        <f t="shared" si="2"/>
        <v>2952</v>
      </c>
      <c r="K18" t="s">
        <v>42</v>
      </c>
      <c r="L18" t="s">
        <v>63</v>
      </c>
      <c r="M18" t="s">
        <v>37</v>
      </c>
      <c r="N18" t="s">
        <v>27</v>
      </c>
      <c r="O18">
        <v>945</v>
      </c>
      <c r="P18">
        <v>369</v>
      </c>
      <c r="Q18" t="s">
        <v>92</v>
      </c>
      <c r="R18" t="s">
        <v>45</v>
      </c>
      <c r="S18" t="s">
        <v>93</v>
      </c>
      <c r="T18">
        <v>2023</v>
      </c>
      <c r="U18" t="s">
        <v>57</v>
      </c>
    </row>
    <row r="19" spans="1:21" x14ac:dyDescent="0.35">
      <c r="A19" s="1">
        <v>44609</v>
      </c>
      <c r="B19" t="s">
        <v>58</v>
      </c>
      <c r="C19" t="s">
        <v>59</v>
      </c>
      <c r="D19" t="s">
        <v>60</v>
      </c>
      <c r="E19">
        <v>236</v>
      </c>
      <c r="F19">
        <v>5</v>
      </c>
      <c r="G19">
        <f t="shared" si="0"/>
        <v>1180</v>
      </c>
      <c r="H19">
        <v>3</v>
      </c>
      <c r="I19">
        <f t="shared" si="1"/>
        <v>708</v>
      </c>
      <c r="J19">
        <f t="shared" si="2"/>
        <v>472</v>
      </c>
      <c r="K19" t="s">
        <v>42</v>
      </c>
      <c r="L19" t="s">
        <v>25</v>
      </c>
      <c r="M19" t="s">
        <v>37</v>
      </c>
      <c r="N19" t="s">
        <v>38</v>
      </c>
      <c r="O19">
        <v>597</v>
      </c>
      <c r="P19">
        <v>236</v>
      </c>
      <c r="Q19" t="s">
        <v>70</v>
      </c>
      <c r="R19" t="s">
        <v>71</v>
      </c>
      <c r="S19" t="s">
        <v>72</v>
      </c>
      <c r="T19">
        <v>2021</v>
      </c>
      <c r="U19" t="s">
        <v>31</v>
      </c>
    </row>
    <row r="20" spans="1:21" x14ac:dyDescent="0.35">
      <c r="A20" s="1">
        <v>44610</v>
      </c>
      <c r="B20" t="s">
        <v>48</v>
      </c>
      <c r="C20" t="s">
        <v>49</v>
      </c>
      <c r="D20" t="s">
        <v>50</v>
      </c>
      <c r="E20">
        <v>399</v>
      </c>
      <c r="F20">
        <v>150</v>
      </c>
      <c r="G20">
        <f t="shared" si="0"/>
        <v>59850</v>
      </c>
      <c r="H20">
        <v>100</v>
      </c>
      <c r="I20">
        <f t="shared" si="1"/>
        <v>39900</v>
      </c>
      <c r="J20">
        <f t="shared" si="2"/>
        <v>19950</v>
      </c>
      <c r="K20" t="s">
        <v>24</v>
      </c>
      <c r="L20" t="s">
        <v>25</v>
      </c>
      <c r="M20" t="s">
        <v>61</v>
      </c>
      <c r="N20" t="s">
        <v>43</v>
      </c>
      <c r="O20">
        <v>509</v>
      </c>
      <c r="P20">
        <v>399</v>
      </c>
      <c r="Q20" t="s">
        <v>94</v>
      </c>
      <c r="R20" t="s">
        <v>75</v>
      </c>
      <c r="S20" t="s">
        <v>95</v>
      </c>
      <c r="T20">
        <v>2022</v>
      </c>
      <c r="U20" t="s">
        <v>91</v>
      </c>
    </row>
    <row r="21" spans="1:21" x14ac:dyDescent="0.35">
      <c r="A21" s="1">
        <v>44611</v>
      </c>
      <c r="B21" t="s">
        <v>58</v>
      </c>
      <c r="C21" t="s">
        <v>59</v>
      </c>
      <c r="D21" t="s">
        <v>60</v>
      </c>
      <c r="E21">
        <v>360</v>
      </c>
      <c r="F21">
        <v>5</v>
      </c>
      <c r="G21">
        <f t="shared" si="0"/>
        <v>1800</v>
      </c>
      <c r="H21">
        <v>3</v>
      </c>
      <c r="I21">
        <f t="shared" si="1"/>
        <v>1080</v>
      </c>
      <c r="J21">
        <f t="shared" si="2"/>
        <v>720</v>
      </c>
      <c r="K21" t="s">
        <v>42</v>
      </c>
      <c r="L21" t="s">
        <v>36</v>
      </c>
      <c r="M21" t="s">
        <v>26</v>
      </c>
      <c r="N21" t="s">
        <v>27</v>
      </c>
      <c r="O21">
        <v>638</v>
      </c>
      <c r="P21">
        <v>360</v>
      </c>
      <c r="Q21" t="s">
        <v>83</v>
      </c>
      <c r="R21" t="s">
        <v>84</v>
      </c>
      <c r="S21" t="s">
        <v>85</v>
      </c>
      <c r="T21">
        <v>2024</v>
      </c>
      <c r="U21" t="s">
        <v>96</v>
      </c>
    </row>
    <row r="22" spans="1:21" x14ac:dyDescent="0.35">
      <c r="A22" s="1">
        <v>44612</v>
      </c>
      <c r="B22" t="s">
        <v>80</v>
      </c>
      <c r="C22" t="s">
        <v>81</v>
      </c>
      <c r="D22" t="s">
        <v>82</v>
      </c>
      <c r="E22">
        <v>86</v>
      </c>
      <c r="F22">
        <v>2.5</v>
      </c>
      <c r="G22">
        <f t="shared" si="0"/>
        <v>215</v>
      </c>
      <c r="H22">
        <v>1.5</v>
      </c>
      <c r="I22">
        <f t="shared" si="1"/>
        <v>129</v>
      </c>
      <c r="J22">
        <f t="shared" si="2"/>
        <v>86</v>
      </c>
      <c r="K22" t="s">
        <v>24</v>
      </c>
      <c r="L22" t="s">
        <v>63</v>
      </c>
      <c r="M22" t="s">
        <v>37</v>
      </c>
      <c r="N22" t="s">
        <v>38</v>
      </c>
      <c r="O22">
        <v>576</v>
      </c>
      <c r="P22">
        <v>86</v>
      </c>
      <c r="Q22" t="s">
        <v>70</v>
      </c>
      <c r="R22" t="s">
        <v>71</v>
      </c>
      <c r="S22" t="s">
        <v>72</v>
      </c>
      <c r="T22">
        <v>2023</v>
      </c>
      <c r="U22" t="s">
        <v>62</v>
      </c>
    </row>
    <row r="23" spans="1:21" x14ac:dyDescent="0.35">
      <c r="A23" s="1">
        <v>44613</v>
      </c>
      <c r="B23" t="s">
        <v>32</v>
      </c>
      <c r="C23" t="s">
        <v>33</v>
      </c>
      <c r="D23" t="s">
        <v>34</v>
      </c>
      <c r="E23">
        <v>102</v>
      </c>
      <c r="F23">
        <v>20</v>
      </c>
      <c r="G23">
        <f t="shared" si="0"/>
        <v>2040</v>
      </c>
      <c r="H23">
        <v>12</v>
      </c>
      <c r="I23">
        <f t="shared" si="1"/>
        <v>1224</v>
      </c>
      <c r="J23">
        <f t="shared" si="2"/>
        <v>816</v>
      </c>
      <c r="K23" t="s">
        <v>24</v>
      </c>
      <c r="L23" t="s">
        <v>63</v>
      </c>
      <c r="M23" t="s">
        <v>26</v>
      </c>
      <c r="N23" t="s">
        <v>43</v>
      </c>
      <c r="O23">
        <v>505</v>
      </c>
      <c r="P23">
        <v>102</v>
      </c>
      <c r="Q23" t="s">
        <v>90</v>
      </c>
      <c r="R23" t="s">
        <v>55</v>
      </c>
      <c r="S23" t="s">
        <v>85</v>
      </c>
      <c r="T23">
        <v>2021</v>
      </c>
      <c r="U23" t="s">
        <v>86</v>
      </c>
    </row>
    <row r="24" spans="1:21" x14ac:dyDescent="0.35">
      <c r="A24" s="1">
        <v>44614</v>
      </c>
      <c r="B24" t="s">
        <v>58</v>
      </c>
      <c r="C24" t="s">
        <v>59</v>
      </c>
      <c r="D24" t="s">
        <v>60</v>
      </c>
      <c r="E24">
        <v>229</v>
      </c>
      <c r="F24">
        <v>5</v>
      </c>
      <c r="G24">
        <f t="shared" si="0"/>
        <v>1145</v>
      </c>
      <c r="H24">
        <v>3</v>
      </c>
      <c r="I24">
        <f t="shared" si="1"/>
        <v>687</v>
      </c>
      <c r="J24">
        <f t="shared" si="2"/>
        <v>458</v>
      </c>
      <c r="K24" t="s">
        <v>42</v>
      </c>
      <c r="L24" t="s">
        <v>73</v>
      </c>
      <c r="M24" t="s">
        <v>26</v>
      </c>
      <c r="N24" t="s">
        <v>43</v>
      </c>
      <c r="O24">
        <v>992</v>
      </c>
      <c r="P24">
        <v>229</v>
      </c>
      <c r="Q24" t="s">
        <v>54</v>
      </c>
      <c r="R24" t="s">
        <v>55</v>
      </c>
      <c r="S24" t="s">
        <v>56</v>
      </c>
      <c r="T24">
        <v>2020</v>
      </c>
      <c r="U24" t="s">
        <v>97</v>
      </c>
    </row>
    <row r="25" spans="1:21" x14ac:dyDescent="0.35">
      <c r="A25" s="1">
        <v>44615</v>
      </c>
      <c r="B25" t="s">
        <v>98</v>
      </c>
      <c r="C25" t="s">
        <v>99</v>
      </c>
      <c r="D25" t="s">
        <v>100</v>
      </c>
      <c r="E25">
        <v>69</v>
      </c>
      <c r="F25">
        <v>6</v>
      </c>
      <c r="G25">
        <f t="shared" si="0"/>
        <v>414</v>
      </c>
      <c r="H25">
        <v>4</v>
      </c>
      <c r="I25">
        <f t="shared" si="1"/>
        <v>276</v>
      </c>
      <c r="J25">
        <f t="shared" si="2"/>
        <v>138</v>
      </c>
      <c r="K25" t="s">
        <v>24</v>
      </c>
      <c r="L25" t="s">
        <v>63</v>
      </c>
      <c r="M25" t="s">
        <v>26</v>
      </c>
      <c r="N25" t="s">
        <v>27</v>
      </c>
      <c r="O25">
        <v>986</v>
      </c>
      <c r="P25">
        <v>69</v>
      </c>
      <c r="Q25" t="s">
        <v>54</v>
      </c>
      <c r="R25" t="s">
        <v>55</v>
      </c>
      <c r="S25" t="s">
        <v>56</v>
      </c>
      <c r="T25">
        <v>2022</v>
      </c>
      <c r="U25" t="s">
        <v>96</v>
      </c>
    </row>
    <row r="26" spans="1:21" x14ac:dyDescent="0.35">
      <c r="A26" s="1">
        <v>44616</v>
      </c>
      <c r="B26" t="s">
        <v>80</v>
      </c>
      <c r="C26" t="s">
        <v>81</v>
      </c>
      <c r="D26" t="s">
        <v>82</v>
      </c>
      <c r="E26">
        <v>310</v>
      </c>
      <c r="F26">
        <v>2.5</v>
      </c>
      <c r="G26">
        <f t="shared" si="0"/>
        <v>775</v>
      </c>
      <c r="H26">
        <v>1.5</v>
      </c>
      <c r="I26">
        <f t="shared" si="1"/>
        <v>465</v>
      </c>
      <c r="J26">
        <f t="shared" si="2"/>
        <v>310</v>
      </c>
      <c r="K26" t="s">
        <v>24</v>
      </c>
      <c r="L26" t="s">
        <v>25</v>
      </c>
      <c r="M26" t="s">
        <v>26</v>
      </c>
      <c r="N26" t="s">
        <v>38</v>
      </c>
      <c r="O26">
        <v>710</v>
      </c>
      <c r="P26">
        <v>310</v>
      </c>
      <c r="Q26" t="s">
        <v>101</v>
      </c>
      <c r="R26" t="s">
        <v>101</v>
      </c>
      <c r="S26" t="s">
        <v>102</v>
      </c>
      <c r="T26">
        <v>2021</v>
      </c>
      <c r="U26" t="s">
        <v>31</v>
      </c>
    </row>
    <row r="27" spans="1:21" x14ac:dyDescent="0.35">
      <c r="A27" s="1">
        <v>44617</v>
      </c>
      <c r="B27" t="s">
        <v>98</v>
      </c>
      <c r="C27" t="s">
        <v>99</v>
      </c>
      <c r="D27" t="s">
        <v>100</v>
      </c>
      <c r="E27">
        <v>326</v>
      </c>
      <c r="F27">
        <v>6</v>
      </c>
      <c r="G27">
        <f t="shared" si="0"/>
        <v>1956</v>
      </c>
      <c r="H27">
        <v>4</v>
      </c>
      <c r="I27">
        <f t="shared" si="1"/>
        <v>1304</v>
      </c>
      <c r="J27">
        <f t="shared" si="2"/>
        <v>652</v>
      </c>
      <c r="K27" t="s">
        <v>24</v>
      </c>
      <c r="L27" t="s">
        <v>36</v>
      </c>
      <c r="M27" t="s">
        <v>61</v>
      </c>
      <c r="N27" t="s">
        <v>38</v>
      </c>
      <c r="O27">
        <v>564</v>
      </c>
      <c r="P27">
        <v>326</v>
      </c>
      <c r="Q27" t="s">
        <v>54</v>
      </c>
      <c r="R27" t="s">
        <v>55</v>
      </c>
      <c r="S27" t="s">
        <v>56</v>
      </c>
      <c r="T27">
        <v>2024</v>
      </c>
      <c r="U27" t="s">
        <v>53</v>
      </c>
    </row>
    <row r="28" spans="1:21" x14ac:dyDescent="0.35">
      <c r="A28" s="1">
        <v>44618</v>
      </c>
      <c r="B28" t="s">
        <v>98</v>
      </c>
      <c r="C28" t="s">
        <v>99</v>
      </c>
      <c r="D28" t="s">
        <v>100</v>
      </c>
      <c r="E28">
        <v>431</v>
      </c>
      <c r="F28">
        <v>6</v>
      </c>
      <c r="G28">
        <f t="shared" si="0"/>
        <v>2586</v>
      </c>
      <c r="H28">
        <v>4</v>
      </c>
      <c r="I28">
        <f t="shared" si="1"/>
        <v>1724</v>
      </c>
      <c r="J28">
        <f t="shared" si="2"/>
        <v>862</v>
      </c>
      <c r="K28" t="s">
        <v>42</v>
      </c>
      <c r="L28" t="s">
        <v>63</v>
      </c>
      <c r="M28" t="s">
        <v>26</v>
      </c>
      <c r="N28" t="s">
        <v>38</v>
      </c>
      <c r="O28">
        <v>941</v>
      </c>
      <c r="P28">
        <v>431</v>
      </c>
      <c r="Q28" t="s">
        <v>103</v>
      </c>
      <c r="R28" t="s">
        <v>68</v>
      </c>
      <c r="S28" t="s">
        <v>104</v>
      </c>
      <c r="T28">
        <v>2021</v>
      </c>
      <c r="U28" t="s">
        <v>57</v>
      </c>
    </row>
    <row r="29" spans="1:21" x14ac:dyDescent="0.35">
      <c r="A29" s="1">
        <v>44619</v>
      </c>
      <c r="B29" t="s">
        <v>21</v>
      </c>
      <c r="C29" t="s">
        <v>22</v>
      </c>
      <c r="D29" t="s">
        <v>23</v>
      </c>
      <c r="E29">
        <v>405</v>
      </c>
      <c r="F29">
        <v>8</v>
      </c>
      <c r="G29">
        <f t="shared" si="0"/>
        <v>3240</v>
      </c>
      <c r="H29">
        <v>5</v>
      </c>
      <c r="I29">
        <f t="shared" si="1"/>
        <v>2025</v>
      </c>
      <c r="J29">
        <f t="shared" si="2"/>
        <v>1215</v>
      </c>
      <c r="K29" t="s">
        <v>24</v>
      </c>
      <c r="L29" t="s">
        <v>36</v>
      </c>
      <c r="M29" t="s">
        <v>37</v>
      </c>
      <c r="N29" t="s">
        <v>38</v>
      </c>
      <c r="O29">
        <v>842</v>
      </c>
      <c r="P29">
        <v>405</v>
      </c>
      <c r="Q29" t="s">
        <v>28</v>
      </c>
      <c r="R29" t="s">
        <v>29</v>
      </c>
      <c r="S29" t="s">
        <v>30</v>
      </c>
      <c r="T29">
        <v>2022</v>
      </c>
      <c r="U29" t="s">
        <v>66</v>
      </c>
    </row>
    <row r="30" spans="1:21" x14ac:dyDescent="0.35">
      <c r="A30" s="1">
        <v>44620</v>
      </c>
      <c r="B30" t="s">
        <v>98</v>
      </c>
      <c r="C30" t="s">
        <v>99</v>
      </c>
      <c r="D30" t="s">
        <v>100</v>
      </c>
      <c r="E30">
        <v>408</v>
      </c>
      <c r="F30">
        <v>6</v>
      </c>
      <c r="G30">
        <f t="shared" si="0"/>
        <v>2448</v>
      </c>
      <c r="H30">
        <v>4</v>
      </c>
      <c r="I30">
        <f t="shared" si="1"/>
        <v>1632</v>
      </c>
      <c r="J30">
        <f t="shared" si="2"/>
        <v>816</v>
      </c>
      <c r="K30" t="s">
        <v>24</v>
      </c>
      <c r="L30" t="s">
        <v>73</v>
      </c>
      <c r="M30" t="s">
        <v>37</v>
      </c>
      <c r="N30" t="s">
        <v>43</v>
      </c>
      <c r="O30">
        <v>501</v>
      </c>
      <c r="P30">
        <v>408</v>
      </c>
      <c r="Q30" t="s">
        <v>90</v>
      </c>
      <c r="R30" t="s">
        <v>55</v>
      </c>
      <c r="S30" t="s">
        <v>85</v>
      </c>
      <c r="T30">
        <v>2020</v>
      </c>
      <c r="U30" t="s">
        <v>105</v>
      </c>
    </row>
    <row r="31" spans="1:21" x14ac:dyDescent="0.35">
      <c r="A31" s="1">
        <v>44621</v>
      </c>
      <c r="B31" t="s">
        <v>21</v>
      </c>
      <c r="C31" t="s">
        <v>22</v>
      </c>
      <c r="D31" t="s">
        <v>23</v>
      </c>
      <c r="E31">
        <v>309</v>
      </c>
      <c r="F31">
        <v>8</v>
      </c>
      <c r="G31">
        <f t="shared" si="0"/>
        <v>2472</v>
      </c>
      <c r="H31">
        <v>5</v>
      </c>
      <c r="I31">
        <f t="shared" si="1"/>
        <v>1545</v>
      </c>
      <c r="J31">
        <f t="shared" si="2"/>
        <v>927</v>
      </c>
      <c r="K31" t="s">
        <v>24</v>
      </c>
      <c r="L31" t="s">
        <v>36</v>
      </c>
      <c r="M31" t="s">
        <v>37</v>
      </c>
      <c r="N31" t="s">
        <v>38</v>
      </c>
      <c r="O31">
        <v>963</v>
      </c>
      <c r="P31">
        <v>309</v>
      </c>
      <c r="Q31" t="s">
        <v>92</v>
      </c>
      <c r="R31" t="s">
        <v>45</v>
      </c>
      <c r="S31" t="s">
        <v>93</v>
      </c>
      <c r="T31">
        <v>2022</v>
      </c>
      <c r="U31" t="s">
        <v>66</v>
      </c>
    </row>
    <row r="32" spans="1:21" x14ac:dyDescent="0.35">
      <c r="A32" s="1">
        <v>44622</v>
      </c>
      <c r="B32" t="s">
        <v>21</v>
      </c>
      <c r="C32" t="s">
        <v>22</v>
      </c>
      <c r="D32" t="s">
        <v>23</v>
      </c>
      <c r="E32">
        <v>295</v>
      </c>
      <c r="F32">
        <v>8</v>
      </c>
      <c r="G32">
        <f t="shared" si="0"/>
        <v>2360</v>
      </c>
      <c r="H32">
        <v>5</v>
      </c>
      <c r="I32">
        <f t="shared" si="1"/>
        <v>1475</v>
      </c>
      <c r="J32">
        <f t="shared" si="2"/>
        <v>885</v>
      </c>
      <c r="K32" t="s">
        <v>24</v>
      </c>
      <c r="L32" t="s">
        <v>36</v>
      </c>
      <c r="M32" t="s">
        <v>37</v>
      </c>
      <c r="N32" t="s">
        <v>43</v>
      </c>
      <c r="O32">
        <v>906</v>
      </c>
      <c r="P32">
        <v>295</v>
      </c>
      <c r="Q32" t="s">
        <v>67</v>
      </c>
      <c r="R32" t="s">
        <v>68</v>
      </c>
      <c r="S32" t="s">
        <v>69</v>
      </c>
      <c r="T32">
        <v>2022</v>
      </c>
      <c r="U32" t="s">
        <v>96</v>
      </c>
    </row>
    <row r="33" spans="1:21" x14ac:dyDescent="0.35">
      <c r="A33" s="1">
        <v>44623</v>
      </c>
      <c r="B33" t="s">
        <v>48</v>
      </c>
      <c r="C33" t="s">
        <v>49</v>
      </c>
      <c r="D33" t="s">
        <v>50</v>
      </c>
      <c r="E33">
        <v>191</v>
      </c>
      <c r="F33">
        <v>150</v>
      </c>
      <c r="G33">
        <f t="shared" si="0"/>
        <v>28650</v>
      </c>
      <c r="H33">
        <v>100</v>
      </c>
      <c r="I33">
        <f t="shared" si="1"/>
        <v>19100</v>
      </c>
      <c r="J33">
        <f t="shared" si="2"/>
        <v>9550</v>
      </c>
      <c r="K33" t="s">
        <v>24</v>
      </c>
      <c r="L33" t="s">
        <v>36</v>
      </c>
      <c r="M33" t="s">
        <v>26</v>
      </c>
      <c r="N33" t="s">
        <v>43</v>
      </c>
      <c r="O33">
        <v>902</v>
      </c>
      <c r="P33">
        <v>191</v>
      </c>
      <c r="Q33" t="s">
        <v>106</v>
      </c>
      <c r="R33" t="s">
        <v>107</v>
      </c>
      <c r="S33" t="s">
        <v>108</v>
      </c>
      <c r="T33">
        <v>2024</v>
      </c>
      <c r="U33" t="s">
        <v>31</v>
      </c>
    </row>
    <row r="34" spans="1:21" x14ac:dyDescent="0.35">
      <c r="A34" s="1">
        <v>44624</v>
      </c>
      <c r="B34" t="s">
        <v>48</v>
      </c>
      <c r="C34" t="s">
        <v>49</v>
      </c>
      <c r="D34" t="s">
        <v>50</v>
      </c>
      <c r="E34">
        <v>340</v>
      </c>
      <c r="F34">
        <v>150</v>
      </c>
      <c r="G34">
        <f t="shared" si="0"/>
        <v>51000</v>
      </c>
      <c r="H34">
        <v>100</v>
      </c>
      <c r="I34">
        <f t="shared" si="1"/>
        <v>34000</v>
      </c>
      <c r="J34">
        <f t="shared" si="2"/>
        <v>17000</v>
      </c>
      <c r="K34" t="s">
        <v>42</v>
      </c>
      <c r="L34" t="s">
        <v>63</v>
      </c>
      <c r="M34" t="s">
        <v>61</v>
      </c>
      <c r="N34" t="s">
        <v>27</v>
      </c>
      <c r="O34">
        <v>784</v>
      </c>
      <c r="P34">
        <v>340</v>
      </c>
      <c r="Q34" t="s">
        <v>28</v>
      </c>
      <c r="R34" t="s">
        <v>29</v>
      </c>
      <c r="S34" t="s">
        <v>30</v>
      </c>
      <c r="T34">
        <v>2020</v>
      </c>
      <c r="U34" t="s">
        <v>105</v>
      </c>
    </row>
    <row r="35" spans="1:21" x14ac:dyDescent="0.35">
      <c r="A35" s="1">
        <v>44625</v>
      </c>
      <c r="B35" t="s">
        <v>80</v>
      </c>
      <c r="C35" t="s">
        <v>81</v>
      </c>
      <c r="D35" t="s">
        <v>82</v>
      </c>
      <c r="E35">
        <v>332</v>
      </c>
      <c r="F35">
        <v>2.5</v>
      </c>
      <c r="G35">
        <f t="shared" si="0"/>
        <v>830</v>
      </c>
      <c r="H35">
        <v>1.5</v>
      </c>
      <c r="I35">
        <f t="shared" si="1"/>
        <v>498</v>
      </c>
      <c r="J35">
        <f t="shared" si="2"/>
        <v>332</v>
      </c>
      <c r="K35" t="s">
        <v>24</v>
      </c>
      <c r="L35" t="s">
        <v>63</v>
      </c>
      <c r="M35" t="s">
        <v>61</v>
      </c>
      <c r="N35" t="s">
        <v>27</v>
      </c>
      <c r="O35">
        <v>540</v>
      </c>
      <c r="P35">
        <v>332</v>
      </c>
      <c r="Q35" t="s">
        <v>101</v>
      </c>
      <c r="R35" t="s">
        <v>101</v>
      </c>
      <c r="S35" t="s">
        <v>102</v>
      </c>
      <c r="T35">
        <v>2020</v>
      </c>
      <c r="U35" t="s">
        <v>31</v>
      </c>
    </row>
    <row r="36" spans="1:21" x14ac:dyDescent="0.35">
      <c r="A36" s="1">
        <v>44626</v>
      </c>
      <c r="B36" t="s">
        <v>48</v>
      </c>
      <c r="C36" t="s">
        <v>49</v>
      </c>
      <c r="D36" t="s">
        <v>50</v>
      </c>
      <c r="E36">
        <v>264</v>
      </c>
      <c r="F36">
        <v>150</v>
      </c>
      <c r="G36">
        <f t="shared" si="0"/>
        <v>39600</v>
      </c>
      <c r="H36">
        <v>100</v>
      </c>
      <c r="I36">
        <f t="shared" si="1"/>
        <v>26400</v>
      </c>
      <c r="J36">
        <f t="shared" si="2"/>
        <v>13200</v>
      </c>
      <c r="K36" t="s">
        <v>35</v>
      </c>
      <c r="L36" t="s">
        <v>63</v>
      </c>
      <c r="M36" t="s">
        <v>37</v>
      </c>
      <c r="N36" t="s">
        <v>27</v>
      </c>
      <c r="O36">
        <v>711</v>
      </c>
      <c r="P36">
        <v>264</v>
      </c>
      <c r="Q36" t="s">
        <v>44</v>
      </c>
      <c r="R36" t="s">
        <v>45</v>
      </c>
      <c r="S36" t="s">
        <v>46</v>
      </c>
      <c r="T36">
        <v>2022</v>
      </c>
      <c r="U36" t="s">
        <v>57</v>
      </c>
    </row>
    <row r="37" spans="1:21" x14ac:dyDescent="0.35">
      <c r="A37" s="1">
        <v>44627</v>
      </c>
      <c r="B37" t="s">
        <v>32</v>
      </c>
      <c r="C37" t="s">
        <v>33</v>
      </c>
      <c r="D37" t="s">
        <v>34</v>
      </c>
      <c r="E37">
        <v>338</v>
      </c>
      <c r="F37">
        <v>20</v>
      </c>
      <c r="G37">
        <f t="shared" si="0"/>
        <v>6760</v>
      </c>
      <c r="H37">
        <v>12</v>
      </c>
      <c r="I37">
        <f t="shared" si="1"/>
        <v>4056</v>
      </c>
      <c r="J37">
        <f t="shared" si="2"/>
        <v>2704</v>
      </c>
      <c r="K37" t="s">
        <v>35</v>
      </c>
      <c r="L37" t="s">
        <v>63</v>
      </c>
      <c r="M37" t="s">
        <v>26</v>
      </c>
      <c r="N37" t="s">
        <v>38</v>
      </c>
      <c r="O37">
        <v>686</v>
      </c>
      <c r="P37">
        <v>338</v>
      </c>
      <c r="Q37" t="s">
        <v>67</v>
      </c>
      <c r="R37" t="s">
        <v>68</v>
      </c>
      <c r="S37" t="s">
        <v>69</v>
      </c>
      <c r="T37">
        <v>2022</v>
      </c>
      <c r="U37" t="s">
        <v>105</v>
      </c>
    </row>
    <row r="38" spans="1:21" x14ac:dyDescent="0.35">
      <c r="A38" s="1">
        <v>44628</v>
      </c>
      <c r="B38" t="s">
        <v>80</v>
      </c>
      <c r="C38" t="s">
        <v>81</v>
      </c>
      <c r="D38" t="s">
        <v>82</v>
      </c>
      <c r="E38">
        <v>134</v>
      </c>
      <c r="F38">
        <v>2.5</v>
      </c>
      <c r="G38">
        <f t="shared" si="0"/>
        <v>335</v>
      </c>
      <c r="H38">
        <v>1.5</v>
      </c>
      <c r="I38">
        <f t="shared" si="1"/>
        <v>201</v>
      </c>
      <c r="J38">
        <f t="shared" si="2"/>
        <v>134</v>
      </c>
      <c r="K38" t="s">
        <v>35</v>
      </c>
      <c r="L38" t="s">
        <v>36</v>
      </c>
      <c r="M38" t="s">
        <v>37</v>
      </c>
      <c r="N38" t="s">
        <v>27</v>
      </c>
      <c r="O38">
        <v>838</v>
      </c>
      <c r="P38">
        <v>134</v>
      </c>
      <c r="Q38" t="s">
        <v>106</v>
      </c>
      <c r="R38" t="s">
        <v>107</v>
      </c>
      <c r="S38" t="s">
        <v>108</v>
      </c>
      <c r="T38">
        <v>2021</v>
      </c>
      <c r="U38" t="s">
        <v>96</v>
      </c>
    </row>
    <row r="39" spans="1:21" x14ac:dyDescent="0.35">
      <c r="A39" s="1">
        <v>44629</v>
      </c>
      <c r="B39" t="s">
        <v>80</v>
      </c>
      <c r="C39" t="s">
        <v>81</v>
      </c>
      <c r="D39" t="s">
        <v>82</v>
      </c>
      <c r="E39">
        <v>128</v>
      </c>
      <c r="F39">
        <v>2.5</v>
      </c>
      <c r="G39">
        <f t="shared" si="0"/>
        <v>320</v>
      </c>
      <c r="H39">
        <v>1.5</v>
      </c>
      <c r="I39">
        <f t="shared" si="1"/>
        <v>192</v>
      </c>
      <c r="J39">
        <f t="shared" si="2"/>
        <v>128</v>
      </c>
      <c r="K39" t="s">
        <v>42</v>
      </c>
      <c r="L39" t="s">
        <v>25</v>
      </c>
      <c r="M39" t="s">
        <v>26</v>
      </c>
      <c r="N39" t="s">
        <v>43</v>
      </c>
      <c r="O39">
        <v>688</v>
      </c>
      <c r="P39">
        <v>128</v>
      </c>
      <c r="Q39" t="s">
        <v>54</v>
      </c>
      <c r="R39" t="s">
        <v>55</v>
      </c>
      <c r="S39" t="s">
        <v>56</v>
      </c>
      <c r="T39">
        <v>2023</v>
      </c>
      <c r="U39" t="s">
        <v>97</v>
      </c>
    </row>
    <row r="40" spans="1:21" x14ac:dyDescent="0.35">
      <c r="A40" s="1">
        <v>44630</v>
      </c>
      <c r="B40" t="s">
        <v>32</v>
      </c>
      <c r="C40" t="s">
        <v>33</v>
      </c>
      <c r="D40" t="s">
        <v>34</v>
      </c>
      <c r="E40">
        <v>247</v>
      </c>
      <c r="F40">
        <v>20</v>
      </c>
      <c r="G40">
        <f t="shared" si="0"/>
        <v>4940</v>
      </c>
      <c r="H40">
        <v>12</v>
      </c>
      <c r="I40">
        <f t="shared" si="1"/>
        <v>2964</v>
      </c>
      <c r="J40">
        <f t="shared" si="2"/>
        <v>1976</v>
      </c>
      <c r="K40" t="s">
        <v>42</v>
      </c>
      <c r="L40" t="s">
        <v>25</v>
      </c>
      <c r="M40" t="s">
        <v>37</v>
      </c>
      <c r="N40" t="s">
        <v>27</v>
      </c>
      <c r="O40">
        <v>975</v>
      </c>
      <c r="P40">
        <v>247</v>
      </c>
      <c r="Q40" t="s">
        <v>101</v>
      </c>
      <c r="R40" t="s">
        <v>101</v>
      </c>
      <c r="S40" t="s">
        <v>102</v>
      </c>
      <c r="T40">
        <v>2020</v>
      </c>
      <c r="U40" t="s">
        <v>62</v>
      </c>
    </row>
    <row r="41" spans="1:21" x14ac:dyDescent="0.35">
      <c r="A41" s="1">
        <v>44631</v>
      </c>
      <c r="B41" t="s">
        <v>48</v>
      </c>
      <c r="C41" t="s">
        <v>49</v>
      </c>
      <c r="D41" t="s">
        <v>50</v>
      </c>
      <c r="E41">
        <v>316</v>
      </c>
      <c r="F41">
        <v>150</v>
      </c>
      <c r="G41">
        <f t="shared" si="0"/>
        <v>47400</v>
      </c>
      <c r="H41">
        <v>100</v>
      </c>
      <c r="I41">
        <f t="shared" si="1"/>
        <v>31600</v>
      </c>
      <c r="J41">
        <f t="shared" si="2"/>
        <v>15800</v>
      </c>
      <c r="K41" t="s">
        <v>24</v>
      </c>
      <c r="L41" t="s">
        <v>25</v>
      </c>
      <c r="M41" t="s">
        <v>37</v>
      </c>
      <c r="N41" t="s">
        <v>27</v>
      </c>
      <c r="O41">
        <v>735</v>
      </c>
      <c r="P41">
        <v>316</v>
      </c>
      <c r="Q41" t="s">
        <v>103</v>
      </c>
      <c r="R41" t="s">
        <v>68</v>
      </c>
      <c r="S41" t="s">
        <v>104</v>
      </c>
      <c r="T41">
        <v>2022</v>
      </c>
      <c r="U41" t="s">
        <v>109</v>
      </c>
    </row>
    <row r="42" spans="1:21" x14ac:dyDescent="0.35">
      <c r="A42" s="1">
        <v>44632</v>
      </c>
      <c r="B42" t="s">
        <v>80</v>
      </c>
      <c r="C42" t="s">
        <v>81</v>
      </c>
      <c r="D42" t="s">
        <v>82</v>
      </c>
      <c r="E42">
        <v>443</v>
      </c>
      <c r="F42">
        <v>2.5</v>
      </c>
      <c r="G42">
        <f t="shared" si="0"/>
        <v>1107.5</v>
      </c>
      <c r="H42">
        <v>1.5</v>
      </c>
      <c r="I42">
        <f t="shared" si="1"/>
        <v>664.5</v>
      </c>
      <c r="J42">
        <f t="shared" si="2"/>
        <v>443</v>
      </c>
      <c r="K42" t="s">
        <v>42</v>
      </c>
      <c r="L42" t="s">
        <v>25</v>
      </c>
      <c r="M42" t="s">
        <v>37</v>
      </c>
      <c r="N42" t="s">
        <v>43</v>
      </c>
      <c r="O42">
        <v>868</v>
      </c>
      <c r="P42">
        <v>443</v>
      </c>
      <c r="Q42" t="s">
        <v>51</v>
      </c>
      <c r="R42" t="s">
        <v>45</v>
      </c>
      <c r="S42" t="s">
        <v>52</v>
      </c>
      <c r="T42">
        <v>2024</v>
      </c>
      <c r="U42" t="s">
        <v>53</v>
      </c>
    </row>
    <row r="43" spans="1:21" x14ac:dyDescent="0.35">
      <c r="A43" s="1">
        <v>44633</v>
      </c>
      <c r="B43" t="s">
        <v>48</v>
      </c>
      <c r="C43" t="s">
        <v>49</v>
      </c>
      <c r="D43" t="s">
        <v>50</v>
      </c>
      <c r="E43">
        <v>303</v>
      </c>
      <c r="F43">
        <v>150</v>
      </c>
      <c r="G43">
        <f t="shared" si="0"/>
        <v>45450</v>
      </c>
      <c r="H43">
        <v>100</v>
      </c>
      <c r="I43">
        <f t="shared" si="1"/>
        <v>30300</v>
      </c>
      <c r="J43">
        <f t="shared" si="2"/>
        <v>15150</v>
      </c>
      <c r="K43" t="s">
        <v>24</v>
      </c>
      <c r="L43" t="s">
        <v>63</v>
      </c>
      <c r="M43" t="s">
        <v>37</v>
      </c>
      <c r="N43" t="s">
        <v>38</v>
      </c>
      <c r="O43">
        <v>762</v>
      </c>
      <c r="P43">
        <v>303</v>
      </c>
      <c r="Q43" t="s">
        <v>51</v>
      </c>
      <c r="R43" t="s">
        <v>45</v>
      </c>
      <c r="S43" t="s">
        <v>52</v>
      </c>
      <c r="T43">
        <v>2020</v>
      </c>
      <c r="U43" t="s">
        <v>105</v>
      </c>
    </row>
    <row r="44" spans="1:21" x14ac:dyDescent="0.35">
      <c r="A44" s="1">
        <v>44634</v>
      </c>
      <c r="B44" t="s">
        <v>58</v>
      </c>
      <c r="C44" t="s">
        <v>59</v>
      </c>
      <c r="D44" t="s">
        <v>60</v>
      </c>
      <c r="E44">
        <v>360</v>
      </c>
      <c r="F44">
        <v>5</v>
      </c>
      <c r="G44">
        <f t="shared" si="0"/>
        <v>1800</v>
      </c>
      <c r="H44">
        <v>3</v>
      </c>
      <c r="I44">
        <f t="shared" si="1"/>
        <v>1080</v>
      </c>
      <c r="J44">
        <f t="shared" si="2"/>
        <v>720</v>
      </c>
      <c r="K44" t="s">
        <v>35</v>
      </c>
      <c r="L44" t="s">
        <v>63</v>
      </c>
      <c r="M44" t="s">
        <v>61</v>
      </c>
      <c r="N44" t="s">
        <v>27</v>
      </c>
      <c r="O44">
        <v>853</v>
      </c>
      <c r="P44">
        <v>360</v>
      </c>
      <c r="Q44" t="s">
        <v>110</v>
      </c>
      <c r="R44" t="s">
        <v>111</v>
      </c>
      <c r="S44" t="s">
        <v>112</v>
      </c>
      <c r="T44">
        <v>2023</v>
      </c>
      <c r="U44" t="s">
        <v>97</v>
      </c>
    </row>
    <row r="45" spans="1:21" x14ac:dyDescent="0.35">
      <c r="A45" s="1">
        <v>44635</v>
      </c>
      <c r="B45" t="s">
        <v>98</v>
      </c>
      <c r="C45" t="s">
        <v>99</v>
      </c>
      <c r="D45" t="s">
        <v>100</v>
      </c>
      <c r="E45">
        <v>71</v>
      </c>
      <c r="F45">
        <v>6</v>
      </c>
      <c r="G45">
        <f t="shared" si="0"/>
        <v>426</v>
      </c>
      <c r="H45">
        <v>4</v>
      </c>
      <c r="I45">
        <f t="shared" si="1"/>
        <v>284</v>
      </c>
      <c r="J45">
        <f t="shared" si="2"/>
        <v>142</v>
      </c>
      <c r="K45" t="s">
        <v>42</v>
      </c>
      <c r="L45" t="s">
        <v>36</v>
      </c>
      <c r="M45" t="s">
        <v>61</v>
      </c>
      <c r="N45" t="s">
        <v>38</v>
      </c>
      <c r="O45">
        <v>957</v>
      </c>
      <c r="P45">
        <v>71</v>
      </c>
      <c r="Q45" t="s">
        <v>87</v>
      </c>
      <c r="R45" t="s">
        <v>88</v>
      </c>
      <c r="S45" t="s">
        <v>89</v>
      </c>
      <c r="T45">
        <v>2021</v>
      </c>
      <c r="U45" t="s">
        <v>86</v>
      </c>
    </row>
    <row r="46" spans="1:21" x14ac:dyDescent="0.35">
      <c r="A46" s="1">
        <v>44636</v>
      </c>
      <c r="B46" t="s">
        <v>98</v>
      </c>
      <c r="C46" t="s">
        <v>99</v>
      </c>
      <c r="D46" t="s">
        <v>100</v>
      </c>
      <c r="E46">
        <v>91</v>
      </c>
      <c r="F46">
        <v>6</v>
      </c>
      <c r="G46">
        <f t="shared" si="0"/>
        <v>546</v>
      </c>
      <c r="H46">
        <v>4</v>
      </c>
      <c r="I46">
        <f t="shared" si="1"/>
        <v>364</v>
      </c>
      <c r="J46">
        <f t="shared" si="2"/>
        <v>182</v>
      </c>
      <c r="K46" t="s">
        <v>35</v>
      </c>
      <c r="L46" t="s">
        <v>36</v>
      </c>
      <c r="M46" t="s">
        <v>37</v>
      </c>
      <c r="N46" t="s">
        <v>27</v>
      </c>
      <c r="O46">
        <v>781</v>
      </c>
      <c r="P46">
        <v>91</v>
      </c>
      <c r="Q46" t="s">
        <v>101</v>
      </c>
      <c r="R46" t="s">
        <v>101</v>
      </c>
      <c r="S46" t="s">
        <v>102</v>
      </c>
      <c r="T46">
        <v>2021</v>
      </c>
      <c r="U46" t="s">
        <v>53</v>
      </c>
    </row>
    <row r="47" spans="1:21" x14ac:dyDescent="0.35">
      <c r="A47" s="1">
        <v>44637</v>
      </c>
      <c r="B47" t="s">
        <v>98</v>
      </c>
      <c r="C47" t="s">
        <v>99</v>
      </c>
      <c r="D47" t="s">
        <v>100</v>
      </c>
      <c r="E47">
        <v>418</v>
      </c>
      <c r="F47">
        <v>6</v>
      </c>
      <c r="G47">
        <f t="shared" si="0"/>
        <v>2508</v>
      </c>
      <c r="H47">
        <v>4</v>
      </c>
      <c r="I47">
        <f t="shared" si="1"/>
        <v>1672</v>
      </c>
      <c r="J47">
        <f t="shared" si="2"/>
        <v>836</v>
      </c>
      <c r="K47" t="s">
        <v>35</v>
      </c>
      <c r="L47" t="s">
        <v>63</v>
      </c>
      <c r="M47" t="s">
        <v>26</v>
      </c>
      <c r="N47" t="s">
        <v>43</v>
      </c>
      <c r="O47">
        <v>648</v>
      </c>
      <c r="P47">
        <v>418</v>
      </c>
      <c r="Q47" t="s">
        <v>67</v>
      </c>
      <c r="R47" t="s">
        <v>68</v>
      </c>
      <c r="S47" t="s">
        <v>69</v>
      </c>
      <c r="T47">
        <v>2023</v>
      </c>
      <c r="U47" t="s">
        <v>57</v>
      </c>
    </row>
    <row r="48" spans="1:21" x14ac:dyDescent="0.35">
      <c r="A48" s="1">
        <v>44638</v>
      </c>
      <c r="B48" t="s">
        <v>21</v>
      </c>
      <c r="C48" t="s">
        <v>22</v>
      </c>
      <c r="D48" t="s">
        <v>23</v>
      </c>
      <c r="E48">
        <v>499</v>
      </c>
      <c r="F48">
        <v>8</v>
      </c>
      <c r="G48">
        <f t="shared" si="0"/>
        <v>3992</v>
      </c>
      <c r="H48">
        <v>5</v>
      </c>
      <c r="I48">
        <f t="shared" si="1"/>
        <v>2495</v>
      </c>
      <c r="J48">
        <f t="shared" si="2"/>
        <v>1497</v>
      </c>
      <c r="K48" t="s">
        <v>42</v>
      </c>
      <c r="L48" t="s">
        <v>36</v>
      </c>
      <c r="M48" t="s">
        <v>37</v>
      </c>
      <c r="N48" t="s">
        <v>43</v>
      </c>
      <c r="O48">
        <v>738</v>
      </c>
      <c r="P48">
        <v>499</v>
      </c>
      <c r="Q48" t="s">
        <v>64</v>
      </c>
      <c r="R48" t="s">
        <v>29</v>
      </c>
      <c r="S48" t="s">
        <v>65</v>
      </c>
      <c r="T48">
        <v>2020</v>
      </c>
      <c r="U48" t="s">
        <v>105</v>
      </c>
    </row>
    <row r="49" spans="1:21" x14ac:dyDescent="0.35">
      <c r="A49" s="1">
        <v>44639</v>
      </c>
      <c r="B49" t="s">
        <v>58</v>
      </c>
      <c r="C49" t="s">
        <v>59</v>
      </c>
      <c r="D49" t="s">
        <v>60</v>
      </c>
      <c r="E49">
        <v>20</v>
      </c>
      <c r="F49">
        <v>5</v>
      </c>
      <c r="G49">
        <f t="shared" si="0"/>
        <v>100</v>
      </c>
      <c r="H49">
        <v>3</v>
      </c>
      <c r="I49">
        <f t="shared" si="1"/>
        <v>60</v>
      </c>
      <c r="J49">
        <f t="shared" si="2"/>
        <v>40</v>
      </c>
      <c r="K49" t="s">
        <v>24</v>
      </c>
      <c r="L49" t="s">
        <v>36</v>
      </c>
      <c r="M49" t="s">
        <v>26</v>
      </c>
      <c r="N49" t="s">
        <v>38</v>
      </c>
      <c r="O49">
        <v>872</v>
      </c>
      <c r="P49">
        <v>20</v>
      </c>
      <c r="Q49" t="s">
        <v>106</v>
      </c>
      <c r="R49" t="s">
        <v>107</v>
      </c>
      <c r="S49" t="s">
        <v>108</v>
      </c>
      <c r="T49">
        <v>2023</v>
      </c>
      <c r="U49" t="s">
        <v>62</v>
      </c>
    </row>
    <row r="50" spans="1:21" x14ac:dyDescent="0.35">
      <c r="A50" s="1">
        <v>44640</v>
      </c>
      <c r="B50" t="s">
        <v>48</v>
      </c>
      <c r="C50" t="s">
        <v>49</v>
      </c>
      <c r="D50" t="s">
        <v>50</v>
      </c>
      <c r="E50">
        <v>301</v>
      </c>
      <c r="F50">
        <v>150</v>
      </c>
      <c r="G50">
        <f t="shared" si="0"/>
        <v>45150</v>
      </c>
      <c r="H50">
        <v>100</v>
      </c>
      <c r="I50">
        <f t="shared" si="1"/>
        <v>30100</v>
      </c>
      <c r="J50">
        <f t="shared" si="2"/>
        <v>15050</v>
      </c>
      <c r="K50" t="s">
        <v>35</v>
      </c>
      <c r="L50" t="s">
        <v>25</v>
      </c>
      <c r="M50" t="s">
        <v>37</v>
      </c>
      <c r="N50" t="s">
        <v>43</v>
      </c>
      <c r="O50">
        <v>777</v>
      </c>
      <c r="P50">
        <v>301</v>
      </c>
      <c r="Q50" t="s">
        <v>51</v>
      </c>
      <c r="R50" t="s">
        <v>45</v>
      </c>
      <c r="S50" t="s">
        <v>52</v>
      </c>
      <c r="T50">
        <v>2020</v>
      </c>
      <c r="U50" t="s">
        <v>66</v>
      </c>
    </row>
    <row r="51" spans="1:21" x14ac:dyDescent="0.35">
      <c r="A51" s="1">
        <v>44641</v>
      </c>
      <c r="B51" t="s">
        <v>98</v>
      </c>
      <c r="C51" t="s">
        <v>99</v>
      </c>
      <c r="D51" t="s">
        <v>100</v>
      </c>
      <c r="E51">
        <v>102</v>
      </c>
      <c r="F51">
        <v>6</v>
      </c>
      <c r="G51">
        <f t="shared" si="0"/>
        <v>612</v>
      </c>
      <c r="H51">
        <v>4</v>
      </c>
      <c r="I51">
        <f t="shared" si="1"/>
        <v>408</v>
      </c>
      <c r="J51">
        <f t="shared" si="2"/>
        <v>204</v>
      </c>
      <c r="K51" t="s">
        <v>24</v>
      </c>
      <c r="L51" t="s">
        <v>36</v>
      </c>
      <c r="M51" t="s">
        <v>37</v>
      </c>
      <c r="N51" t="s">
        <v>38</v>
      </c>
      <c r="O51">
        <v>606</v>
      </c>
      <c r="P51">
        <v>102</v>
      </c>
      <c r="Q51" t="s">
        <v>70</v>
      </c>
      <c r="R51" t="s">
        <v>71</v>
      </c>
      <c r="S51" t="s">
        <v>72</v>
      </c>
      <c r="T51">
        <v>2024</v>
      </c>
      <c r="U51" t="s">
        <v>57</v>
      </c>
    </row>
    <row r="52" spans="1:21" x14ac:dyDescent="0.35">
      <c r="A52" s="1">
        <v>44642</v>
      </c>
      <c r="B52" t="s">
        <v>48</v>
      </c>
      <c r="C52" t="s">
        <v>49</v>
      </c>
      <c r="D52" t="s">
        <v>50</v>
      </c>
      <c r="E52">
        <v>427</v>
      </c>
      <c r="F52">
        <v>150</v>
      </c>
      <c r="G52">
        <f t="shared" si="0"/>
        <v>64050</v>
      </c>
      <c r="H52">
        <v>100</v>
      </c>
      <c r="I52">
        <f t="shared" si="1"/>
        <v>42700</v>
      </c>
      <c r="J52">
        <f t="shared" si="2"/>
        <v>21350</v>
      </c>
      <c r="K52" t="s">
        <v>35</v>
      </c>
      <c r="L52" t="s">
        <v>73</v>
      </c>
      <c r="M52" t="s">
        <v>37</v>
      </c>
      <c r="N52" t="s">
        <v>43</v>
      </c>
      <c r="O52">
        <v>920</v>
      </c>
      <c r="P52">
        <v>427</v>
      </c>
      <c r="Q52" t="s">
        <v>39</v>
      </c>
      <c r="R52" t="s">
        <v>40</v>
      </c>
      <c r="S52" t="s">
        <v>41</v>
      </c>
      <c r="T52">
        <v>2022</v>
      </c>
      <c r="U52" t="s">
        <v>105</v>
      </c>
    </row>
    <row r="53" spans="1:21" x14ac:dyDescent="0.35">
      <c r="A53" s="1">
        <v>44643</v>
      </c>
      <c r="B53" t="s">
        <v>58</v>
      </c>
      <c r="C53" t="s">
        <v>59</v>
      </c>
      <c r="D53" t="s">
        <v>60</v>
      </c>
      <c r="E53">
        <v>58</v>
      </c>
      <c r="F53">
        <v>5</v>
      </c>
      <c r="G53">
        <f t="shared" si="0"/>
        <v>290</v>
      </c>
      <c r="H53">
        <v>3</v>
      </c>
      <c r="I53">
        <f t="shared" si="1"/>
        <v>174</v>
      </c>
      <c r="J53">
        <f t="shared" si="2"/>
        <v>116</v>
      </c>
      <c r="K53" t="s">
        <v>24</v>
      </c>
      <c r="L53" t="s">
        <v>36</v>
      </c>
      <c r="M53" t="s">
        <v>37</v>
      </c>
      <c r="N53" t="s">
        <v>38</v>
      </c>
      <c r="O53">
        <v>549</v>
      </c>
      <c r="P53">
        <v>58</v>
      </c>
      <c r="Q53" t="s">
        <v>51</v>
      </c>
      <c r="R53" t="s">
        <v>45</v>
      </c>
      <c r="S53" t="s">
        <v>52</v>
      </c>
      <c r="T53">
        <v>2020</v>
      </c>
      <c r="U53" t="s">
        <v>105</v>
      </c>
    </row>
    <row r="54" spans="1:21" x14ac:dyDescent="0.35">
      <c r="A54" s="1">
        <v>44644</v>
      </c>
      <c r="B54" t="s">
        <v>58</v>
      </c>
      <c r="C54" t="s">
        <v>59</v>
      </c>
      <c r="D54" t="s">
        <v>60</v>
      </c>
      <c r="E54">
        <v>236</v>
      </c>
      <c r="F54">
        <v>5</v>
      </c>
      <c r="G54">
        <f t="shared" si="0"/>
        <v>1180</v>
      </c>
      <c r="H54">
        <v>3</v>
      </c>
      <c r="I54">
        <f t="shared" si="1"/>
        <v>708</v>
      </c>
      <c r="J54">
        <f t="shared" si="2"/>
        <v>472</v>
      </c>
      <c r="K54" t="s">
        <v>24</v>
      </c>
      <c r="L54" t="s">
        <v>36</v>
      </c>
      <c r="M54" t="s">
        <v>37</v>
      </c>
      <c r="N54" t="s">
        <v>27</v>
      </c>
      <c r="O54">
        <v>629</v>
      </c>
      <c r="P54">
        <v>236</v>
      </c>
      <c r="Q54" t="s">
        <v>64</v>
      </c>
      <c r="R54" t="s">
        <v>29</v>
      </c>
      <c r="S54" t="s">
        <v>65</v>
      </c>
      <c r="T54">
        <v>2024</v>
      </c>
      <c r="U54" t="s">
        <v>91</v>
      </c>
    </row>
    <row r="55" spans="1:21" x14ac:dyDescent="0.35">
      <c r="A55" s="1">
        <v>44645</v>
      </c>
      <c r="B55" t="s">
        <v>21</v>
      </c>
      <c r="C55" t="s">
        <v>22</v>
      </c>
      <c r="D55" t="s">
        <v>23</v>
      </c>
      <c r="E55">
        <v>305</v>
      </c>
      <c r="F55">
        <v>8</v>
      </c>
      <c r="G55">
        <f t="shared" si="0"/>
        <v>2440</v>
      </c>
      <c r="H55">
        <v>5</v>
      </c>
      <c r="I55">
        <f t="shared" si="1"/>
        <v>1525</v>
      </c>
      <c r="J55">
        <f t="shared" si="2"/>
        <v>915</v>
      </c>
      <c r="K55" t="s">
        <v>35</v>
      </c>
      <c r="L55" t="s">
        <v>25</v>
      </c>
      <c r="M55" t="s">
        <v>37</v>
      </c>
      <c r="N55" t="s">
        <v>38</v>
      </c>
      <c r="O55">
        <v>917</v>
      </c>
      <c r="P55">
        <v>305</v>
      </c>
      <c r="Q55" t="s">
        <v>74</v>
      </c>
      <c r="R55" t="s">
        <v>75</v>
      </c>
      <c r="S55" t="s">
        <v>76</v>
      </c>
      <c r="T55">
        <v>2024</v>
      </c>
      <c r="U55" t="s">
        <v>109</v>
      </c>
    </row>
    <row r="56" spans="1:21" x14ac:dyDescent="0.35">
      <c r="A56" s="1">
        <v>44646</v>
      </c>
      <c r="B56" t="s">
        <v>48</v>
      </c>
      <c r="C56" t="s">
        <v>49</v>
      </c>
      <c r="D56" t="s">
        <v>50</v>
      </c>
      <c r="E56">
        <v>258</v>
      </c>
      <c r="F56">
        <v>150</v>
      </c>
      <c r="G56">
        <f t="shared" si="0"/>
        <v>38700</v>
      </c>
      <c r="H56">
        <v>100</v>
      </c>
      <c r="I56">
        <f t="shared" si="1"/>
        <v>25800</v>
      </c>
      <c r="J56">
        <f t="shared" si="2"/>
        <v>12900</v>
      </c>
      <c r="K56" t="s">
        <v>24</v>
      </c>
      <c r="L56" t="s">
        <v>36</v>
      </c>
      <c r="M56" t="s">
        <v>26</v>
      </c>
      <c r="N56" t="s">
        <v>38</v>
      </c>
      <c r="O56">
        <v>674</v>
      </c>
      <c r="P56">
        <v>258</v>
      </c>
      <c r="Q56" t="s">
        <v>92</v>
      </c>
      <c r="R56" t="s">
        <v>45</v>
      </c>
      <c r="S56" t="s">
        <v>93</v>
      </c>
      <c r="T56">
        <v>2021</v>
      </c>
      <c r="U56" t="s">
        <v>96</v>
      </c>
    </row>
    <row r="57" spans="1:21" x14ac:dyDescent="0.35">
      <c r="A57" s="1">
        <v>44647</v>
      </c>
      <c r="B57" t="s">
        <v>21</v>
      </c>
      <c r="C57" t="s">
        <v>22</v>
      </c>
      <c r="D57" t="s">
        <v>23</v>
      </c>
      <c r="E57">
        <v>341</v>
      </c>
      <c r="F57">
        <v>8</v>
      </c>
      <c r="G57">
        <f t="shared" si="0"/>
        <v>2728</v>
      </c>
      <c r="H57">
        <v>5</v>
      </c>
      <c r="I57">
        <f t="shared" si="1"/>
        <v>1705</v>
      </c>
      <c r="J57">
        <f t="shared" si="2"/>
        <v>1023</v>
      </c>
      <c r="K57" t="s">
        <v>24</v>
      </c>
      <c r="L57" t="s">
        <v>36</v>
      </c>
      <c r="M57" t="s">
        <v>61</v>
      </c>
      <c r="N57" t="s">
        <v>27</v>
      </c>
      <c r="O57">
        <v>791</v>
      </c>
      <c r="P57">
        <v>341</v>
      </c>
      <c r="Q57" t="s">
        <v>44</v>
      </c>
      <c r="R57" t="s">
        <v>45</v>
      </c>
      <c r="S57" t="s">
        <v>46</v>
      </c>
      <c r="T57">
        <v>2022</v>
      </c>
      <c r="U57" t="s">
        <v>62</v>
      </c>
    </row>
    <row r="58" spans="1:21" x14ac:dyDescent="0.35">
      <c r="A58" s="1">
        <v>44648</v>
      </c>
      <c r="B58" t="s">
        <v>80</v>
      </c>
      <c r="C58" t="s">
        <v>81</v>
      </c>
      <c r="D58" t="s">
        <v>82</v>
      </c>
      <c r="E58">
        <v>472</v>
      </c>
      <c r="F58">
        <v>2.5</v>
      </c>
      <c r="G58">
        <f t="shared" si="0"/>
        <v>1180</v>
      </c>
      <c r="H58">
        <v>1.5</v>
      </c>
      <c r="I58">
        <f t="shared" si="1"/>
        <v>708</v>
      </c>
      <c r="J58">
        <f t="shared" si="2"/>
        <v>472</v>
      </c>
      <c r="K58" t="s">
        <v>24</v>
      </c>
      <c r="L58" t="s">
        <v>25</v>
      </c>
      <c r="M58" t="s">
        <v>37</v>
      </c>
      <c r="N58" t="s">
        <v>38</v>
      </c>
      <c r="O58">
        <v>856</v>
      </c>
      <c r="P58">
        <v>472</v>
      </c>
      <c r="Q58" t="s">
        <v>101</v>
      </c>
      <c r="R58" t="s">
        <v>101</v>
      </c>
      <c r="S58" t="s">
        <v>102</v>
      </c>
      <c r="T58">
        <v>2024</v>
      </c>
      <c r="U58" t="s">
        <v>57</v>
      </c>
    </row>
    <row r="59" spans="1:21" x14ac:dyDescent="0.35">
      <c r="A59" s="1">
        <v>44649</v>
      </c>
      <c r="B59" t="s">
        <v>58</v>
      </c>
      <c r="C59" t="s">
        <v>59</v>
      </c>
      <c r="D59" t="s">
        <v>60</v>
      </c>
      <c r="E59">
        <v>455</v>
      </c>
      <c r="F59">
        <v>5</v>
      </c>
      <c r="G59">
        <f t="shared" si="0"/>
        <v>2275</v>
      </c>
      <c r="H59">
        <v>3</v>
      </c>
      <c r="I59">
        <f t="shared" si="1"/>
        <v>1365</v>
      </c>
      <c r="J59">
        <f t="shared" si="2"/>
        <v>910</v>
      </c>
      <c r="K59" t="s">
        <v>42</v>
      </c>
      <c r="L59" t="s">
        <v>63</v>
      </c>
      <c r="M59" t="s">
        <v>37</v>
      </c>
      <c r="N59" t="s">
        <v>27</v>
      </c>
      <c r="O59">
        <v>882</v>
      </c>
      <c r="P59">
        <v>455</v>
      </c>
      <c r="Q59" t="s">
        <v>54</v>
      </c>
      <c r="R59" t="s">
        <v>55</v>
      </c>
      <c r="S59" t="s">
        <v>56</v>
      </c>
      <c r="T59">
        <v>2023</v>
      </c>
      <c r="U59" t="s">
        <v>86</v>
      </c>
    </row>
    <row r="60" spans="1:21" x14ac:dyDescent="0.35">
      <c r="A60" s="1">
        <v>44650</v>
      </c>
      <c r="B60" t="s">
        <v>32</v>
      </c>
      <c r="C60" t="s">
        <v>33</v>
      </c>
      <c r="D60" t="s">
        <v>34</v>
      </c>
      <c r="E60">
        <v>153</v>
      </c>
      <c r="F60">
        <v>20</v>
      </c>
      <c r="G60">
        <f t="shared" si="0"/>
        <v>3060</v>
      </c>
      <c r="H60">
        <v>12</v>
      </c>
      <c r="I60">
        <f t="shared" si="1"/>
        <v>1836</v>
      </c>
      <c r="J60">
        <f t="shared" si="2"/>
        <v>1224</v>
      </c>
      <c r="K60" t="s">
        <v>35</v>
      </c>
      <c r="L60" t="s">
        <v>36</v>
      </c>
      <c r="M60" t="s">
        <v>26</v>
      </c>
      <c r="N60" t="s">
        <v>43</v>
      </c>
      <c r="O60">
        <v>938</v>
      </c>
      <c r="P60">
        <v>153</v>
      </c>
      <c r="Q60" t="s">
        <v>94</v>
      </c>
      <c r="R60" t="s">
        <v>75</v>
      </c>
      <c r="S60" t="s">
        <v>95</v>
      </c>
      <c r="T60">
        <v>2021</v>
      </c>
      <c r="U60" t="s">
        <v>96</v>
      </c>
    </row>
    <row r="61" spans="1:21" x14ac:dyDescent="0.35">
      <c r="A61" s="1">
        <v>44651</v>
      </c>
      <c r="B61" t="s">
        <v>48</v>
      </c>
      <c r="C61" t="s">
        <v>49</v>
      </c>
      <c r="D61" t="s">
        <v>50</v>
      </c>
      <c r="E61">
        <v>316</v>
      </c>
      <c r="F61">
        <v>150</v>
      </c>
      <c r="G61">
        <f t="shared" si="0"/>
        <v>47400</v>
      </c>
      <c r="H61">
        <v>100</v>
      </c>
      <c r="I61">
        <f t="shared" si="1"/>
        <v>31600</v>
      </c>
      <c r="J61">
        <f t="shared" si="2"/>
        <v>15800</v>
      </c>
      <c r="K61" t="s">
        <v>24</v>
      </c>
      <c r="L61" t="s">
        <v>63</v>
      </c>
      <c r="M61" t="s">
        <v>37</v>
      </c>
      <c r="N61" t="s">
        <v>38</v>
      </c>
      <c r="O61">
        <v>762</v>
      </c>
      <c r="P61">
        <v>316</v>
      </c>
      <c r="Q61" t="s">
        <v>64</v>
      </c>
      <c r="R61" t="s">
        <v>29</v>
      </c>
      <c r="S61" t="s">
        <v>65</v>
      </c>
      <c r="T61">
        <v>2024</v>
      </c>
      <c r="U61" t="s">
        <v>105</v>
      </c>
    </row>
    <row r="62" spans="1:21" x14ac:dyDescent="0.35">
      <c r="A62" s="1">
        <v>44652</v>
      </c>
      <c r="B62" t="s">
        <v>98</v>
      </c>
      <c r="C62" t="s">
        <v>99</v>
      </c>
      <c r="D62" t="s">
        <v>100</v>
      </c>
      <c r="E62">
        <v>171</v>
      </c>
      <c r="F62">
        <v>6</v>
      </c>
      <c r="G62">
        <f t="shared" si="0"/>
        <v>1026</v>
      </c>
      <c r="H62">
        <v>4</v>
      </c>
      <c r="I62">
        <f t="shared" si="1"/>
        <v>684</v>
      </c>
      <c r="J62">
        <f t="shared" si="2"/>
        <v>342</v>
      </c>
      <c r="K62" t="s">
        <v>42</v>
      </c>
      <c r="L62" t="s">
        <v>73</v>
      </c>
      <c r="M62" t="s">
        <v>37</v>
      </c>
      <c r="N62" t="s">
        <v>38</v>
      </c>
      <c r="O62">
        <v>869</v>
      </c>
      <c r="P62">
        <v>171</v>
      </c>
      <c r="Q62" t="s">
        <v>74</v>
      </c>
      <c r="R62" t="s">
        <v>75</v>
      </c>
      <c r="S62" t="s">
        <v>76</v>
      </c>
      <c r="T62">
        <v>2022</v>
      </c>
      <c r="U62" t="s">
        <v>66</v>
      </c>
    </row>
    <row r="63" spans="1:21" x14ac:dyDescent="0.35">
      <c r="A63" s="1">
        <v>44653</v>
      </c>
      <c r="B63" t="s">
        <v>21</v>
      </c>
      <c r="C63" t="s">
        <v>22</v>
      </c>
      <c r="D63" t="s">
        <v>23</v>
      </c>
      <c r="E63">
        <v>241</v>
      </c>
      <c r="F63">
        <v>8</v>
      </c>
      <c r="G63">
        <f t="shared" si="0"/>
        <v>1928</v>
      </c>
      <c r="H63">
        <v>5</v>
      </c>
      <c r="I63">
        <f t="shared" si="1"/>
        <v>1205</v>
      </c>
      <c r="J63">
        <f t="shared" si="2"/>
        <v>723</v>
      </c>
      <c r="K63" t="s">
        <v>35</v>
      </c>
      <c r="L63" t="s">
        <v>36</v>
      </c>
      <c r="M63" t="s">
        <v>37</v>
      </c>
      <c r="N63" t="s">
        <v>43</v>
      </c>
      <c r="O63">
        <v>682</v>
      </c>
      <c r="P63">
        <v>241</v>
      </c>
      <c r="Q63" t="s">
        <v>44</v>
      </c>
      <c r="R63" t="s">
        <v>45</v>
      </c>
      <c r="S63" t="s">
        <v>46</v>
      </c>
      <c r="T63">
        <v>2021</v>
      </c>
      <c r="U63" t="s">
        <v>57</v>
      </c>
    </row>
    <row r="64" spans="1:21" x14ac:dyDescent="0.35">
      <c r="A64" s="1">
        <v>44654</v>
      </c>
      <c r="B64" t="s">
        <v>58</v>
      </c>
      <c r="C64" t="s">
        <v>59</v>
      </c>
      <c r="D64" t="s">
        <v>60</v>
      </c>
      <c r="E64">
        <v>437</v>
      </c>
      <c r="F64">
        <v>5</v>
      </c>
      <c r="G64">
        <f t="shared" si="0"/>
        <v>2185</v>
      </c>
      <c r="H64">
        <v>3</v>
      </c>
      <c r="I64">
        <f t="shared" si="1"/>
        <v>1311</v>
      </c>
      <c r="J64">
        <f t="shared" si="2"/>
        <v>874</v>
      </c>
      <c r="K64" t="s">
        <v>42</v>
      </c>
      <c r="L64" t="s">
        <v>63</v>
      </c>
      <c r="M64" t="s">
        <v>37</v>
      </c>
      <c r="N64" t="s">
        <v>27</v>
      </c>
      <c r="O64">
        <v>792</v>
      </c>
      <c r="P64">
        <v>437</v>
      </c>
      <c r="Q64" t="s">
        <v>70</v>
      </c>
      <c r="R64" t="s">
        <v>71</v>
      </c>
      <c r="S64" t="s">
        <v>72</v>
      </c>
      <c r="T64">
        <v>2020</v>
      </c>
      <c r="U64" t="s">
        <v>105</v>
      </c>
    </row>
    <row r="65" spans="1:21" x14ac:dyDescent="0.35">
      <c r="A65" s="1">
        <v>44655</v>
      </c>
      <c r="B65" t="s">
        <v>80</v>
      </c>
      <c r="C65" t="s">
        <v>81</v>
      </c>
      <c r="D65" t="s">
        <v>82</v>
      </c>
      <c r="E65">
        <v>434</v>
      </c>
      <c r="F65">
        <v>2.5</v>
      </c>
      <c r="G65">
        <f t="shared" si="0"/>
        <v>1085</v>
      </c>
      <c r="H65">
        <v>1.5</v>
      </c>
      <c r="I65">
        <f t="shared" si="1"/>
        <v>651</v>
      </c>
      <c r="J65">
        <f t="shared" si="2"/>
        <v>434</v>
      </c>
      <c r="K65" t="s">
        <v>24</v>
      </c>
      <c r="L65" t="s">
        <v>73</v>
      </c>
      <c r="M65" t="s">
        <v>26</v>
      </c>
      <c r="N65" t="s">
        <v>43</v>
      </c>
      <c r="O65">
        <v>994</v>
      </c>
      <c r="P65">
        <v>434</v>
      </c>
      <c r="Q65" t="s">
        <v>113</v>
      </c>
      <c r="R65" t="s">
        <v>114</v>
      </c>
      <c r="S65" t="s">
        <v>115</v>
      </c>
      <c r="T65">
        <v>2020</v>
      </c>
      <c r="U65" t="s">
        <v>91</v>
      </c>
    </row>
    <row r="66" spans="1:21" x14ac:dyDescent="0.35">
      <c r="A66" s="1">
        <v>44656</v>
      </c>
      <c r="B66" t="s">
        <v>58</v>
      </c>
      <c r="C66" t="s">
        <v>59</v>
      </c>
      <c r="D66" t="s">
        <v>60</v>
      </c>
      <c r="E66">
        <v>158</v>
      </c>
      <c r="F66">
        <v>5</v>
      </c>
      <c r="G66">
        <f t="shared" si="0"/>
        <v>790</v>
      </c>
      <c r="H66">
        <v>3</v>
      </c>
      <c r="I66">
        <f t="shared" si="1"/>
        <v>474</v>
      </c>
      <c r="J66">
        <f t="shared" si="2"/>
        <v>316</v>
      </c>
      <c r="K66" t="s">
        <v>35</v>
      </c>
      <c r="L66" t="s">
        <v>73</v>
      </c>
      <c r="M66" t="s">
        <v>61</v>
      </c>
      <c r="N66" t="s">
        <v>43</v>
      </c>
      <c r="O66">
        <v>591</v>
      </c>
      <c r="P66">
        <v>158</v>
      </c>
      <c r="Q66" t="s">
        <v>39</v>
      </c>
      <c r="R66" t="s">
        <v>40</v>
      </c>
      <c r="S66" t="s">
        <v>41</v>
      </c>
      <c r="T66">
        <v>2023</v>
      </c>
      <c r="U66" t="s">
        <v>97</v>
      </c>
    </row>
    <row r="67" spans="1:21" x14ac:dyDescent="0.35">
      <c r="A67" s="1">
        <v>44657</v>
      </c>
      <c r="B67" t="s">
        <v>58</v>
      </c>
      <c r="C67" t="s">
        <v>59</v>
      </c>
      <c r="D67" t="s">
        <v>60</v>
      </c>
      <c r="E67">
        <v>387</v>
      </c>
      <c r="F67">
        <v>5</v>
      </c>
      <c r="G67">
        <f t="shared" ref="G67:G130" si="3">E67*F67</f>
        <v>1935</v>
      </c>
      <c r="H67">
        <v>3</v>
      </c>
      <c r="I67">
        <f t="shared" ref="I67:I130" si="4">E67*H67</f>
        <v>1161</v>
      </c>
      <c r="J67">
        <f t="shared" ref="J67:J130" si="5">G67-I67</f>
        <v>774</v>
      </c>
      <c r="K67" t="s">
        <v>24</v>
      </c>
      <c r="L67" t="s">
        <v>63</v>
      </c>
      <c r="M67" t="s">
        <v>61</v>
      </c>
      <c r="N67" t="s">
        <v>27</v>
      </c>
      <c r="O67">
        <v>901</v>
      </c>
      <c r="P67">
        <v>387</v>
      </c>
      <c r="Q67" t="s">
        <v>70</v>
      </c>
      <c r="R67" t="s">
        <v>71</v>
      </c>
      <c r="S67" t="s">
        <v>72</v>
      </c>
      <c r="T67">
        <v>2023</v>
      </c>
      <c r="U67" t="s">
        <v>53</v>
      </c>
    </row>
    <row r="68" spans="1:21" x14ac:dyDescent="0.35">
      <c r="A68" s="1">
        <v>44658</v>
      </c>
      <c r="B68" t="s">
        <v>32</v>
      </c>
      <c r="C68" t="s">
        <v>33</v>
      </c>
      <c r="D68" t="s">
        <v>34</v>
      </c>
      <c r="E68">
        <v>64</v>
      </c>
      <c r="F68">
        <v>20</v>
      </c>
      <c r="G68">
        <f t="shared" si="3"/>
        <v>1280</v>
      </c>
      <c r="H68">
        <v>12</v>
      </c>
      <c r="I68">
        <f t="shared" si="4"/>
        <v>768</v>
      </c>
      <c r="J68">
        <f t="shared" si="5"/>
        <v>512</v>
      </c>
      <c r="K68" t="s">
        <v>35</v>
      </c>
      <c r="L68" t="s">
        <v>36</v>
      </c>
      <c r="M68" t="s">
        <v>61</v>
      </c>
      <c r="N68" t="s">
        <v>27</v>
      </c>
      <c r="O68">
        <v>538</v>
      </c>
      <c r="P68">
        <v>64</v>
      </c>
      <c r="Q68" t="s">
        <v>54</v>
      </c>
      <c r="R68" t="s">
        <v>55</v>
      </c>
      <c r="S68" t="s">
        <v>56</v>
      </c>
      <c r="T68">
        <v>2021</v>
      </c>
      <c r="U68" t="s">
        <v>91</v>
      </c>
    </row>
    <row r="69" spans="1:21" x14ac:dyDescent="0.35">
      <c r="A69" s="1">
        <v>44659</v>
      </c>
      <c r="B69" t="s">
        <v>32</v>
      </c>
      <c r="C69" t="s">
        <v>33</v>
      </c>
      <c r="D69" t="s">
        <v>34</v>
      </c>
      <c r="E69">
        <v>398</v>
      </c>
      <c r="F69">
        <v>20</v>
      </c>
      <c r="G69">
        <f t="shared" si="3"/>
        <v>7960</v>
      </c>
      <c r="H69">
        <v>12</v>
      </c>
      <c r="I69">
        <f t="shared" si="4"/>
        <v>4776</v>
      </c>
      <c r="J69">
        <f t="shared" si="5"/>
        <v>3184</v>
      </c>
      <c r="K69" t="s">
        <v>42</v>
      </c>
      <c r="L69" t="s">
        <v>73</v>
      </c>
      <c r="M69" t="s">
        <v>37</v>
      </c>
      <c r="N69" t="s">
        <v>43</v>
      </c>
      <c r="O69">
        <v>880</v>
      </c>
      <c r="P69">
        <v>398</v>
      </c>
      <c r="Q69" t="s">
        <v>70</v>
      </c>
      <c r="R69" t="s">
        <v>71</v>
      </c>
      <c r="S69" t="s">
        <v>72</v>
      </c>
      <c r="T69">
        <v>2020</v>
      </c>
      <c r="U69" t="s">
        <v>91</v>
      </c>
    </row>
    <row r="70" spans="1:21" x14ac:dyDescent="0.35">
      <c r="A70" s="1">
        <v>44660</v>
      </c>
      <c r="B70" t="s">
        <v>48</v>
      </c>
      <c r="C70" t="s">
        <v>49</v>
      </c>
      <c r="D70" t="s">
        <v>50</v>
      </c>
      <c r="E70">
        <v>145</v>
      </c>
      <c r="F70">
        <v>150</v>
      </c>
      <c r="G70">
        <f t="shared" si="3"/>
        <v>21750</v>
      </c>
      <c r="H70">
        <v>100</v>
      </c>
      <c r="I70">
        <f t="shared" si="4"/>
        <v>14500</v>
      </c>
      <c r="J70">
        <f t="shared" si="5"/>
        <v>7250</v>
      </c>
      <c r="K70" t="s">
        <v>24</v>
      </c>
      <c r="L70" t="s">
        <v>25</v>
      </c>
      <c r="M70" t="s">
        <v>61</v>
      </c>
      <c r="N70" t="s">
        <v>43</v>
      </c>
      <c r="O70">
        <v>645</v>
      </c>
      <c r="P70">
        <v>145</v>
      </c>
      <c r="Q70" t="s">
        <v>94</v>
      </c>
      <c r="R70" t="s">
        <v>75</v>
      </c>
      <c r="S70" t="s">
        <v>95</v>
      </c>
      <c r="T70">
        <v>2021</v>
      </c>
      <c r="U70" t="s">
        <v>91</v>
      </c>
    </row>
    <row r="71" spans="1:21" x14ac:dyDescent="0.35">
      <c r="A71" s="1">
        <v>44661</v>
      </c>
      <c r="B71" t="s">
        <v>21</v>
      </c>
      <c r="C71" t="s">
        <v>22</v>
      </c>
      <c r="D71" t="s">
        <v>23</v>
      </c>
      <c r="E71">
        <v>153</v>
      </c>
      <c r="F71">
        <v>8</v>
      </c>
      <c r="G71">
        <f t="shared" si="3"/>
        <v>1224</v>
      </c>
      <c r="H71">
        <v>5</v>
      </c>
      <c r="I71">
        <f t="shared" si="4"/>
        <v>765</v>
      </c>
      <c r="J71">
        <f t="shared" si="5"/>
        <v>459</v>
      </c>
      <c r="K71" t="s">
        <v>24</v>
      </c>
      <c r="L71" t="s">
        <v>36</v>
      </c>
      <c r="M71" t="s">
        <v>26</v>
      </c>
      <c r="N71" t="s">
        <v>38</v>
      </c>
      <c r="O71">
        <v>672</v>
      </c>
      <c r="P71">
        <v>153</v>
      </c>
      <c r="Q71" t="s">
        <v>113</v>
      </c>
      <c r="R71" t="s">
        <v>114</v>
      </c>
      <c r="S71" t="s">
        <v>115</v>
      </c>
      <c r="T71">
        <v>2022</v>
      </c>
      <c r="U71" t="s">
        <v>96</v>
      </c>
    </row>
    <row r="72" spans="1:21" x14ac:dyDescent="0.35">
      <c r="A72" s="1">
        <v>44662</v>
      </c>
      <c r="B72" t="s">
        <v>21</v>
      </c>
      <c r="C72" t="s">
        <v>22</v>
      </c>
      <c r="D72" t="s">
        <v>23</v>
      </c>
      <c r="E72">
        <v>428</v>
      </c>
      <c r="F72">
        <v>8</v>
      </c>
      <c r="G72">
        <f t="shared" si="3"/>
        <v>3424</v>
      </c>
      <c r="H72">
        <v>5</v>
      </c>
      <c r="I72">
        <f t="shared" si="4"/>
        <v>2140</v>
      </c>
      <c r="J72">
        <f t="shared" si="5"/>
        <v>1284</v>
      </c>
      <c r="K72" t="s">
        <v>24</v>
      </c>
      <c r="L72" t="s">
        <v>25</v>
      </c>
      <c r="M72" t="s">
        <v>26</v>
      </c>
      <c r="N72" t="s">
        <v>38</v>
      </c>
      <c r="O72">
        <v>893</v>
      </c>
      <c r="P72">
        <v>428</v>
      </c>
      <c r="Q72" t="s">
        <v>70</v>
      </c>
      <c r="R72" t="s">
        <v>71</v>
      </c>
      <c r="S72" t="s">
        <v>72</v>
      </c>
      <c r="T72">
        <v>2022</v>
      </c>
      <c r="U72" t="s">
        <v>97</v>
      </c>
    </row>
    <row r="73" spans="1:21" x14ac:dyDescent="0.35">
      <c r="A73" s="1">
        <v>44663</v>
      </c>
      <c r="B73" t="s">
        <v>21</v>
      </c>
      <c r="C73" t="s">
        <v>22</v>
      </c>
      <c r="D73" t="s">
        <v>23</v>
      </c>
      <c r="E73">
        <v>141</v>
      </c>
      <c r="F73">
        <v>8</v>
      </c>
      <c r="G73">
        <f t="shared" si="3"/>
        <v>1128</v>
      </c>
      <c r="H73">
        <v>5</v>
      </c>
      <c r="I73">
        <f t="shared" si="4"/>
        <v>705</v>
      </c>
      <c r="J73">
        <f t="shared" si="5"/>
        <v>423</v>
      </c>
      <c r="K73" t="s">
        <v>24</v>
      </c>
      <c r="L73" t="s">
        <v>25</v>
      </c>
      <c r="M73" t="s">
        <v>26</v>
      </c>
      <c r="N73" t="s">
        <v>38</v>
      </c>
      <c r="O73">
        <v>695</v>
      </c>
      <c r="P73">
        <v>141</v>
      </c>
      <c r="Q73" t="s">
        <v>67</v>
      </c>
      <c r="R73" t="s">
        <v>68</v>
      </c>
      <c r="S73" t="s">
        <v>69</v>
      </c>
      <c r="T73">
        <v>2024</v>
      </c>
      <c r="U73" t="s">
        <v>105</v>
      </c>
    </row>
    <row r="74" spans="1:21" x14ac:dyDescent="0.35">
      <c r="A74" s="1">
        <v>44664</v>
      </c>
      <c r="B74" t="s">
        <v>32</v>
      </c>
      <c r="C74" t="s">
        <v>33</v>
      </c>
      <c r="D74" t="s">
        <v>34</v>
      </c>
      <c r="E74">
        <v>52</v>
      </c>
      <c r="F74">
        <v>20</v>
      </c>
      <c r="G74">
        <f t="shared" si="3"/>
        <v>1040</v>
      </c>
      <c r="H74">
        <v>12</v>
      </c>
      <c r="I74">
        <f t="shared" si="4"/>
        <v>624</v>
      </c>
      <c r="J74">
        <f t="shared" si="5"/>
        <v>416</v>
      </c>
      <c r="K74" t="s">
        <v>35</v>
      </c>
      <c r="L74" t="s">
        <v>25</v>
      </c>
      <c r="M74" t="s">
        <v>61</v>
      </c>
      <c r="N74" t="s">
        <v>43</v>
      </c>
      <c r="O74">
        <v>513</v>
      </c>
      <c r="P74">
        <v>52</v>
      </c>
      <c r="Q74" t="s">
        <v>90</v>
      </c>
      <c r="R74" t="s">
        <v>55</v>
      </c>
      <c r="S74" t="s">
        <v>85</v>
      </c>
      <c r="T74">
        <v>2022</v>
      </c>
      <c r="U74" t="s">
        <v>31</v>
      </c>
    </row>
    <row r="75" spans="1:21" x14ac:dyDescent="0.35">
      <c r="A75" s="1">
        <v>44665</v>
      </c>
      <c r="B75" t="s">
        <v>48</v>
      </c>
      <c r="C75" t="s">
        <v>49</v>
      </c>
      <c r="D75" t="s">
        <v>50</v>
      </c>
      <c r="E75">
        <v>384</v>
      </c>
      <c r="F75">
        <v>150</v>
      </c>
      <c r="G75">
        <f t="shared" si="3"/>
        <v>57600</v>
      </c>
      <c r="H75">
        <v>100</v>
      </c>
      <c r="I75">
        <f t="shared" si="4"/>
        <v>38400</v>
      </c>
      <c r="J75">
        <f t="shared" si="5"/>
        <v>19200</v>
      </c>
      <c r="K75" t="s">
        <v>24</v>
      </c>
      <c r="L75" t="s">
        <v>25</v>
      </c>
      <c r="M75" t="s">
        <v>61</v>
      </c>
      <c r="N75" t="s">
        <v>43</v>
      </c>
      <c r="O75">
        <v>820</v>
      </c>
      <c r="P75">
        <v>384</v>
      </c>
      <c r="Q75" t="s">
        <v>83</v>
      </c>
      <c r="R75" t="s">
        <v>84</v>
      </c>
      <c r="S75" t="s">
        <v>85</v>
      </c>
      <c r="T75">
        <v>2020</v>
      </c>
      <c r="U75" t="s">
        <v>62</v>
      </c>
    </row>
    <row r="76" spans="1:21" x14ac:dyDescent="0.35">
      <c r="A76" s="1">
        <v>44666</v>
      </c>
      <c r="B76" t="s">
        <v>80</v>
      </c>
      <c r="C76" t="s">
        <v>81</v>
      </c>
      <c r="D76" t="s">
        <v>82</v>
      </c>
      <c r="E76">
        <v>47</v>
      </c>
      <c r="F76">
        <v>2.5</v>
      </c>
      <c r="G76">
        <f t="shared" si="3"/>
        <v>117.5</v>
      </c>
      <c r="H76">
        <v>1.5</v>
      </c>
      <c r="I76">
        <f t="shared" si="4"/>
        <v>70.5</v>
      </c>
      <c r="J76">
        <f t="shared" si="5"/>
        <v>47</v>
      </c>
      <c r="K76" t="s">
        <v>42</v>
      </c>
      <c r="L76" t="s">
        <v>63</v>
      </c>
      <c r="M76" t="s">
        <v>61</v>
      </c>
      <c r="N76" t="s">
        <v>43</v>
      </c>
      <c r="O76">
        <v>970</v>
      </c>
      <c r="P76">
        <v>47</v>
      </c>
      <c r="Q76" t="s">
        <v>67</v>
      </c>
      <c r="R76" t="s">
        <v>68</v>
      </c>
      <c r="S76" t="s">
        <v>69</v>
      </c>
      <c r="T76">
        <v>2024</v>
      </c>
      <c r="U76" t="s">
        <v>91</v>
      </c>
    </row>
    <row r="77" spans="1:21" x14ac:dyDescent="0.35">
      <c r="A77" s="1">
        <v>44667</v>
      </c>
      <c r="B77" t="s">
        <v>58</v>
      </c>
      <c r="C77" t="s">
        <v>59</v>
      </c>
      <c r="D77" t="s">
        <v>60</v>
      </c>
      <c r="E77">
        <v>270</v>
      </c>
      <c r="F77">
        <v>5</v>
      </c>
      <c r="G77">
        <f t="shared" si="3"/>
        <v>1350</v>
      </c>
      <c r="H77">
        <v>3</v>
      </c>
      <c r="I77">
        <f t="shared" si="4"/>
        <v>810</v>
      </c>
      <c r="J77">
        <f t="shared" si="5"/>
        <v>540</v>
      </c>
      <c r="K77" t="s">
        <v>35</v>
      </c>
      <c r="L77" t="s">
        <v>25</v>
      </c>
      <c r="M77" t="s">
        <v>26</v>
      </c>
      <c r="N77" t="s">
        <v>38</v>
      </c>
      <c r="O77">
        <v>830</v>
      </c>
      <c r="P77">
        <v>270</v>
      </c>
      <c r="Q77" t="s">
        <v>92</v>
      </c>
      <c r="R77" t="s">
        <v>45</v>
      </c>
      <c r="S77" t="s">
        <v>93</v>
      </c>
      <c r="T77">
        <v>2024</v>
      </c>
      <c r="U77" t="s">
        <v>62</v>
      </c>
    </row>
    <row r="78" spans="1:21" x14ac:dyDescent="0.35">
      <c r="A78" s="1">
        <v>44668</v>
      </c>
      <c r="B78" t="s">
        <v>32</v>
      </c>
      <c r="C78" t="s">
        <v>33</v>
      </c>
      <c r="D78" t="s">
        <v>34</v>
      </c>
      <c r="E78">
        <v>372</v>
      </c>
      <c r="F78">
        <v>20</v>
      </c>
      <c r="G78">
        <f t="shared" si="3"/>
        <v>7440</v>
      </c>
      <c r="H78">
        <v>12</v>
      </c>
      <c r="I78">
        <f t="shared" si="4"/>
        <v>4464</v>
      </c>
      <c r="J78">
        <f t="shared" si="5"/>
        <v>2976</v>
      </c>
      <c r="K78" t="s">
        <v>24</v>
      </c>
      <c r="L78" t="s">
        <v>25</v>
      </c>
      <c r="M78" t="s">
        <v>26</v>
      </c>
      <c r="N78" t="s">
        <v>43</v>
      </c>
      <c r="O78">
        <v>746</v>
      </c>
      <c r="P78">
        <v>372</v>
      </c>
      <c r="Q78" t="s">
        <v>51</v>
      </c>
      <c r="R78" t="s">
        <v>45</v>
      </c>
      <c r="S78" t="s">
        <v>52</v>
      </c>
      <c r="T78">
        <v>2022</v>
      </c>
      <c r="U78" t="s">
        <v>31</v>
      </c>
    </row>
    <row r="79" spans="1:21" x14ac:dyDescent="0.35">
      <c r="A79" s="1">
        <v>44669</v>
      </c>
      <c r="B79" t="s">
        <v>58</v>
      </c>
      <c r="C79" t="s">
        <v>59</v>
      </c>
      <c r="D79" t="s">
        <v>60</v>
      </c>
      <c r="E79">
        <v>487</v>
      </c>
      <c r="F79">
        <v>5</v>
      </c>
      <c r="G79">
        <f t="shared" si="3"/>
        <v>2435</v>
      </c>
      <c r="H79">
        <v>3</v>
      </c>
      <c r="I79">
        <f t="shared" si="4"/>
        <v>1461</v>
      </c>
      <c r="J79">
        <f t="shared" si="5"/>
        <v>974</v>
      </c>
      <c r="K79" t="s">
        <v>42</v>
      </c>
      <c r="L79" t="s">
        <v>36</v>
      </c>
      <c r="M79" t="s">
        <v>37</v>
      </c>
      <c r="N79" t="s">
        <v>38</v>
      </c>
      <c r="O79">
        <v>743</v>
      </c>
      <c r="P79">
        <v>487</v>
      </c>
      <c r="Q79" t="s">
        <v>83</v>
      </c>
      <c r="R79" t="s">
        <v>84</v>
      </c>
      <c r="S79" t="s">
        <v>85</v>
      </c>
      <c r="T79">
        <v>2022</v>
      </c>
      <c r="U79" t="s">
        <v>105</v>
      </c>
    </row>
    <row r="80" spans="1:21" x14ac:dyDescent="0.35">
      <c r="A80" s="1">
        <v>44670</v>
      </c>
      <c r="B80" t="s">
        <v>98</v>
      </c>
      <c r="C80" t="s">
        <v>99</v>
      </c>
      <c r="D80" t="s">
        <v>100</v>
      </c>
      <c r="E80">
        <v>158</v>
      </c>
      <c r="F80">
        <v>6</v>
      </c>
      <c r="G80">
        <f t="shared" si="3"/>
        <v>948</v>
      </c>
      <c r="H80">
        <v>4</v>
      </c>
      <c r="I80">
        <f t="shared" si="4"/>
        <v>632</v>
      </c>
      <c r="J80">
        <f t="shared" si="5"/>
        <v>316</v>
      </c>
      <c r="K80" t="s">
        <v>35</v>
      </c>
      <c r="L80" t="s">
        <v>73</v>
      </c>
      <c r="M80" t="s">
        <v>61</v>
      </c>
      <c r="N80" t="s">
        <v>38</v>
      </c>
      <c r="O80">
        <v>853</v>
      </c>
      <c r="P80">
        <v>158</v>
      </c>
      <c r="Q80" t="s">
        <v>113</v>
      </c>
      <c r="R80" t="s">
        <v>114</v>
      </c>
      <c r="S80" t="s">
        <v>115</v>
      </c>
      <c r="T80">
        <v>2021</v>
      </c>
      <c r="U80" t="s">
        <v>66</v>
      </c>
    </row>
    <row r="81" spans="1:21" x14ac:dyDescent="0.35">
      <c r="A81" s="1">
        <v>44671</v>
      </c>
      <c r="B81" t="s">
        <v>48</v>
      </c>
      <c r="C81" t="s">
        <v>49</v>
      </c>
      <c r="D81" t="s">
        <v>50</v>
      </c>
      <c r="E81">
        <v>63</v>
      </c>
      <c r="F81">
        <v>150</v>
      </c>
      <c r="G81">
        <f t="shared" si="3"/>
        <v>9450</v>
      </c>
      <c r="H81">
        <v>100</v>
      </c>
      <c r="I81">
        <f t="shared" si="4"/>
        <v>6300</v>
      </c>
      <c r="J81">
        <f t="shared" si="5"/>
        <v>3150</v>
      </c>
      <c r="K81" t="s">
        <v>42</v>
      </c>
      <c r="L81" t="s">
        <v>25</v>
      </c>
      <c r="M81" t="s">
        <v>61</v>
      </c>
      <c r="N81" t="s">
        <v>43</v>
      </c>
      <c r="O81">
        <v>621</v>
      </c>
      <c r="P81">
        <v>63</v>
      </c>
      <c r="Q81" t="s">
        <v>110</v>
      </c>
      <c r="R81" t="s">
        <v>111</v>
      </c>
      <c r="S81" t="s">
        <v>112</v>
      </c>
      <c r="T81">
        <v>2024</v>
      </c>
      <c r="U81" t="s">
        <v>57</v>
      </c>
    </row>
    <row r="82" spans="1:21" x14ac:dyDescent="0.35">
      <c r="A82" s="1">
        <v>44672</v>
      </c>
      <c r="B82" t="s">
        <v>32</v>
      </c>
      <c r="C82" t="s">
        <v>33</v>
      </c>
      <c r="D82" t="s">
        <v>34</v>
      </c>
      <c r="E82">
        <v>184</v>
      </c>
      <c r="F82">
        <v>20</v>
      </c>
      <c r="G82">
        <f t="shared" si="3"/>
        <v>3680</v>
      </c>
      <c r="H82">
        <v>12</v>
      </c>
      <c r="I82">
        <f t="shared" si="4"/>
        <v>2208</v>
      </c>
      <c r="J82">
        <f t="shared" si="5"/>
        <v>1472</v>
      </c>
      <c r="K82" t="s">
        <v>35</v>
      </c>
      <c r="L82" t="s">
        <v>73</v>
      </c>
      <c r="M82" t="s">
        <v>26</v>
      </c>
      <c r="N82" t="s">
        <v>43</v>
      </c>
      <c r="O82">
        <v>951</v>
      </c>
      <c r="P82">
        <v>184</v>
      </c>
      <c r="Q82" t="s">
        <v>113</v>
      </c>
      <c r="R82" t="s">
        <v>114</v>
      </c>
      <c r="S82" t="s">
        <v>115</v>
      </c>
      <c r="T82">
        <v>2023</v>
      </c>
      <c r="U82" t="s">
        <v>62</v>
      </c>
    </row>
    <row r="83" spans="1:21" x14ac:dyDescent="0.35">
      <c r="A83" s="1">
        <v>44673</v>
      </c>
      <c r="B83" t="s">
        <v>98</v>
      </c>
      <c r="C83" t="s">
        <v>99</v>
      </c>
      <c r="D83" t="s">
        <v>100</v>
      </c>
      <c r="E83">
        <v>90</v>
      </c>
      <c r="F83">
        <v>6</v>
      </c>
      <c r="G83">
        <f t="shared" si="3"/>
        <v>540</v>
      </c>
      <c r="H83">
        <v>4</v>
      </c>
      <c r="I83">
        <f t="shared" si="4"/>
        <v>360</v>
      </c>
      <c r="J83">
        <f t="shared" si="5"/>
        <v>180</v>
      </c>
      <c r="K83" t="s">
        <v>35</v>
      </c>
      <c r="L83" t="s">
        <v>36</v>
      </c>
      <c r="M83" t="s">
        <v>61</v>
      </c>
      <c r="N83" t="s">
        <v>38</v>
      </c>
      <c r="O83">
        <v>693</v>
      </c>
      <c r="P83">
        <v>90</v>
      </c>
      <c r="Q83" t="s">
        <v>67</v>
      </c>
      <c r="R83" t="s">
        <v>68</v>
      </c>
      <c r="S83" t="s">
        <v>69</v>
      </c>
      <c r="T83">
        <v>2020</v>
      </c>
      <c r="U83" t="s">
        <v>47</v>
      </c>
    </row>
    <row r="84" spans="1:21" x14ac:dyDescent="0.35">
      <c r="A84" s="1">
        <v>44674</v>
      </c>
      <c r="B84" t="s">
        <v>58</v>
      </c>
      <c r="C84" t="s">
        <v>59</v>
      </c>
      <c r="D84" t="s">
        <v>60</v>
      </c>
      <c r="E84">
        <v>347</v>
      </c>
      <c r="F84">
        <v>5</v>
      </c>
      <c r="G84">
        <f t="shared" si="3"/>
        <v>1735</v>
      </c>
      <c r="H84">
        <v>3</v>
      </c>
      <c r="I84">
        <f t="shared" si="4"/>
        <v>1041</v>
      </c>
      <c r="J84">
        <f t="shared" si="5"/>
        <v>694</v>
      </c>
      <c r="K84" t="s">
        <v>35</v>
      </c>
      <c r="L84" t="s">
        <v>73</v>
      </c>
      <c r="M84" t="s">
        <v>26</v>
      </c>
      <c r="N84" t="s">
        <v>38</v>
      </c>
      <c r="O84">
        <v>857</v>
      </c>
      <c r="P84">
        <v>347</v>
      </c>
      <c r="Q84" t="s">
        <v>92</v>
      </c>
      <c r="R84" t="s">
        <v>45</v>
      </c>
      <c r="S84" t="s">
        <v>93</v>
      </c>
      <c r="T84">
        <v>2023</v>
      </c>
      <c r="U84" t="s">
        <v>105</v>
      </c>
    </row>
    <row r="85" spans="1:21" x14ac:dyDescent="0.35">
      <c r="A85" s="1">
        <v>44675</v>
      </c>
      <c r="B85" t="s">
        <v>48</v>
      </c>
      <c r="C85" t="s">
        <v>49</v>
      </c>
      <c r="D85" t="s">
        <v>50</v>
      </c>
      <c r="E85">
        <v>35</v>
      </c>
      <c r="F85">
        <v>150</v>
      </c>
      <c r="G85">
        <f t="shared" si="3"/>
        <v>5250</v>
      </c>
      <c r="H85">
        <v>100</v>
      </c>
      <c r="I85">
        <f t="shared" si="4"/>
        <v>3500</v>
      </c>
      <c r="J85">
        <f t="shared" si="5"/>
        <v>1750</v>
      </c>
      <c r="K85" t="s">
        <v>24</v>
      </c>
      <c r="L85" t="s">
        <v>73</v>
      </c>
      <c r="M85" t="s">
        <v>26</v>
      </c>
      <c r="N85" t="s">
        <v>43</v>
      </c>
      <c r="O85">
        <v>528</v>
      </c>
      <c r="P85">
        <v>35</v>
      </c>
      <c r="Q85" t="s">
        <v>39</v>
      </c>
      <c r="R85" t="s">
        <v>40</v>
      </c>
      <c r="S85" t="s">
        <v>41</v>
      </c>
      <c r="T85">
        <v>2020</v>
      </c>
      <c r="U85" t="s">
        <v>91</v>
      </c>
    </row>
    <row r="86" spans="1:21" x14ac:dyDescent="0.35">
      <c r="A86" s="1">
        <v>44676</v>
      </c>
      <c r="B86" t="s">
        <v>80</v>
      </c>
      <c r="C86" t="s">
        <v>81</v>
      </c>
      <c r="D86" t="s">
        <v>82</v>
      </c>
      <c r="E86">
        <v>90</v>
      </c>
      <c r="F86">
        <v>2.5</v>
      </c>
      <c r="G86">
        <f t="shared" si="3"/>
        <v>225</v>
      </c>
      <c r="H86">
        <v>1.5</v>
      </c>
      <c r="I86">
        <f t="shared" si="4"/>
        <v>135</v>
      </c>
      <c r="J86">
        <f t="shared" si="5"/>
        <v>90</v>
      </c>
      <c r="K86" t="s">
        <v>42</v>
      </c>
      <c r="L86" t="s">
        <v>25</v>
      </c>
      <c r="M86" t="s">
        <v>26</v>
      </c>
      <c r="N86" t="s">
        <v>38</v>
      </c>
      <c r="O86">
        <v>638</v>
      </c>
      <c r="P86">
        <v>90</v>
      </c>
      <c r="Q86" t="s">
        <v>51</v>
      </c>
      <c r="R86" t="s">
        <v>45</v>
      </c>
      <c r="S86" t="s">
        <v>52</v>
      </c>
      <c r="T86">
        <v>2021</v>
      </c>
      <c r="U86" t="s">
        <v>66</v>
      </c>
    </row>
    <row r="87" spans="1:21" x14ac:dyDescent="0.35">
      <c r="A87" s="1">
        <v>44677</v>
      </c>
      <c r="B87" t="s">
        <v>98</v>
      </c>
      <c r="C87" t="s">
        <v>99</v>
      </c>
      <c r="D87" t="s">
        <v>100</v>
      </c>
      <c r="E87">
        <v>312</v>
      </c>
      <c r="F87">
        <v>6</v>
      </c>
      <c r="G87">
        <f t="shared" si="3"/>
        <v>1872</v>
      </c>
      <c r="H87">
        <v>4</v>
      </c>
      <c r="I87">
        <f t="shared" si="4"/>
        <v>1248</v>
      </c>
      <c r="J87">
        <f t="shared" si="5"/>
        <v>624</v>
      </c>
      <c r="K87" t="s">
        <v>35</v>
      </c>
      <c r="L87" t="s">
        <v>63</v>
      </c>
      <c r="M87" t="s">
        <v>61</v>
      </c>
      <c r="N87" t="s">
        <v>27</v>
      </c>
      <c r="O87">
        <v>637</v>
      </c>
      <c r="P87">
        <v>312</v>
      </c>
      <c r="Q87" t="s">
        <v>92</v>
      </c>
      <c r="R87" t="s">
        <v>45</v>
      </c>
      <c r="S87" t="s">
        <v>93</v>
      </c>
      <c r="T87">
        <v>2021</v>
      </c>
      <c r="U87" t="s">
        <v>105</v>
      </c>
    </row>
    <row r="88" spans="1:21" x14ac:dyDescent="0.35">
      <c r="A88" s="1">
        <v>44678</v>
      </c>
      <c r="B88" t="s">
        <v>32</v>
      </c>
      <c r="C88" t="s">
        <v>33</v>
      </c>
      <c r="D88" t="s">
        <v>34</v>
      </c>
      <c r="E88">
        <v>272</v>
      </c>
      <c r="F88">
        <v>20</v>
      </c>
      <c r="G88">
        <f t="shared" si="3"/>
        <v>5440</v>
      </c>
      <c r="H88">
        <v>12</v>
      </c>
      <c r="I88">
        <f t="shared" si="4"/>
        <v>3264</v>
      </c>
      <c r="J88">
        <f t="shared" si="5"/>
        <v>2176</v>
      </c>
      <c r="K88" t="s">
        <v>42</v>
      </c>
      <c r="L88" t="s">
        <v>63</v>
      </c>
      <c r="M88" t="s">
        <v>61</v>
      </c>
      <c r="N88" t="s">
        <v>38</v>
      </c>
      <c r="O88">
        <v>692</v>
      </c>
      <c r="P88">
        <v>272</v>
      </c>
      <c r="Q88" t="s">
        <v>101</v>
      </c>
      <c r="R88" t="s">
        <v>101</v>
      </c>
      <c r="S88" t="s">
        <v>102</v>
      </c>
      <c r="T88">
        <v>2023</v>
      </c>
      <c r="U88" t="s">
        <v>57</v>
      </c>
    </row>
    <row r="89" spans="1:21" x14ac:dyDescent="0.35">
      <c r="A89" s="1">
        <v>44679</v>
      </c>
      <c r="B89" t="s">
        <v>58</v>
      </c>
      <c r="C89" t="s">
        <v>59</v>
      </c>
      <c r="D89" t="s">
        <v>60</v>
      </c>
      <c r="E89">
        <v>378</v>
      </c>
      <c r="F89">
        <v>5</v>
      </c>
      <c r="G89">
        <f t="shared" si="3"/>
        <v>1890</v>
      </c>
      <c r="H89">
        <v>3</v>
      </c>
      <c r="I89">
        <f t="shared" si="4"/>
        <v>1134</v>
      </c>
      <c r="J89">
        <f t="shared" si="5"/>
        <v>756</v>
      </c>
      <c r="K89" t="s">
        <v>42</v>
      </c>
      <c r="L89" t="s">
        <v>36</v>
      </c>
      <c r="M89" t="s">
        <v>37</v>
      </c>
      <c r="N89" t="s">
        <v>43</v>
      </c>
      <c r="O89">
        <v>919</v>
      </c>
      <c r="P89">
        <v>378</v>
      </c>
      <c r="Q89" t="s">
        <v>94</v>
      </c>
      <c r="R89" t="s">
        <v>75</v>
      </c>
      <c r="S89" t="s">
        <v>95</v>
      </c>
      <c r="T89">
        <v>2024</v>
      </c>
      <c r="U89" t="s">
        <v>105</v>
      </c>
    </row>
    <row r="90" spans="1:21" x14ac:dyDescent="0.35">
      <c r="A90" s="1">
        <v>44680</v>
      </c>
      <c r="B90" t="s">
        <v>21</v>
      </c>
      <c r="C90" t="s">
        <v>22</v>
      </c>
      <c r="D90" t="s">
        <v>23</v>
      </c>
      <c r="E90">
        <v>13</v>
      </c>
      <c r="F90">
        <v>8</v>
      </c>
      <c r="G90">
        <f t="shared" si="3"/>
        <v>104</v>
      </c>
      <c r="H90">
        <v>5</v>
      </c>
      <c r="I90">
        <f t="shared" si="4"/>
        <v>65</v>
      </c>
      <c r="J90">
        <f t="shared" si="5"/>
        <v>39</v>
      </c>
      <c r="K90" t="s">
        <v>42</v>
      </c>
      <c r="L90" t="s">
        <v>63</v>
      </c>
      <c r="M90" t="s">
        <v>26</v>
      </c>
      <c r="N90" t="s">
        <v>43</v>
      </c>
      <c r="O90">
        <v>761</v>
      </c>
      <c r="P90">
        <v>13</v>
      </c>
      <c r="Q90" t="s">
        <v>44</v>
      </c>
      <c r="R90" t="s">
        <v>45</v>
      </c>
      <c r="S90" t="s">
        <v>46</v>
      </c>
      <c r="T90">
        <v>2022</v>
      </c>
      <c r="U90" t="s">
        <v>97</v>
      </c>
    </row>
    <row r="91" spans="1:21" x14ac:dyDescent="0.35">
      <c r="A91" s="1">
        <v>44681</v>
      </c>
      <c r="B91" t="s">
        <v>58</v>
      </c>
      <c r="C91" t="s">
        <v>59</v>
      </c>
      <c r="D91" t="s">
        <v>60</v>
      </c>
      <c r="E91">
        <v>188</v>
      </c>
      <c r="F91">
        <v>5</v>
      </c>
      <c r="G91">
        <f t="shared" si="3"/>
        <v>940</v>
      </c>
      <c r="H91">
        <v>3</v>
      </c>
      <c r="I91">
        <f t="shared" si="4"/>
        <v>564</v>
      </c>
      <c r="J91">
        <f t="shared" si="5"/>
        <v>376</v>
      </c>
      <c r="K91" t="s">
        <v>42</v>
      </c>
      <c r="L91" t="s">
        <v>25</v>
      </c>
      <c r="M91" t="s">
        <v>61</v>
      </c>
      <c r="N91" t="s">
        <v>38</v>
      </c>
      <c r="O91">
        <v>674</v>
      </c>
      <c r="P91">
        <v>188</v>
      </c>
      <c r="Q91" t="s">
        <v>94</v>
      </c>
      <c r="R91" t="s">
        <v>75</v>
      </c>
      <c r="S91" t="s">
        <v>95</v>
      </c>
      <c r="T91">
        <v>2020</v>
      </c>
      <c r="U91" t="s">
        <v>31</v>
      </c>
    </row>
    <row r="92" spans="1:21" x14ac:dyDescent="0.35">
      <c r="A92" s="1">
        <v>44682</v>
      </c>
      <c r="B92" t="s">
        <v>80</v>
      </c>
      <c r="C92" t="s">
        <v>81</v>
      </c>
      <c r="D92" t="s">
        <v>82</v>
      </c>
      <c r="E92">
        <v>271</v>
      </c>
      <c r="F92">
        <v>2.5</v>
      </c>
      <c r="G92">
        <f t="shared" si="3"/>
        <v>677.5</v>
      </c>
      <c r="H92">
        <v>1.5</v>
      </c>
      <c r="I92">
        <f t="shared" si="4"/>
        <v>406.5</v>
      </c>
      <c r="J92">
        <f t="shared" si="5"/>
        <v>271</v>
      </c>
      <c r="K92" t="s">
        <v>24</v>
      </c>
      <c r="L92" t="s">
        <v>25</v>
      </c>
      <c r="M92" t="s">
        <v>61</v>
      </c>
      <c r="N92" t="s">
        <v>38</v>
      </c>
      <c r="O92">
        <v>571</v>
      </c>
      <c r="P92">
        <v>271</v>
      </c>
      <c r="Q92" t="s">
        <v>90</v>
      </c>
      <c r="R92" t="s">
        <v>55</v>
      </c>
      <c r="S92" t="s">
        <v>85</v>
      </c>
      <c r="T92">
        <v>2023</v>
      </c>
      <c r="U92" t="s">
        <v>105</v>
      </c>
    </row>
    <row r="93" spans="1:21" x14ac:dyDescent="0.35">
      <c r="A93" s="1">
        <v>44683</v>
      </c>
      <c r="B93" t="s">
        <v>98</v>
      </c>
      <c r="C93" t="s">
        <v>99</v>
      </c>
      <c r="D93" t="s">
        <v>100</v>
      </c>
      <c r="E93">
        <v>174</v>
      </c>
      <c r="F93">
        <v>6</v>
      </c>
      <c r="G93">
        <f t="shared" si="3"/>
        <v>1044</v>
      </c>
      <c r="H93">
        <v>4</v>
      </c>
      <c r="I93">
        <f t="shared" si="4"/>
        <v>696</v>
      </c>
      <c r="J93">
        <f t="shared" si="5"/>
        <v>348</v>
      </c>
      <c r="K93" t="s">
        <v>24</v>
      </c>
      <c r="L93" t="s">
        <v>73</v>
      </c>
      <c r="M93" t="s">
        <v>61</v>
      </c>
      <c r="N93" t="s">
        <v>38</v>
      </c>
      <c r="O93">
        <v>976</v>
      </c>
      <c r="P93">
        <v>174</v>
      </c>
      <c r="Q93" t="s">
        <v>51</v>
      </c>
      <c r="R93" t="s">
        <v>45</v>
      </c>
      <c r="S93" t="s">
        <v>52</v>
      </c>
      <c r="T93">
        <v>2022</v>
      </c>
      <c r="U93" t="s">
        <v>86</v>
      </c>
    </row>
    <row r="94" spans="1:21" x14ac:dyDescent="0.35">
      <c r="A94" s="1">
        <v>44684</v>
      </c>
      <c r="B94" t="s">
        <v>32</v>
      </c>
      <c r="C94" t="s">
        <v>33</v>
      </c>
      <c r="D94" t="s">
        <v>34</v>
      </c>
      <c r="E94">
        <v>468</v>
      </c>
      <c r="F94">
        <v>20</v>
      </c>
      <c r="G94">
        <f t="shared" si="3"/>
        <v>9360</v>
      </c>
      <c r="H94">
        <v>12</v>
      </c>
      <c r="I94">
        <f t="shared" si="4"/>
        <v>5616</v>
      </c>
      <c r="J94">
        <f t="shared" si="5"/>
        <v>3744</v>
      </c>
      <c r="K94" t="s">
        <v>35</v>
      </c>
      <c r="L94" t="s">
        <v>73</v>
      </c>
      <c r="M94" t="s">
        <v>61</v>
      </c>
      <c r="N94" t="s">
        <v>27</v>
      </c>
      <c r="O94">
        <v>814</v>
      </c>
      <c r="P94">
        <v>468</v>
      </c>
      <c r="Q94" t="s">
        <v>92</v>
      </c>
      <c r="R94" t="s">
        <v>45</v>
      </c>
      <c r="S94" t="s">
        <v>93</v>
      </c>
      <c r="T94">
        <v>2022</v>
      </c>
      <c r="U94" t="s">
        <v>57</v>
      </c>
    </row>
    <row r="95" spans="1:21" x14ac:dyDescent="0.35">
      <c r="A95" s="1">
        <v>44685</v>
      </c>
      <c r="B95" t="s">
        <v>21</v>
      </c>
      <c r="C95" t="s">
        <v>22</v>
      </c>
      <c r="D95" t="s">
        <v>23</v>
      </c>
      <c r="E95">
        <v>60</v>
      </c>
      <c r="F95">
        <v>8</v>
      </c>
      <c r="G95">
        <f t="shared" si="3"/>
        <v>480</v>
      </c>
      <c r="H95">
        <v>5</v>
      </c>
      <c r="I95">
        <f t="shared" si="4"/>
        <v>300</v>
      </c>
      <c r="J95">
        <f t="shared" si="5"/>
        <v>180</v>
      </c>
      <c r="K95" t="s">
        <v>35</v>
      </c>
      <c r="L95" t="s">
        <v>63</v>
      </c>
      <c r="M95" t="s">
        <v>61</v>
      </c>
      <c r="N95" t="s">
        <v>43</v>
      </c>
      <c r="O95">
        <v>648</v>
      </c>
      <c r="P95">
        <v>60</v>
      </c>
      <c r="Q95" t="s">
        <v>39</v>
      </c>
      <c r="R95" t="s">
        <v>40</v>
      </c>
      <c r="S95" t="s">
        <v>41</v>
      </c>
      <c r="T95">
        <v>2021</v>
      </c>
      <c r="U95" t="s">
        <v>105</v>
      </c>
    </row>
    <row r="96" spans="1:21" x14ac:dyDescent="0.35">
      <c r="A96" s="1">
        <v>44686</v>
      </c>
      <c r="B96" t="s">
        <v>58</v>
      </c>
      <c r="C96" t="s">
        <v>59</v>
      </c>
      <c r="D96" t="s">
        <v>60</v>
      </c>
      <c r="E96">
        <v>194</v>
      </c>
      <c r="F96">
        <v>5</v>
      </c>
      <c r="G96">
        <f t="shared" si="3"/>
        <v>970</v>
      </c>
      <c r="H96">
        <v>3</v>
      </c>
      <c r="I96">
        <f t="shared" si="4"/>
        <v>582</v>
      </c>
      <c r="J96">
        <f t="shared" si="5"/>
        <v>388</v>
      </c>
      <c r="K96" t="s">
        <v>24</v>
      </c>
      <c r="L96" t="s">
        <v>73</v>
      </c>
      <c r="M96" t="s">
        <v>37</v>
      </c>
      <c r="N96" t="s">
        <v>43</v>
      </c>
      <c r="O96">
        <v>869</v>
      </c>
      <c r="P96">
        <v>194</v>
      </c>
      <c r="Q96" t="s">
        <v>70</v>
      </c>
      <c r="R96" t="s">
        <v>71</v>
      </c>
      <c r="S96" t="s">
        <v>72</v>
      </c>
      <c r="T96">
        <v>2020</v>
      </c>
      <c r="U96" t="s">
        <v>96</v>
      </c>
    </row>
    <row r="97" spans="1:21" x14ac:dyDescent="0.35">
      <c r="A97" s="1">
        <v>44687</v>
      </c>
      <c r="B97" t="s">
        <v>48</v>
      </c>
      <c r="C97" t="s">
        <v>49</v>
      </c>
      <c r="D97" t="s">
        <v>50</v>
      </c>
      <c r="E97">
        <v>358</v>
      </c>
      <c r="F97">
        <v>150</v>
      </c>
      <c r="G97">
        <f t="shared" si="3"/>
        <v>53700</v>
      </c>
      <c r="H97">
        <v>100</v>
      </c>
      <c r="I97">
        <f t="shared" si="4"/>
        <v>35800</v>
      </c>
      <c r="J97">
        <f t="shared" si="5"/>
        <v>17900</v>
      </c>
      <c r="K97" t="s">
        <v>42</v>
      </c>
      <c r="L97" t="s">
        <v>25</v>
      </c>
      <c r="M97" t="s">
        <v>37</v>
      </c>
      <c r="N97" t="s">
        <v>38</v>
      </c>
      <c r="O97">
        <v>596</v>
      </c>
      <c r="P97">
        <v>358</v>
      </c>
      <c r="Q97" t="s">
        <v>110</v>
      </c>
      <c r="R97" t="s">
        <v>111</v>
      </c>
      <c r="S97" t="s">
        <v>112</v>
      </c>
      <c r="T97">
        <v>2021</v>
      </c>
      <c r="U97" t="s">
        <v>96</v>
      </c>
    </row>
    <row r="98" spans="1:21" x14ac:dyDescent="0.35">
      <c r="A98" s="1">
        <v>44688</v>
      </c>
      <c r="B98" t="s">
        <v>48</v>
      </c>
      <c r="C98" t="s">
        <v>49</v>
      </c>
      <c r="D98" t="s">
        <v>50</v>
      </c>
      <c r="E98">
        <v>261</v>
      </c>
      <c r="F98">
        <v>150</v>
      </c>
      <c r="G98">
        <f t="shared" si="3"/>
        <v>39150</v>
      </c>
      <c r="H98">
        <v>100</v>
      </c>
      <c r="I98">
        <f t="shared" si="4"/>
        <v>26100</v>
      </c>
      <c r="J98">
        <f t="shared" si="5"/>
        <v>13050</v>
      </c>
      <c r="K98" t="s">
        <v>42</v>
      </c>
      <c r="L98" t="s">
        <v>36</v>
      </c>
      <c r="M98" t="s">
        <v>37</v>
      </c>
      <c r="N98" t="s">
        <v>27</v>
      </c>
      <c r="O98">
        <v>895</v>
      </c>
      <c r="P98">
        <v>261</v>
      </c>
      <c r="Q98" t="s">
        <v>94</v>
      </c>
      <c r="R98" t="s">
        <v>75</v>
      </c>
      <c r="S98" t="s">
        <v>95</v>
      </c>
      <c r="T98">
        <v>2021</v>
      </c>
      <c r="U98" t="s">
        <v>86</v>
      </c>
    </row>
    <row r="99" spans="1:21" x14ac:dyDescent="0.35">
      <c r="A99" s="1">
        <v>44689</v>
      </c>
      <c r="B99" t="s">
        <v>80</v>
      </c>
      <c r="C99" t="s">
        <v>81</v>
      </c>
      <c r="D99" t="s">
        <v>82</v>
      </c>
      <c r="E99">
        <v>495</v>
      </c>
      <c r="F99">
        <v>2.5</v>
      </c>
      <c r="G99">
        <f t="shared" si="3"/>
        <v>1237.5</v>
      </c>
      <c r="H99">
        <v>1.5</v>
      </c>
      <c r="I99">
        <f t="shared" si="4"/>
        <v>742.5</v>
      </c>
      <c r="J99">
        <f t="shared" si="5"/>
        <v>495</v>
      </c>
      <c r="K99" t="s">
        <v>42</v>
      </c>
      <c r="L99" t="s">
        <v>73</v>
      </c>
      <c r="M99" t="s">
        <v>37</v>
      </c>
      <c r="N99" t="s">
        <v>27</v>
      </c>
      <c r="O99">
        <v>508</v>
      </c>
      <c r="P99">
        <v>495</v>
      </c>
      <c r="Q99" t="s">
        <v>67</v>
      </c>
      <c r="R99" t="s">
        <v>68</v>
      </c>
      <c r="S99" t="s">
        <v>69</v>
      </c>
      <c r="T99">
        <v>2023</v>
      </c>
      <c r="U99" t="s">
        <v>47</v>
      </c>
    </row>
    <row r="100" spans="1:21" x14ac:dyDescent="0.35">
      <c r="A100" s="1">
        <v>44690</v>
      </c>
      <c r="B100" t="s">
        <v>98</v>
      </c>
      <c r="C100" t="s">
        <v>99</v>
      </c>
      <c r="D100" t="s">
        <v>100</v>
      </c>
      <c r="E100">
        <v>163</v>
      </c>
      <c r="F100">
        <v>6</v>
      </c>
      <c r="G100">
        <f t="shared" si="3"/>
        <v>978</v>
      </c>
      <c r="H100">
        <v>4</v>
      </c>
      <c r="I100">
        <f t="shared" si="4"/>
        <v>652</v>
      </c>
      <c r="J100">
        <f t="shared" si="5"/>
        <v>326</v>
      </c>
      <c r="K100" t="s">
        <v>42</v>
      </c>
      <c r="L100" t="s">
        <v>63</v>
      </c>
      <c r="M100" t="s">
        <v>37</v>
      </c>
      <c r="N100" t="s">
        <v>43</v>
      </c>
      <c r="O100">
        <v>964</v>
      </c>
      <c r="P100">
        <v>163</v>
      </c>
      <c r="Q100" t="s">
        <v>87</v>
      </c>
      <c r="R100" t="s">
        <v>88</v>
      </c>
      <c r="S100" t="s">
        <v>89</v>
      </c>
      <c r="T100">
        <v>2023</v>
      </c>
      <c r="U100" t="s">
        <v>62</v>
      </c>
    </row>
    <row r="101" spans="1:21" x14ac:dyDescent="0.35">
      <c r="A101" s="1">
        <v>44691</v>
      </c>
      <c r="B101" t="s">
        <v>48</v>
      </c>
      <c r="C101" t="s">
        <v>49</v>
      </c>
      <c r="D101" t="s">
        <v>50</v>
      </c>
      <c r="E101">
        <v>107</v>
      </c>
      <c r="F101">
        <v>150</v>
      </c>
      <c r="G101">
        <f t="shared" si="3"/>
        <v>16050</v>
      </c>
      <c r="H101">
        <v>100</v>
      </c>
      <c r="I101">
        <f t="shared" si="4"/>
        <v>10700</v>
      </c>
      <c r="J101">
        <f t="shared" si="5"/>
        <v>5350</v>
      </c>
      <c r="K101" t="s">
        <v>35</v>
      </c>
      <c r="L101" t="s">
        <v>25</v>
      </c>
      <c r="M101" t="s">
        <v>37</v>
      </c>
      <c r="N101" t="s">
        <v>38</v>
      </c>
      <c r="O101">
        <v>565</v>
      </c>
      <c r="P101">
        <v>107</v>
      </c>
      <c r="Q101" t="s">
        <v>94</v>
      </c>
      <c r="R101" t="s">
        <v>75</v>
      </c>
      <c r="S101" t="s">
        <v>95</v>
      </c>
      <c r="T101">
        <v>2022</v>
      </c>
      <c r="U101" t="s">
        <v>57</v>
      </c>
    </row>
    <row r="102" spans="1:21" x14ac:dyDescent="0.35">
      <c r="A102" s="1">
        <v>44692</v>
      </c>
      <c r="B102" t="s">
        <v>58</v>
      </c>
      <c r="C102" t="s">
        <v>59</v>
      </c>
      <c r="D102" t="s">
        <v>60</v>
      </c>
      <c r="E102">
        <v>457</v>
      </c>
      <c r="F102">
        <v>5</v>
      </c>
      <c r="G102">
        <f t="shared" si="3"/>
        <v>2285</v>
      </c>
      <c r="H102">
        <v>3</v>
      </c>
      <c r="I102">
        <f t="shared" si="4"/>
        <v>1371</v>
      </c>
      <c r="J102">
        <f t="shared" si="5"/>
        <v>914</v>
      </c>
      <c r="K102" t="s">
        <v>42</v>
      </c>
      <c r="L102" t="s">
        <v>36</v>
      </c>
      <c r="M102" t="s">
        <v>37</v>
      </c>
      <c r="N102" t="s">
        <v>43</v>
      </c>
      <c r="O102">
        <v>525</v>
      </c>
      <c r="P102">
        <v>457</v>
      </c>
      <c r="Q102" t="s">
        <v>44</v>
      </c>
      <c r="R102" t="s">
        <v>45</v>
      </c>
      <c r="S102" t="s">
        <v>46</v>
      </c>
      <c r="T102">
        <v>2024</v>
      </c>
      <c r="U102" t="s">
        <v>105</v>
      </c>
    </row>
    <row r="103" spans="1:21" x14ac:dyDescent="0.35">
      <c r="A103" s="1">
        <v>44693</v>
      </c>
      <c r="B103" t="s">
        <v>32</v>
      </c>
      <c r="C103" t="s">
        <v>33</v>
      </c>
      <c r="D103" t="s">
        <v>34</v>
      </c>
      <c r="E103">
        <v>222</v>
      </c>
      <c r="F103">
        <v>20</v>
      </c>
      <c r="G103">
        <f t="shared" si="3"/>
        <v>4440</v>
      </c>
      <c r="H103">
        <v>12</v>
      </c>
      <c r="I103">
        <f t="shared" si="4"/>
        <v>2664</v>
      </c>
      <c r="J103">
        <f t="shared" si="5"/>
        <v>1776</v>
      </c>
      <c r="K103" t="s">
        <v>42</v>
      </c>
      <c r="L103" t="s">
        <v>73</v>
      </c>
      <c r="M103" t="s">
        <v>37</v>
      </c>
      <c r="N103" t="s">
        <v>27</v>
      </c>
      <c r="O103">
        <v>601</v>
      </c>
      <c r="P103">
        <v>222</v>
      </c>
      <c r="Q103" t="s">
        <v>90</v>
      </c>
      <c r="R103" t="s">
        <v>55</v>
      </c>
      <c r="S103" t="s">
        <v>85</v>
      </c>
      <c r="T103">
        <v>2022</v>
      </c>
      <c r="U103" t="s">
        <v>31</v>
      </c>
    </row>
    <row r="104" spans="1:21" x14ac:dyDescent="0.35">
      <c r="A104" s="1">
        <v>44694</v>
      </c>
      <c r="B104" t="s">
        <v>21</v>
      </c>
      <c r="C104" t="s">
        <v>22</v>
      </c>
      <c r="D104" t="s">
        <v>23</v>
      </c>
      <c r="E104">
        <v>432</v>
      </c>
      <c r="F104">
        <v>8</v>
      </c>
      <c r="G104">
        <f t="shared" si="3"/>
        <v>3456</v>
      </c>
      <c r="H104">
        <v>5</v>
      </c>
      <c r="I104">
        <f t="shared" si="4"/>
        <v>2160</v>
      </c>
      <c r="J104">
        <f t="shared" si="5"/>
        <v>1296</v>
      </c>
      <c r="K104" t="s">
        <v>42</v>
      </c>
      <c r="L104" t="s">
        <v>73</v>
      </c>
      <c r="M104" t="s">
        <v>26</v>
      </c>
      <c r="N104" t="s">
        <v>27</v>
      </c>
      <c r="O104">
        <v>634</v>
      </c>
      <c r="P104">
        <v>432</v>
      </c>
      <c r="Q104" t="s">
        <v>77</v>
      </c>
      <c r="R104" t="s">
        <v>78</v>
      </c>
      <c r="S104" t="s">
        <v>79</v>
      </c>
      <c r="T104">
        <v>2022</v>
      </c>
      <c r="U104" t="s">
        <v>31</v>
      </c>
    </row>
    <row r="105" spans="1:21" x14ac:dyDescent="0.35">
      <c r="A105" s="1">
        <v>44695</v>
      </c>
      <c r="B105" t="s">
        <v>48</v>
      </c>
      <c r="C105" t="s">
        <v>49</v>
      </c>
      <c r="D105" t="s">
        <v>50</v>
      </c>
      <c r="E105">
        <v>429</v>
      </c>
      <c r="F105">
        <v>150</v>
      </c>
      <c r="G105">
        <f t="shared" si="3"/>
        <v>64350</v>
      </c>
      <c r="H105">
        <v>100</v>
      </c>
      <c r="I105">
        <f t="shared" si="4"/>
        <v>42900</v>
      </c>
      <c r="J105">
        <f t="shared" si="5"/>
        <v>21450</v>
      </c>
      <c r="K105" t="s">
        <v>24</v>
      </c>
      <c r="L105" t="s">
        <v>63</v>
      </c>
      <c r="M105" t="s">
        <v>61</v>
      </c>
      <c r="N105" t="s">
        <v>38</v>
      </c>
      <c r="O105">
        <v>830</v>
      </c>
      <c r="P105">
        <v>429</v>
      </c>
      <c r="Q105" t="s">
        <v>103</v>
      </c>
      <c r="R105" t="s">
        <v>68</v>
      </c>
      <c r="S105" t="s">
        <v>104</v>
      </c>
      <c r="T105">
        <v>2020</v>
      </c>
      <c r="U105" t="s">
        <v>31</v>
      </c>
    </row>
    <row r="106" spans="1:21" x14ac:dyDescent="0.35">
      <c r="A106" s="1">
        <v>44696</v>
      </c>
      <c r="B106" t="s">
        <v>58</v>
      </c>
      <c r="C106" t="s">
        <v>59</v>
      </c>
      <c r="D106" t="s">
        <v>60</v>
      </c>
      <c r="E106">
        <v>255</v>
      </c>
      <c r="F106">
        <v>5</v>
      </c>
      <c r="G106">
        <f t="shared" si="3"/>
        <v>1275</v>
      </c>
      <c r="H106">
        <v>3</v>
      </c>
      <c r="I106">
        <f t="shared" si="4"/>
        <v>765</v>
      </c>
      <c r="J106">
        <f t="shared" si="5"/>
        <v>510</v>
      </c>
      <c r="K106" t="s">
        <v>42</v>
      </c>
      <c r="L106" t="s">
        <v>25</v>
      </c>
      <c r="M106" t="s">
        <v>61</v>
      </c>
      <c r="N106" t="s">
        <v>43</v>
      </c>
      <c r="O106">
        <v>954</v>
      </c>
      <c r="P106">
        <v>255</v>
      </c>
      <c r="Q106" t="s">
        <v>87</v>
      </c>
      <c r="R106" t="s">
        <v>88</v>
      </c>
      <c r="S106" t="s">
        <v>89</v>
      </c>
      <c r="T106">
        <v>2022</v>
      </c>
      <c r="U106" t="s">
        <v>105</v>
      </c>
    </row>
    <row r="107" spans="1:21" x14ac:dyDescent="0.35">
      <c r="A107" s="1">
        <v>44697</v>
      </c>
      <c r="B107" t="s">
        <v>98</v>
      </c>
      <c r="C107" t="s">
        <v>99</v>
      </c>
      <c r="D107" t="s">
        <v>100</v>
      </c>
      <c r="E107">
        <v>231</v>
      </c>
      <c r="F107">
        <v>6</v>
      </c>
      <c r="G107">
        <f t="shared" si="3"/>
        <v>1386</v>
      </c>
      <c r="H107">
        <v>4</v>
      </c>
      <c r="I107">
        <f t="shared" si="4"/>
        <v>924</v>
      </c>
      <c r="J107">
        <f t="shared" si="5"/>
        <v>462</v>
      </c>
      <c r="K107" t="s">
        <v>35</v>
      </c>
      <c r="L107" t="s">
        <v>63</v>
      </c>
      <c r="M107" t="s">
        <v>37</v>
      </c>
      <c r="N107" t="s">
        <v>27</v>
      </c>
      <c r="O107">
        <v>678</v>
      </c>
      <c r="P107">
        <v>231</v>
      </c>
      <c r="Q107" t="s">
        <v>113</v>
      </c>
      <c r="R107" t="s">
        <v>114</v>
      </c>
      <c r="S107" t="s">
        <v>115</v>
      </c>
      <c r="T107">
        <v>2022</v>
      </c>
      <c r="U107" t="s">
        <v>53</v>
      </c>
    </row>
    <row r="108" spans="1:21" x14ac:dyDescent="0.35">
      <c r="A108" s="1">
        <v>44698</v>
      </c>
      <c r="B108" t="s">
        <v>80</v>
      </c>
      <c r="C108" t="s">
        <v>81</v>
      </c>
      <c r="D108" t="s">
        <v>82</v>
      </c>
      <c r="E108">
        <v>294</v>
      </c>
      <c r="F108">
        <v>2.5</v>
      </c>
      <c r="G108">
        <f t="shared" si="3"/>
        <v>735</v>
      </c>
      <c r="H108">
        <v>1.5</v>
      </c>
      <c r="I108">
        <f t="shared" si="4"/>
        <v>441</v>
      </c>
      <c r="J108">
        <f t="shared" si="5"/>
        <v>294</v>
      </c>
      <c r="K108" t="s">
        <v>24</v>
      </c>
      <c r="L108" t="s">
        <v>73</v>
      </c>
      <c r="M108" t="s">
        <v>37</v>
      </c>
      <c r="N108" t="s">
        <v>38</v>
      </c>
      <c r="O108">
        <v>604</v>
      </c>
      <c r="P108">
        <v>294</v>
      </c>
      <c r="Q108" t="s">
        <v>74</v>
      </c>
      <c r="R108" t="s">
        <v>75</v>
      </c>
      <c r="S108" t="s">
        <v>76</v>
      </c>
      <c r="T108">
        <v>2021</v>
      </c>
      <c r="U108" t="s">
        <v>97</v>
      </c>
    </row>
    <row r="109" spans="1:21" x14ac:dyDescent="0.35">
      <c r="A109" s="1">
        <v>44699</v>
      </c>
      <c r="B109" t="s">
        <v>98</v>
      </c>
      <c r="C109" t="s">
        <v>99</v>
      </c>
      <c r="D109" t="s">
        <v>100</v>
      </c>
      <c r="E109">
        <v>230</v>
      </c>
      <c r="F109">
        <v>6</v>
      </c>
      <c r="G109">
        <f t="shared" si="3"/>
        <v>1380</v>
      </c>
      <c r="H109">
        <v>4</v>
      </c>
      <c r="I109">
        <f t="shared" si="4"/>
        <v>920</v>
      </c>
      <c r="J109">
        <f t="shared" si="5"/>
        <v>460</v>
      </c>
      <c r="K109" t="s">
        <v>42</v>
      </c>
      <c r="L109" t="s">
        <v>63</v>
      </c>
      <c r="M109" t="s">
        <v>61</v>
      </c>
      <c r="N109" t="s">
        <v>38</v>
      </c>
      <c r="O109">
        <v>858</v>
      </c>
      <c r="P109">
        <v>230</v>
      </c>
      <c r="Q109" t="s">
        <v>87</v>
      </c>
      <c r="R109" t="s">
        <v>88</v>
      </c>
      <c r="S109" t="s">
        <v>89</v>
      </c>
      <c r="T109">
        <v>2020</v>
      </c>
      <c r="U109" t="s">
        <v>53</v>
      </c>
    </row>
    <row r="110" spans="1:21" x14ac:dyDescent="0.35">
      <c r="A110" s="1">
        <v>44700</v>
      </c>
      <c r="B110" t="s">
        <v>32</v>
      </c>
      <c r="C110" t="s">
        <v>33</v>
      </c>
      <c r="D110" t="s">
        <v>34</v>
      </c>
      <c r="E110">
        <v>146</v>
      </c>
      <c r="F110">
        <v>20</v>
      </c>
      <c r="G110">
        <f t="shared" si="3"/>
        <v>2920</v>
      </c>
      <c r="H110">
        <v>12</v>
      </c>
      <c r="I110">
        <f t="shared" si="4"/>
        <v>1752</v>
      </c>
      <c r="J110">
        <f t="shared" si="5"/>
        <v>1168</v>
      </c>
      <c r="K110" t="s">
        <v>35</v>
      </c>
      <c r="L110" t="s">
        <v>63</v>
      </c>
      <c r="M110" t="s">
        <v>26</v>
      </c>
      <c r="N110" t="s">
        <v>38</v>
      </c>
      <c r="O110">
        <v>586</v>
      </c>
      <c r="P110">
        <v>146</v>
      </c>
      <c r="Q110" t="s">
        <v>44</v>
      </c>
      <c r="R110" t="s">
        <v>45</v>
      </c>
      <c r="S110" t="s">
        <v>46</v>
      </c>
      <c r="T110">
        <v>2022</v>
      </c>
      <c r="U110" t="s">
        <v>86</v>
      </c>
    </row>
    <row r="111" spans="1:21" x14ac:dyDescent="0.35">
      <c r="A111" s="1">
        <v>44701</v>
      </c>
      <c r="B111" t="s">
        <v>58</v>
      </c>
      <c r="C111" t="s">
        <v>59</v>
      </c>
      <c r="D111" t="s">
        <v>60</v>
      </c>
      <c r="E111">
        <v>374</v>
      </c>
      <c r="F111">
        <v>5</v>
      </c>
      <c r="G111">
        <f t="shared" si="3"/>
        <v>1870</v>
      </c>
      <c r="H111">
        <v>3</v>
      </c>
      <c r="I111">
        <f t="shared" si="4"/>
        <v>1122</v>
      </c>
      <c r="J111">
        <f t="shared" si="5"/>
        <v>748</v>
      </c>
      <c r="K111" t="s">
        <v>35</v>
      </c>
      <c r="L111" t="s">
        <v>63</v>
      </c>
      <c r="M111" t="s">
        <v>37</v>
      </c>
      <c r="N111" t="s">
        <v>27</v>
      </c>
      <c r="O111">
        <v>607</v>
      </c>
      <c r="P111">
        <v>374</v>
      </c>
      <c r="Q111" t="s">
        <v>94</v>
      </c>
      <c r="R111" t="s">
        <v>75</v>
      </c>
      <c r="S111" t="s">
        <v>95</v>
      </c>
      <c r="T111">
        <v>2024</v>
      </c>
      <c r="U111" t="s">
        <v>86</v>
      </c>
    </row>
    <row r="112" spans="1:21" x14ac:dyDescent="0.35">
      <c r="A112" s="1">
        <v>44702</v>
      </c>
      <c r="B112" t="s">
        <v>21</v>
      </c>
      <c r="C112" t="s">
        <v>22</v>
      </c>
      <c r="D112" t="s">
        <v>23</v>
      </c>
      <c r="E112">
        <v>476</v>
      </c>
      <c r="F112">
        <v>8</v>
      </c>
      <c r="G112">
        <f t="shared" si="3"/>
        <v>3808</v>
      </c>
      <c r="H112">
        <v>5</v>
      </c>
      <c r="I112">
        <f t="shared" si="4"/>
        <v>2380</v>
      </c>
      <c r="J112">
        <f t="shared" si="5"/>
        <v>1428</v>
      </c>
      <c r="K112" t="s">
        <v>42</v>
      </c>
      <c r="L112" t="s">
        <v>63</v>
      </c>
      <c r="M112" t="s">
        <v>61</v>
      </c>
      <c r="N112" t="s">
        <v>38</v>
      </c>
      <c r="O112">
        <v>755</v>
      </c>
      <c r="P112">
        <v>476</v>
      </c>
      <c r="Q112" t="s">
        <v>83</v>
      </c>
      <c r="R112" t="s">
        <v>84</v>
      </c>
      <c r="S112" t="s">
        <v>85</v>
      </c>
      <c r="T112">
        <v>2024</v>
      </c>
      <c r="U112" t="s">
        <v>86</v>
      </c>
    </row>
    <row r="113" spans="1:21" x14ac:dyDescent="0.35">
      <c r="A113" s="1">
        <v>44703</v>
      </c>
      <c r="B113" t="s">
        <v>48</v>
      </c>
      <c r="C113" t="s">
        <v>49</v>
      </c>
      <c r="D113" t="s">
        <v>50</v>
      </c>
      <c r="E113">
        <v>152</v>
      </c>
      <c r="F113">
        <v>150</v>
      </c>
      <c r="G113">
        <f t="shared" si="3"/>
        <v>22800</v>
      </c>
      <c r="H113">
        <v>100</v>
      </c>
      <c r="I113">
        <f t="shared" si="4"/>
        <v>15200</v>
      </c>
      <c r="J113">
        <f t="shared" si="5"/>
        <v>7600</v>
      </c>
      <c r="K113" t="s">
        <v>24</v>
      </c>
      <c r="L113" t="s">
        <v>63</v>
      </c>
      <c r="M113" t="s">
        <v>26</v>
      </c>
      <c r="N113" t="s">
        <v>27</v>
      </c>
      <c r="O113">
        <v>601</v>
      </c>
      <c r="P113">
        <v>152</v>
      </c>
      <c r="Q113" t="s">
        <v>67</v>
      </c>
      <c r="R113" t="s">
        <v>68</v>
      </c>
      <c r="S113" t="s">
        <v>69</v>
      </c>
      <c r="T113">
        <v>2022</v>
      </c>
      <c r="U113" t="s">
        <v>53</v>
      </c>
    </row>
    <row r="114" spans="1:21" x14ac:dyDescent="0.35">
      <c r="A114" s="1">
        <v>44704</v>
      </c>
      <c r="B114" t="s">
        <v>58</v>
      </c>
      <c r="C114" t="s">
        <v>59</v>
      </c>
      <c r="D114" t="s">
        <v>60</v>
      </c>
      <c r="E114">
        <v>377</v>
      </c>
      <c r="F114">
        <v>5</v>
      </c>
      <c r="G114">
        <f t="shared" si="3"/>
        <v>1885</v>
      </c>
      <c r="H114">
        <v>3</v>
      </c>
      <c r="I114">
        <f t="shared" si="4"/>
        <v>1131</v>
      </c>
      <c r="J114">
        <f t="shared" si="5"/>
        <v>754</v>
      </c>
      <c r="K114" t="s">
        <v>24</v>
      </c>
      <c r="L114" t="s">
        <v>25</v>
      </c>
      <c r="M114" t="s">
        <v>26</v>
      </c>
      <c r="N114" t="s">
        <v>38</v>
      </c>
      <c r="O114">
        <v>767</v>
      </c>
      <c r="P114">
        <v>377</v>
      </c>
      <c r="Q114" t="s">
        <v>90</v>
      </c>
      <c r="R114" t="s">
        <v>55</v>
      </c>
      <c r="S114" t="s">
        <v>85</v>
      </c>
      <c r="T114">
        <v>2020</v>
      </c>
      <c r="U114" t="s">
        <v>57</v>
      </c>
    </row>
    <row r="115" spans="1:21" x14ac:dyDescent="0.35">
      <c r="A115" s="1">
        <v>44705</v>
      </c>
      <c r="B115" t="s">
        <v>58</v>
      </c>
      <c r="C115" t="s">
        <v>59</v>
      </c>
      <c r="D115" t="s">
        <v>60</v>
      </c>
      <c r="E115">
        <v>58</v>
      </c>
      <c r="F115">
        <v>5</v>
      </c>
      <c r="G115">
        <f t="shared" si="3"/>
        <v>290</v>
      </c>
      <c r="H115">
        <v>3</v>
      </c>
      <c r="I115">
        <f t="shared" si="4"/>
        <v>174</v>
      </c>
      <c r="J115">
        <f t="shared" si="5"/>
        <v>116</v>
      </c>
      <c r="K115" t="s">
        <v>42</v>
      </c>
      <c r="L115" t="s">
        <v>36</v>
      </c>
      <c r="M115" t="s">
        <v>37</v>
      </c>
      <c r="N115" t="s">
        <v>38</v>
      </c>
      <c r="O115">
        <v>970</v>
      </c>
      <c r="P115">
        <v>58</v>
      </c>
      <c r="Q115" t="s">
        <v>113</v>
      </c>
      <c r="R115" t="s">
        <v>114</v>
      </c>
      <c r="S115" t="s">
        <v>115</v>
      </c>
      <c r="T115">
        <v>2024</v>
      </c>
      <c r="U115" t="s">
        <v>105</v>
      </c>
    </row>
    <row r="116" spans="1:21" x14ac:dyDescent="0.35">
      <c r="A116" s="1">
        <v>44706</v>
      </c>
      <c r="B116" t="s">
        <v>48</v>
      </c>
      <c r="C116" t="s">
        <v>49</v>
      </c>
      <c r="D116" t="s">
        <v>50</v>
      </c>
      <c r="E116">
        <v>57</v>
      </c>
      <c r="F116">
        <v>150</v>
      </c>
      <c r="G116">
        <f t="shared" si="3"/>
        <v>8550</v>
      </c>
      <c r="H116">
        <v>100</v>
      </c>
      <c r="I116">
        <f t="shared" si="4"/>
        <v>5700</v>
      </c>
      <c r="J116">
        <f t="shared" si="5"/>
        <v>2850</v>
      </c>
      <c r="K116" t="s">
        <v>42</v>
      </c>
      <c r="L116" t="s">
        <v>63</v>
      </c>
      <c r="M116" t="s">
        <v>61</v>
      </c>
      <c r="N116" t="s">
        <v>27</v>
      </c>
      <c r="O116">
        <v>716</v>
      </c>
      <c r="P116">
        <v>57</v>
      </c>
      <c r="Q116" t="s">
        <v>106</v>
      </c>
      <c r="R116" t="s">
        <v>107</v>
      </c>
      <c r="S116" t="s">
        <v>108</v>
      </c>
      <c r="T116">
        <v>2021</v>
      </c>
      <c r="U116" t="s">
        <v>86</v>
      </c>
    </row>
    <row r="117" spans="1:21" x14ac:dyDescent="0.35">
      <c r="A117" s="1">
        <v>44707</v>
      </c>
      <c r="B117" t="s">
        <v>21</v>
      </c>
      <c r="C117" t="s">
        <v>22</v>
      </c>
      <c r="D117" t="s">
        <v>23</v>
      </c>
      <c r="E117">
        <v>232</v>
      </c>
      <c r="F117">
        <v>8</v>
      </c>
      <c r="G117">
        <f t="shared" si="3"/>
        <v>1856</v>
      </c>
      <c r="H117">
        <v>5</v>
      </c>
      <c r="I117">
        <f t="shared" si="4"/>
        <v>1160</v>
      </c>
      <c r="J117">
        <f t="shared" si="5"/>
        <v>696</v>
      </c>
      <c r="K117" t="s">
        <v>35</v>
      </c>
      <c r="L117" t="s">
        <v>25</v>
      </c>
      <c r="M117" t="s">
        <v>61</v>
      </c>
      <c r="N117" t="s">
        <v>27</v>
      </c>
      <c r="O117">
        <v>874</v>
      </c>
      <c r="P117">
        <v>232</v>
      </c>
      <c r="Q117" t="s">
        <v>90</v>
      </c>
      <c r="R117" t="s">
        <v>55</v>
      </c>
      <c r="S117" t="s">
        <v>85</v>
      </c>
      <c r="T117">
        <v>2020</v>
      </c>
      <c r="U117" t="s">
        <v>97</v>
      </c>
    </row>
    <row r="118" spans="1:21" x14ac:dyDescent="0.35">
      <c r="A118" s="1">
        <v>44708</v>
      </c>
      <c r="B118" t="s">
        <v>21</v>
      </c>
      <c r="C118" t="s">
        <v>22</v>
      </c>
      <c r="D118" t="s">
        <v>23</v>
      </c>
      <c r="E118">
        <v>317</v>
      </c>
      <c r="F118">
        <v>8</v>
      </c>
      <c r="G118">
        <f t="shared" si="3"/>
        <v>2536</v>
      </c>
      <c r="H118">
        <v>5</v>
      </c>
      <c r="I118">
        <f t="shared" si="4"/>
        <v>1585</v>
      </c>
      <c r="J118">
        <f t="shared" si="5"/>
        <v>951</v>
      </c>
      <c r="K118" t="s">
        <v>24</v>
      </c>
      <c r="L118" t="s">
        <v>36</v>
      </c>
      <c r="M118" t="s">
        <v>37</v>
      </c>
      <c r="N118" t="s">
        <v>43</v>
      </c>
      <c r="O118">
        <v>723</v>
      </c>
      <c r="P118">
        <v>317</v>
      </c>
      <c r="Q118" t="s">
        <v>103</v>
      </c>
      <c r="R118" t="s">
        <v>68</v>
      </c>
      <c r="S118" t="s">
        <v>104</v>
      </c>
      <c r="T118">
        <v>2022</v>
      </c>
      <c r="U118" t="s">
        <v>57</v>
      </c>
    </row>
    <row r="119" spans="1:21" x14ac:dyDescent="0.35">
      <c r="A119" s="1">
        <v>44709</v>
      </c>
      <c r="B119" t="s">
        <v>32</v>
      </c>
      <c r="C119" t="s">
        <v>33</v>
      </c>
      <c r="D119" t="s">
        <v>34</v>
      </c>
      <c r="E119">
        <v>33</v>
      </c>
      <c r="F119">
        <v>20</v>
      </c>
      <c r="G119">
        <f t="shared" si="3"/>
        <v>660</v>
      </c>
      <c r="H119">
        <v>12</v>
      </c>
      <c r="I119">
        <f t="shared" si="4"/>
        <v>396</v>
      </c>
      <c r="J119">
        <f t="shared" si="5"/>
        <v>264</v>
      </c>
      <c r="K119" t="s">
        <v>35</v>
      </c>
      <c r="L119" t="s">
        <v>73</v>
      </c>
      <c r="M119" t="s">
        <v>37</v>
      </c>
      <c r="N119" t="s">
        <v>43</v>
      </c>
      <c r="O119">
        <v>888</v>
      </c>
      <c r="P119">
        <v>33</v>
      </c>
      <c r="Q119" t="s">
        <v>83</v>
      </c>
      <c r="R119" t="s">
        <v>84</v>
      </c>
      <c r="S119" t="s">
        <v>85</v>
      </c>
      <c r="T119">
        <v>2023</v>
      </c>
      <c r="U119" t="s">
        <v>57</v>
      </c>
    </row>
    <row r="120" spans="1:21" x14ac:dyDescent="0.35">
      <c r="A120" s="1">
        <v>44710</v>
      </c>
      <c r="B120" t="s">
        <v>80</v>
      </c>
      <c r="C120" t="s">
        <v>81</v>
      </c>
      <c r="D120" t="s">
        <v>82</v>
      </c>
      <c r="E120">
        <v>104</v>
      </c>
      <c r="F120">
        <v>2.5</v>
      </c>
      <c r="G120">
        <f t="shared" si="3"/>
        <v>260</v>
      </c>
      <c r="H120">
        <v>1.5</v>
      </c>
      <c r="I120">
        <f t="shared" si="4"/>
        <v>156</v>
      </c>
      <c r="J120">
        <f t="shared" si="5"/>
        <v>104</v>
      </c>
      <c r="K120" t="s">
        <v>42</v>
      </c>
      <c r="L120" t="s">
        <v>25</v>
      </c>
      <c r="M120" t="s">
        <v>37</v>
      </c>
      <c r="N120" t="s">
        <v>38</v>
      </c>
      <c r="O120">
        <v>940</v>
      </c>
      <c r="P120">
        <v>104</v>
      </c>
      <c r="Q120" t="s">
        <v>28</v>
      </c>
      <c r="R120" t="s">
        <v>29</v>
      </c>
      <c r="S120" t="s">
        <v>30</v>
      </c>
      <c r="T120">
        <v>2021</v>
      </c>
      <c r="U120" t="s">
        <v>47</v>
      </c>
    </row>
    <row r="121" spans="1:21" x14ac:dyDescent="0.35">
      <c r="A121" s="1">
        <v>44711</v>
      </c>
      <c r="B121" t="s">
        <v>21</v>
      </c>
      <c r="C121" t="s">
        <v>22</v>
      </c>
      <c r="D121" t="s">
        <v>23</v>
      </c>
      <c r="E121">
        <v>128</v>
      </c>
      <c r="F121">
        <v>8</v>
      </c>
      <c r="G121">
        <f t="shared" si="3"/>
        <v>1024</v>
      </c>
      <c r="H121">
        <v>5</v>
      </c>
      <c r="I121">
        <f t="shared" si="4"/>
        <v>640</v>
      </c>
      <c r="J121">
        <f t="shared" si="5"/>
        <v>384</v>
      </c>
      <c r="K121" t="s">
        <v>24</v>
      </c>
      <c r="L121" t="s">
        <v>73</v>
      </c>
      <c r="M121" t="s">
        <v>61</v>
      </c>
      <c r="N121" t="s">
        <v>27</v>
      </c>
      <c r="O121">
        <v>891</v>
      </c>
      <c r="P121">
        <v>128</v>
      </c>
      <c r="Q121" t="s">
        <v>103</v>
      </c>
      <c r="R121" t="s">
        <v>68</v>
      </c>
      <c r="S121" t="s">
        <v>104</v>
      </c>
      <c r="T121">
        <v>2024</v>
      </c>
      <c r="U121" t="s">
        <v>53</v>
      </c>
    </row>
    <row r="122" spans="1:21" x14ac:dyDescent="0.35">
      <c r="A122" s="1">
        <v>44712</v>
      </c>
      <c r="B122" t="s">
        <v>32</v>
      </c>
      <c r="C122" t="s">
        <v>33</v>
      </c>
      <c r="D122" t="s">
        <v>34</v>
      </c>
      <c r="E122">
        <v>300</v>
      </c>
      <c r="F122">
        <v>20</v>
      </c>
      <c r="G122">
        <f t="shared" si="3"/>
        <v>6000</v>
      </c>
      <c r="H122">
        <v>12</v>
      </c>
      <c r="I122">
        <f t="shared" si="4"/>
        <v>3600</v>
      </c>
      <c r="J122">
        <f t="shared" si="5"/>
        <v>2400</v>
      </c>
      <c r="K122" t="s">
        <v>24</v>
      </c>
      <c r="L122" t="s">
        <v>73</v>
      </c>
      <c r="M122" t="s">
        <v>26</v>
      </c>
      <c r="N122" t="s">
        <v>43</v>
      </c>
      <c r="O122">
        <v>698</v>
      </c>
      <c r="P122">
        <v>300</v>
      </c>
      <c r="Q122" t="s">
        <v>77</v>
      </c>
      <c r="R122" t="s">
        <v>78</v>
      </c>
      <c r="S122" t="s">
        <v>79</v>
      </c>
      <c r="T122">
        <v>2024</v>
      </c>
      <c r="U122" t="s">
        <v>62</v>
      </c>
    </row>
    <row r="123" spans="1:21" x14ac:dyDescent="0.35">
      <c r="A123" s="1">
        <v>44713</v>
      </c>
      <c r="B123" t="s">
        <v>32</v>
      </c>
      <c r="C123" t="s">
        <v>33</v>
      </c>
      <c r="D123" t="s">
        <v>34</v>
      </c>
      <c r="E123">
        <v>356</v>
      </c>
      <c r="F123">
        <v>20</v>
      </c>
      <c r="G123">
        <f t="shared" si="3"/>
        <v>7120</v>
      </c>
      <c r="H123">
        <v>12</v>
      </c>
      <c r="I123">
        <f t="shared" si="4"/>
        <v>4272</v>
      </c>
      <c r="J123">
        <f t="shared" si="5"/>
        <v>2848</v>
      </c>
      <c r="K123" t="s">
        <v>35</v>
      </c>
      <c r="L123" t="s">
        <v>63</v>
      </c>
      <c r="M123" t="s">
        <v>37</v>
      </c>
      <c r="N123" t="s">
        <v>43</v>
      </c>
      <c r="O123">
        <v>951</v>
      </c>
      <c r="P123">
        <v>356</v>
      </c>
      <c r="Q123" t="s">
        <v>90</v>
      </c>
      <c r="R123" t="s">
        <v>55</v>
      </c>
      <c r="S123" t="s">
        <v>85</v>
      </c>
      <c r="T123">
        <v>2021</v>
      </c>
      <c r="U123" t="s">
        <v>109</v>
      </c>
    </row>
    <row r="124" spans="1:21" x14ac:dyDescent="0.35">
      <c r="A124" s="1">
        <v>44714</v>
      </c>
      <c r="B124" t="s">
        <v>58</v>
      </c>
      <c r="C124" t="s">
        <v>59</v>
      </c>
      <c r="D124" t="s">
        <v>60</v>
      </c>
      <c r="E124">
        <v>351</v>
      </c>
      <c r="F124">
        <v>5</v>
      </c>
      <c r="G124">
        <f t="shared" si="3"/>
        <v>1755</v>
      </c>
      <c r="H124">
        <v>3</v>
      </c>
      <c r="I124">
        <f t="shared" si="4"/>
        <v>1053</v>
      </c>
      <c r="J124">
        <f t="shared" si="5"/>
        <v>702</v>
      </c>
      <c r="K124" t="s">
        <v>24</v>
      </c>
      <c r="L124" t="s">
        <v>73</v>
      </c>
      <c r="M124" t="s">
        <v>26</v>
      </c>
      <c r="N124" t="s">
        <v>27</v>
      </c>
      <c r="O124">
        <v>933</v>
      </c>
      <c r="P124">
        <v>351</v>
      </c>
      <c r="Q124" t="s">
        <v>64</v>
      </c>
      <c r="R124" t="s">
        <v>29</v>
      </c>
      <c r="S124" t="s">
        <v>65</v>
      </c>
      <c r="T124">
        <v>2023</v>
      </c>
      <c r="U124" t="s">
        <v>66</v>
      </c>
    </row>
    <row r="125" spans="1:21" x14ac:dyDescent="0.35">
      <c r="A125" s="1">
        <v>44715</v>
      </c>
      <c r="B125" t="s">
        <v>21</v>
      </c>
      <c r="C125" t="s">
        <v>22</v>
      </c>
      <c r="D125" t="s">
        <v>23</v>
      </c>
      <c r="E125">
        <v>251</v>
      </c>
      <c r="F125">
        <v>8</v>
      </c>
      <c r="G125">
        <f t="shared" si="3"/>
        <v>2008</v>
      </c>
      <c r="H125">
        <v>5</v>
      </c>
      <c r="I125">
        <f t="shared" si="4"/>
        <v>1255</v>
      </c>
      <c r="J125">
        <f t="shared" si="5"/>
        <v>753</v>
      </c>
      <c r="K125" t="s">
        <v>24</v>
      </c>
      <c r="L125" t="s">
        <v>36</v>
      </c>
      <c r="M125" t="s">
        <v>26</v>
      </c>
      <c r="N125" t="s">
        <v>38</v>
      </c>
      <c r="O125">
        <v>586</v>
      </c>
      <c r="P125">
        <v>251</v>
      </c>
      <c r="Q125" t="s">
        <v>77</v>
      </c>
      <c r="R125" t="s">
        <v>78</v>
      </c>
      <c r="S125" t="s">
        <v>79</v>
      </c>
      <c r="T125">
        <v>2023</v>
      </c>
      <c r="U125" t="s">
        <v>96</v>
      </c>
    </row>
    <row r="126" spans="1:21" x14ac:dyDescent="0.35">
      <c r="A126" s="1">
        <v>44716</v>
      </c>
      <c r="B126" t="s">
        <v>98</v>
      </c>
      <c r="C126" t="s">
        <v>99</v>
      </c>
      <c r="D126" t="s">
        <v>100</v>
      </c>
      <c r="E126">
        <v>36</v>
      </c>
      <c r="F126">
        <v>6</v>
      </c>
      <c r="G126">
        <f t="shared" si="3"/>
        <v>216</v>
      </c>
      <c r="H126">
        <v>4</v>
      </c>
      <c r="I126">
        <f t="shared" si="4"/>
        <v>144</v>
      </c>
      <c r="J126">
        <f t="shared" si="5"/>
        <v>72</v>
      </c>
      <c r="K126" t="s">
        <v>42</v>
      </c>
      <c r="L126" t="s">
        <v>73</v>
      </c>
      <c r="M126" t="s">
        <v>37</v>
      </c>
      <c r="N126" t="s">
        <v>38</v>
      </c>
      <c r="O126">
        <v>568</v>
      </c>
      <c r="P126">
        <v>36</v>
      </c>
      <c r="Q126" t="s">
        <v>39</v>
      </c>
      <c r="R126" t="s">
        <v>40</v>
      </c>
      <c r="S126" t="s">
        <v>41</v>
      </c>
      <c r="T126">
        <v>2021</v>
      </c>
      <c r="U126" t="s">
        <v>105</v>
      </c>
    </row>
    <row r="127" spans="1:21" x14ac:dyDescent="0.35">
      <c r="A127" s="1">
        <v>44717</v>
      </c>
      <c r="B127" t="s">
        <v>58</v>
      </c>
      <c r="C127" t="s">
        <v>59</v>
      </c>
      <c r="D127" t="s">
        <v>60</v>
      </c>
      <c r="E127">
        <v>329</v>
      </c>
      <c r="F127">
        <v>5</v>
      </c>
      <c r="G127">
        <f t="shared" si="3"/>
        <v>1645</v>
      </c>
      <c r="H127">
        <v>3</v>
      </c>
      <c r="I127">
        <f t="shared" si="4"/>
        <v>987</v>
      </c>
      <c r="J127">
        <f t="shared" si="5"/>
        <v>658</v>
      </c>
      <c r="K127" t="s">
        <v>24</v>
      </c>
      <c r="L127" t="s">
        <v>25</v>
      </c>
      <c r="M127" t="s">
        <v>37</v>
      </c>
      <c r="N127" t="s">
        <v>38</v>
      </c>
      <c r="O127">
        <v>775</v>
      </c>
      <c r="P127">
        <v>329</v>
      </c>
      <c r="Q127" t="s">
        <v>110</v>
      </c>
      <c r="R127" t="s">
        <v>111</v>
      </c>
      <c r="S127" t="s">
        <v>112</v>
      </c>
      <c r="T127">
        <v>2022</v>
      </c>
      <c r="U127" t="s">
        <v>47</v>
      </c>
    </row>
    <row r="128" spans="1:21" x14ac:dyDescent="0.35">
      <c r="A128" s="1">
        <v>44718</v>
      </c>
      <c r="B128" t="s">
        <v>48</v>
      </c>
      <c r="C128" t="s">
        <v>49</v>
      </c>
      <c r="D128" t="s">
        <v>50</v>
      </c>
      <c r="E128">
        <v>281</v>
      </c>
      <c r="F128">
        <v>150</v>
      </c>
      <c r="G128">
        <f t="shared" si="3"/>
        <v>42150</v>
      </c>
      <c r="H128">
        <v>100</v>
      </c>
      <c r="I128">
        <f t="shared" si="4"/>
        <v>28100</v>
      </c>
      <c r="J128">
        <f t="shared" si="5"/>
        <v>14050</v>
      </c>
      <c r="K128" t="s">
        <v>42</v>
      </c>
      <c r="L128" t="s">
        <v>73</v>
      </c>
      <c r="M128" t="s">
        <v>61</v>
      </c>
      <c r="N128" t="s">
        <v>27</v>
      </c>
      <c r="O128">
        <v>548</v>
      </c>
      <c r="P128">
        <v>281</v>
      </c>
      <c r="Q128" t="s">
        <v>103</v>
      </c>
      <c r="R128" t="s">
        <v>68</v>
      </c>
      <c r="S128" t="s">
        <v>104</v>
      </c>
      <c r="T128">
        <v>2021</v>
      </c>
      <c r="U128" t="s">
        <v>53</v>
      </c>
    </row>
    <row r="129" spans="1:21" x14ac:dyDescent="0.35">
      <c r="A129" s="1">
        <v>44719</v>
      </c>
      <c r="B129" t="s">
        <v>48</v>
      </c>
      <c r="C129" t="s">
        <v>49</v>
      </c>
      <c r="D129" t="s">
        <v>50</v>
      </c>
      <c r="E129">
        <v>140</v>
      </c>
      <c r="F129">
        <v>150</v>
      </c>
      <c r="G129">
        <f t="shared" si="3"/>
        <v>21000</v>
      </c>
      <c r="H129">
        <v>100</v>
      </c>
      <c r="I129">
        <f t="shared" si="4"/>
        <v>14000</v>
      </c>
      <c r="J129">
        <f t="shared" si="5"/>
        <v>7000</v>
      </c>
      <c r="K129" t="s">
        <v>35</v>
      </c>
      <c r="L129" t="s">
        <v>73</v>
      </c>
      <c r="M129" t="s">
        <v>26</v>
      </c>
      <c r="N129" t="s">
        <v>38</v>
      </c>
      <c r="O129">
        <v>939</v>
      </c>
      <c r="P129">
        <v>140</v>
      </c>
      <c r="Q129" t="s">
        <v>64</v>
      </c>
      <c r="R129" t="s">
        <v>29</v>
      </c>
      <c r="S129" t="s">
        <v>65</v>
      </c>
      <c r="T129">
        <v>2022</v>
      </c>
      <c r="U129" t="s">
        <v>96</v>
      </c>
    </row>
    <row r="130" spans="1:21" x14ac:dyDescent="0.35">
      <c r="A130" s="1">
        <v>44720</v>
      </c>
      <c r="B130" t="s">
        <v>48</v>
      </c>
      <c r="C130" t="s">
        <v>49</v>
      </c>
      <c r="D130" t="s">
        <v>50</v>
      </c>
      <c r="E130">
        <v>138</v>
      </c>
      <c r="F130">
        <v>150</v>
      </c>
      <c r="G130">
        <f t="shared" si="3"/>
        <v>20700</v>
      </c>
      <c r="H130">
        <v>100</v>
      </c>
      <c r="I130">
        <f t="shared" si="4"/>
        <v>13800</v>
      </c>
      <c r="J130">
        <f t="shared" si="5"/>
        <v>6900</v>
      </c>
      <c r="K130" t="s">
        <v>42</v>
      </c>
      <c r="L130" t="s">
        <v>25</v>
      </c>
      <c r="M130" t="s">
        <v>61</v>
      </c>
      <c r="N130" t="s">
        <v>43</v>
      </c>
      <c r="O130">
        <v>621</v>
      </c>
      <c r="P130">
        <v>138</v>
      </c>
      <c r="Q130" t="s">
        <v>54</v>
      </c>
      <c r="R130" t="s">
        <v>55</v>
      </c>
      <c r="S130" t="s">
        <v>56</v>
      </c>
      <c r="T130">
        <v>2021</v>
      </c>
      <c r="U130" t="s">
        <v>66</v>
      </c>
    </row>
    <row r="131" spans="1:21" x14ac:dyDescent="0.35">
      <c r="A131" s="1">
        <v>44721</v>
      </c>
      <c r="B131" t="s">
        <v>98</v>
      </c>
      <c r="C131" t="s">
        <v>99</v>
      </c>
      <c r="D131" t="s">
        <v>100</v>
      </c>
      <c r="E131">
        <v>440</v>
      </c>
      <c r="F131">
        <v>6</v>
      </c>
      <c r="G131">
        <f t="shared" ref="G131:G194" si="6">E131*F131</f>
        <v>2640</v>
      </c>
      <c r="H131">
        <v>4</v>
      </c>
      <c r="I131">
        <f t="shared" ref="I131:I194" si="7">E131*H131</f>
        <v>1760</v>
      </c>
      <c r="J131">
        <f t="shared" ref="J131:J194" si="8">G131-I131</f>
        <v>880</v>
      </c>
      <c r="K131" t="s">
        <v>24</v>
      </c>
      <c r="L131" t="s">
        <v>25</v>
      </c>
      <c r="M131" t="s">
        <v>61</v>
      </c>
      <c r="N131" t="s">
        <v>38</v>
      </c>
      <c r="O131">
        <v>996</v>
      </c>
      <c r="P131">
        <v>440</v>
      </c>
      <c r="Q131" t="s">
        <v>83</v>
      </c>
      <c r="R131" t="s">
        <v>84</v>
      </c>
      <c r="S131" t="s">
        <v>85</v>
      </c>
      <c r="T131">
        <v>2020</v>
      </c>
      <c r="U131" t="s">
        <v>47</v>
      </c>
    </row>
    <row r="132" spans="1:21" x14ac:dyDescent="0.35">
      <c r="A132" s="1">
        <v>44722</v>
      </c>
      <c r="B132" t="s">
        <v>98</v>
      </c>
      <c r="C132" t="s">
        <v>99</v>
      </c>
      <c r="D132" t="s">
        <v>100</v>
      </c>
      <c r="E132">
        <v>266</v>
      </c>
      <c r="F132">
        <v>6</v>
      </c>
      <c r="G132">
        <f t="shared" si="6"/>
        <v>1596</v>
      </c>
      <c r="H132">
        <v>4</v>
      </c>
      <c r="I132">
        <f t="shared" si="7"/>
        <v>1064</v>
      </c>
      <c r="J132">
        <f t="shared" si="8"/>
        <v>532</v>
      </c>
      <c r="K132" t="s">
        <v>42</v>
      </c>
      <c r="L132" t="s">
        <v>63</v>
      </c>
      <c r="M132" t="s">
        <v>26</v>
      </c>
      <c r="N132" t="s">
        <v>38</v>
      </c>
      <c r="O132">
        <v>862</v>
      </c>
      <c r="P132">
        <v>266</v>
      </c>
      <c r="Q132" t="s">
        <v>74</v>
      </c>
      <c r="R132" t="s">
        <v>75</v>
      </c>
      <c r="S132" t="s">
        <v>76</v>
      </c>
      <c r="T132">
        <v>2022</v>
      </c>
      <c r="U132" t="s">
        <v>96</v>
      </c>
    </row>
    <row r="133" spans="1:21" x14ac:dyDescent="0.35">
      <c r="A133" s="1">
        <v>44723</v>
      </c>
      <c r="B133" t="s">
        <v>21</v>
      </c>
      <c r="C133" t="s">
        <v>22</v>
      </c>
      <c r="D133" t="s">
        <v>23</v>
      </c>
      <c r="E133">
        <v>257</v>
      </c>
      <c r="F133">
        <v>8</v>
      </c>
      <c r="G133">
        <f t="shared" si="6"/>
        <v>2056</v>
      </c>
      <c r="H133">
        <v>5</v>
      </c>
      <c r="I133">
        <f t="shared" si="7"/>
        <v>1285</v>
      </c>
      <c r="J133">
        <f t="shared" si="8"/>
        <v>771</v>
      </c>
      <c r="K133" t="s">
        <v>35</v>
      </c>
      <c r="L133" t="s">
        <v>63</v>
      </c>
      <c r="M133" t="s">
        <v>37</v>
      </c>
      <c r="N133" t="s">
        <v>38</v>
      </c>
      <c r="O133">
        <v>974</v>
      </c>
      <c r="P133">
        <v>257</v>
      </c>
      <c r="Q133" t="s">
        <v>64</v>
      </c>
      <c r="R133" t="s">
        <v>29</v>
      </c>
      <c r="S133" t="s">
        <v>65</v>
      </c>
      <c r="T133">
        <v>2024</v>
      </c>
      <c r="U133" t="s">
        <v>53</v>
      </c>
    </row>
    <row r="134" spans="1:21" x14ac:dyDescent="0.35">
      <c r="A134" s="1">
        <v>44724</v>
      </c>
      <c r="B134" t="s">
        <v>98</v>
      </c>
      <c r="C134" t="s">
        <v>99</v>
      </c>
      <c r="D134" t="s">
        <v>100</v>
      </c>
      <c r="E134">
        <v>81</v>
      </c>
      <c r="F134">
        <v>6</v>
      </c>
      <c r="G134">
        <f t="shared" si="6"/>
        <v>486</v>
      </c>
      <c r="H134">
        <v>4</v>
      </c>
      <c r="I134">
        <f t="shared" si="7"/>
        <v>324</v>
      </c>
      <c r="J134">
        <f t="shared" si="8"/>
        <v>162</v>
      </c>
      <c r="K134" t="s">
        <v>24</v>
      </c>
      <c r="L134" t="s">
        <v>63</v>
      </c>
      <c r="M134" t="s">
        <v>61</v>
      </c>
      <c r="N134" t="s">
        <v>27</v>
      </c>
      <c r="O134">
        <v>934</v>
      </c>
      <c r="P134">
        <v>81</v>
      </c>
      <c r="Q134" t="s">
        <v>92</v>
      </c>
      <c r="R134" t="s">
        <v>45</v>
      </c>
      <c r="S134" t="s">
        <v>93</v>
      </c>
      <c r="T134">
        <v>2022</v>
      </c>
      <c r="U134" t="s">
        <v>62</v>
      </c>
    </row>
    <row r="135" spans="1:21" x14ac:dyDescent="0.35">
      <c r="A135" s="1">
        <v>44725</v>
      </c>
      <c r="B135" t="s">
        <v>80</v>
      </c>
      <c r="C135" t="s">
        <v>81</v>
      </c>
      <c r="D135" t="s">
        <v>82</v>
      </c>
      <c r="E135">
        <v>22</v>
      </c>
      <c r="F135">
        <v>2.5</v>
      </c>
      <c r="G135">
        <f t="shared" si="6"/>
        <v>55</v>
      </c>
      <c r="H135">
        <v>1.5</v>
      </c>
      <c r="I135">
        <f t="shared" si="7"/>
        <v>33</v>
      </c>
      <c r="J135">
        <f t="shared" si="8"/>
        <v>22</v>
      </c>
      <c r="K135" t="s">
        <v>42</v>
      </c>
      <c r="L135" t="s">
        <v>73</v>
      </c>
      <c r="M135" t="s">
        <v>26</v>
      </c>
      <c r="N135" t="s">
        <v>43</v>
      </c>
      <c r="O135">
        <v>507</v>
      </c>
      <c r="P135">
        <v>22</v>
      </c>
      <c r="Q135" t="s">
        <v>106</v>
      </c>
      <c r="R135" t="s">
        <v>107</v>
      </c>
      <c r="S135" t="s">
        <v>108</v>
      </c>
      <c r="T135">
        <v>2022</v>
      </c>
      <c r="U135" t="s">
        <v>53</v>
      </c>
    </row>
    <row r="136" spans="1:21" x14ac:dyDescent="0.35">
      <c r="A136" s="1">
        <v>44726</v>
      </c>
      <c r="B136" t="s">
        <v>48</v>
      </c>
      <c r="C136" t="s">
        <v>49</v>
      </c>
      <c r="D136" t="s">
        <v>50</v>
      </c>
      <c r="E136">
        <v>156</v>
      </c>
      <c r="F136">
        <v>150</v>
      </c>
      <c r="G136">
        <f t="shared" si="6"/>
        <v>23400</v>
      </c>
      <c r="H136">
        <v>100</v>
      </c>
      <c r="I136">
        <f t="shared" si="7"/>
        <v>15600</v>
      </c>
      <c r="J136">
        <f t="shared" si="8"/>
        <v>7800</v>
      </c>
      <c r="K136" t="s">
        <v>35</v>
      </c>
      <c r="L136" t="s">
        <v>25</v>
      </c>
      <c r="M136" t="s">
        <v>26</v>
      </c>
      <c r="N136" t="s">
        <v>27</v>
      </c>
      <c r="O136">
        <v>998</v>
      </c>
      <c r="P136">
        <v>156</v>
      </c>
      <c r="Q136" t="s">
        <v>70</v>
      </c>
      <c r="R136" t="s">
        <v>71</v>
      </c>
      <c r="S136" t="s">
        <v>72</v>
      </c>
      <c r="T136">
        <v>2024</v>
      </c>
      <c r="U136" t="s">
        <v>86</v>
      </c>
    </row>
    <row r="137" spans="1:21" x14ac:dyDescent="0.35">
      <c r="A137" s="1">
        <v>44727</v>
      </c>
      <c r="B137" t="s">
        <v>98</v>
      </c>
      <c r="C137" t="s">
        <v>99</v>
      </c>
      <c r="D137" t="s">
        <v>100</v>
      </c>
      <c r="E137">
        <v>430</v>
      </c>
      <c r="F137">
        <v>6</v>
      </c>
      <c r="G137">
        <f t="shared" si="6"/>
        <v>2580</v>
      </c>
      <c r="H137">
        <v>4</v>
      </c>
      <c r="I137">
        <f t="shared" si="7"/>
        <v>1720</v>
      </c>
      <c r="J137">
        <f t="shared" si="8"/>
        <v>860</v>
      </c>
      <c r="K137" t="s">
        <v>24</v>
      </c>
      <c r="L137" t="s">
        <v>25</v>
      </c>
      <c r="M137" t="s">
        <v>61</v>
      </c>
      <c r="N137" t="s">
        <v>43</v>
      </c>
      <c r="O137">
        <v>965</v>
      </c>
      <c r="P137">
        <v>430</v>
      </c>
      <c r="Q137" t="s">
        <v>74</v>
      </c>
      <c r="R137" t="s">
        <v>75</v>
      </c>
      <c r="S137" t="s">
        <v>76</v>
      </c>
      <c r="T137">
        <v>2021</v>
      </c>
      <c r="U137" t="s">
        <v>47</v>
      </c>
    </row>
    <row r="138" spans="1:21" x14ac:dyDescent="0.35">
      <c r="A138" s="1">
        <v>44728</v>
      </c>
      <c r="B138" t="s">
        <v>58</v>
      </c>
      <c r="C138" t="s">
        <v>59</v>
      </c>
      <c r="D138" t="s">
        <v>60</v>
      </c>
      <c r="E138">
        <v>91</v>
      </c>
      <c r="F138">
        <v>5</v>
      </c>
      <c r="G138">
        <f t="shared" si="6"/>
        <v>455</v>
      </c>
      <c r="H138">
        <v>3</v>
      </c>
      <c r="I138">
        <f t="shared" si="7"/>
        <v>273</v>
      </c>
      <c r="J138">
        <f t="shared" si="8"/>
        <v>182</v>
      </c>
      <c r="K138" t="s">
        <v>35</v>
      </c>
      <c r="L138" t="s">
        <v>73</v>
      </c>
      <c r="M138" t="s">
        <v>61</v>
      </c>
      <c r="N138" t="s">
        <v>38</v>
      </c>
      <c r="O138">
        <v>899</v>
      </c>
      <c r="P138">
        <v>91</v>
      </c>
      <c r="Q138" t="s">
        <v>39</v>
      </c>
      <c r="R138" t="s">
        <v>40</v>
      </c>
      <c r="S138" t="s">
        <v>41</v>
      </c>
      <c r="T138">
        <v>2022</v>
      </c>
      <c r="U138" t="s">
        <v>105</v>
      </c>
    </row>
    <row r="139" spans="1:21" x14ac:dyDescent="0.35">
      <c r="A139" s="1">
        <v>44729</v>
      </c>
      <c r="B139" t="s">
        <v>21</v>
      </c>
      <c r="C139" t="s">
        <v>22</v>
      </c>
      <c r="D139" t="s">
        <v>23</v>
      </c>
      <c r="E139">
        <v>114</v>
      </c>
      <c r="F139">
        <v>8</v>
      </c>
      <c r="G139">
        <f t="shared" si="6"/>
        <v>912</v>
      </c>
      <c r="H139">
        <v>5</v>
      </c>
      <c r="I139">
        <f t="shared" si="7"/>
        <v>570</v>
      </c>
      <c r="J139">
        <f t="shared" si="8"/>
        <v>342</v>
      </c>
      <c r="K139" t="s">
        <v>24</v>
      </c>
      <c r="L139" t="s">
        <v>25</v>
      </c>
      <c r="M139" t="s">
        <v>37</v>
      </c>
      <c r="N139" t="s">
        <v>38</v>
      </c>
      <c r="O139">
        <v>970</v>
      </c>
      <c r="P139">
        <v>114</v>
      </c>
      <c r="Q139" t="s">
        <v>110</v>
      </c>
      <c r="R139" t="s">
        <v>111</v>
      </c>
      <c r="S139" t="s">
        <v>112</v>
      </c>
      <c r="T139">
        <v>2020</v>
      </c>
      <c r="U139" t="s">
        <v>86</v>
      </c>
    </row>
    <row r="140" spans="1:21" x14ac:dyDescent="0.35">
      <c r="A140" s="1">
        <v>44730</v>
      </c>
      <c r="B140" t="s">
        <v>32</v>
      </c>
      <c r="C140" t="s">
        <v>33</v>
      </c>
      <c r="D140" t="s">
        <v>34</v>
      </c>
      <c r="E140">
        <v>216</v>
      </c>
      <c r="F140">
        <v>20</v>
      </c>
      <c r="G140">
        <f t="shared" si="6"/>
        <v>4320</v>
      </c>
      <c r="H140">
        <v>12</v>
      </c>
      <c r="I140">
        <f t="shared" si="7"/>
        <v>2592</v>
      </c>
      <c r="J140">
        <f t="shared" si="8"/>
        <v>1728</v>
      </c>
      <c r="K140" t="s">
        <v>35</v>
      </c>
      <c r="L140" t="s">
        <v>73</v>
      </c>
      <c r="M140" t="s">
        <v>61</v>
      </c>
      <c r="N140" t="s">
        <v>43</v>
      </c>
      <c r="O140">
        <v>871</v>
      </c>
      <c r="P140">
        <v>216</v>
      </c>
      <c r="Q140" t="s">
        <v>110</v>
      </c>
      <c r="R140" t="s">
        <v>111</v>
      </c>
      <c r="S140" t="s">
        <v>112</v>
      </c>
      <c r="T140">
        <v>2022</v>
      </c>
      <c r="U140" t="s">
        <v>109</v>
      </c>
    </row>
    <row r="141" spans="1:21" x14ac:dyDescent="0.35">
      <c r="A141" s="1">
        <v>44731</v>
      </c>
      <c r="B141" t="s">
        <v>21</v>
      </c>
      <c r="C141" t="s">
        <v>22</v>
      </c>
      <c r="D141" t="s">
        <v>23</v>
      </c>
      <c r="E141">
        <v>436</v>
      </c>
      <c r="F141">
        <v>8</v>
      </c>
      <c r="G141">
        <f t="shared" si="6"/>
        <v>3488</v>
      </c>
      <c r="H141">
        <v>5</v>
      </c>
      <c r="I141">
        <f t="shared" si="7"/>
        <v>2180</v>
      </c>
      <c r="J141">
        <f t="shared" si="8"/>
        <v>1308</v>
      </c>
      <c r="K141" t="s">
        <v>35</v>
      </c>
      <c r="L141" t="s">
        <v>73</v>
      </c>
      <c r="M141" t="s">
        <v>37</v>
      </c>
      <c r="N141" t="s">
        <v>27</v>
      </c>
      <c r="O141">
        <v>506</v>
      </c>
      <c r="P141">
        <v>436</v>
      </c>
      <c r="Q141" t="s">
        <v>87</v>
      </c>
      <c r="R141" t="s">
        <v>88</v>
      </c>
      <c r="S141" t="s">
        <v>89</v>
      </c>
      <c r="T141">
        <v>2022</v>
      </c>
      <c r="U141" t="s">
        <v>66</v>
      </c>
    </row>
    <row r="142" spans="1:21" x14ac:dyDescent="0.35">
      <c r="A142" s="1">
        <v>44732</v>
      </c>
      <c r="B142" t="s">
        <v>21</v>
      </c>
      <c r="C142" t="s">
        <v>22</v>
      </c>
      <c r="D142" t="s">
        <v>23</v>
      </c>
      <c r="E142">
        <v>87</v>
      </c>
      <c r="F142">
        <v>8</v>
      </c>
      <c r="G142">
        <f t="shared" si="6"/>
        <v>696</v>
      </c>
      <c r="H142">
        <v>5</v>
      </c>
      <c r="I142">
        <f t="shared" si="7"/>
        <v>435</v>
      </c>
      <c r="J142">
        <f t="shared" si="8"/>
        <v>261</v>
      </c>
      <c r="K142" t="s">
        <v>35</v>
      </c>
      <c r="L142" t="s">
        <v>63</v>
      </c>
      <c r="M142" t="s">
        <v>61</v>
      </c>
      <c r="N142" t="s">
        <v>27</v>
      </c>
      <c r="O142">
        <v>978</v>
      </c>
      <c r="P142">
        <v>87</v>
      </c>
      <c r="Q142" t="s">
        <v>92</v>
      </c>
      <c r="R142" t="s">
        <v>45</v>
      </c>
      <c r="S142" t="s">
        <v>93</v>
      </c>
      <c r="T142">
        <v>2024</v>
      </c>
      <c r="U142" t="s">
        <v>66</v>
      </c>
    </row>
    <row r="143" spans="1:21" x14ac:dyDescent="0.35">
      <c r="A143" s="1">
        <v>44733</v>
      </c>
      <c r="B143" t="s">
        <v>48</v>
      </c>
      <c r="C143" t="s">
        <v>49</v>
      </c>
      <c r="D143" t="s">
        <v>50</v>
      </c>
      <c r="E143">
        <v>348</v>
      </c>
      <c r="F143">
        <v>150</v>
      </c>
      <c r="G143">
        <f t="shared" si="6"/>
        <v>52200</v>
      </c>
      <c r="H143">
        <v>100</v>
      </c>
      <c r="I143">
        <f t="shared" si="7"/>
        <v>34800</v>
      </c>
      <c r="J143">
        <f t="shared" si="8"/>
        <v>17400</v>
      </c>
      <c r="K143" t="s">
        <v>42</v>
      </c>
      <c r="L143" t="s">
        <v>36</v>
      </c>
      <c r="M143" t="s">
        <v>26</v>
      </c>
      <c r="N143" t="s">
        <v>27</v>
      </c>
      <c r="O143">
        <v>970</v>
      </c>
      <c r="P143">
        <v>348</v>
      </c>
      <c r="Q143" t="s">
        <v>51</v>
      </c>
      <c r="R143" t="s">
        <v>45</v>
      </c>
      <c r="S143" t="s">
        <v>52</v>
      </c>
      <c r="T143">
        <v>2020</v>
      </c>
      <c r="U143" t="s">
        <v>105</v>
      </c>
    </row>
    <row r="144" spans="1:21" x14ac:dyDescent="0.35">
      <c r="A144" s="1">
        <v>44734</v>
      </c>
      <c r="B144" t="s">
        <v>98</v>
      </c>
      <c r="C144" t="s">
        <v>99</v>
      </c>
      <c r="D144" t="s">
        <v>100</v>
      </c>
      <c r="E144">
        <v>310</v>
      </c>
      <c r="F144">
        <v>6</v>
      </c>
      <c r="G144">
        <f t="shared" si="6"/>
        <v>1860</v>
      </c>
      <c r="H144">
        <v>4</v>
      </c>
      <c r="I144">
        <f t="shared" si="7"/>
        <v>1240</v>
      </c>
      <c r="J144">
        <f t="shared" si="8"/>
        <v>620</v>
      </c>
      <c r="K144" t="s">
        <v>24</v>
      </c>
      <c r="L144" t="s">
        <v>73</v>
      </c>
      <c r="M144" t="s">
        <v>37</v>
      </c>
      <c r="N144" t="s">
        <v>43</v>
      </c>
      <c r="O144">
        <v>585</v>
      </c>
      <c r="P144">
        <v>310</v>
      </c>
      <c r="Q144" t="s">
        <v>77</v>
      </c>
      <c r="R144" t="s">
        <v>78</v>
      </c>
      <c r="S144" t="s">
        <v>79</v>
      </c>
      <c r="T144">
        <v>2020</v>
      </c>
      <c r="U144" t="s">
        <v>91</v>
      </c>
    </row>
    <row r="145" spans="1:21" x14ac:dyDescent="0.35">
      <c r="A145" s="1">
        <v>44735</v>
      </c>
      <c r="B145" t="s">
        <v>58</v>
      </c>
      <c r="C145" t="s">
        <v>59</v>
      </c>
      <c r="D145" t="s">
        <v>60</v>
      </c>
      <c r="E145">
        <v>488</v>
      </c>
      <c r="F145">
        <v>5</v>
      </c>
      <c r="G145">
        <f t="shared" si="6"/>
        <v>2440</v>
      </c>
      <c r="H145">
        <v>3</v>
      </c>
      <c r="I145">
        <f t="shared" si="7"/>
        <v>1464</v>
      </c>
      <c r="J145">
        <f t="shared" si="8"/>
        <v>976</v>
      </c>
      <c r="K145" t="s">
        <v>35</v>
      </c>
      <c r="L145" t="s">
        <v>36</v>
      </c>
      <c r="M145" t="s">
        <v>26</v>
      </c>
      <c r="N145" t="s">
        <v>43</v>
      </c>
      <c r="O145">
        <v>995</v>
      </c>
      <c r="P145">
        <v>488</v>
      </c>
      <c r="Q145" t="s">
        <v>54</v>
      </c>
      <c r="R145" t="s">
        <v>55</v>
      </c>
      <c r="S145" t="s">
        <v>56</v>
      </c>
      <c r="T145">
        <v>2024</v>
      </c>
      <c r="U145" t="s">
        <v>62</v>
      </c>
    </row>
    <row r="146" spans="1:21" x14ac:dyDescent="0.35">
      <c r="A146" s="1">
        <v>44736</v>
      </c>
      <c r="B146" t="s">
        <v>48</v>
      </c>
      <c r="C146" t="s">
        <v>49</v>
      </c>
      <c r="D146" t="s">
        <v>50</v>
      </c>
      <c r="E146">
        <v>69</v>
      </c>
      <c r="F146">
        <v>150</v>
      </c>
      <c r="G146">
        <f t="shared" si="6"/>
        <v>10350</v>
      </c>
      <c r="H146">
        <v>100</v>
      </c>
      <c r="I146">
        <f t="shared" si="7"/>
        <v>6900</v>
      </c>
      <c r="J146">
        <f t="shared" si="8"/>
        <v>3450</v>
      </c>
      <c r="K146" t="s">
        <v>24</v>
      </c>
      <c r="L146" t="s">
        <v>63</v>
      </c>
      <c r="M146" t="s">
        <v>61</v>
      </c>
      <c r="N146" t="s">
        <v>38</v>
      </c>
      <c r="O146">
        <v>573</v>
      </c>
      <c r="P146">
        <v>69</v>
      </c>
      <c r="Q146" t="s">
        <v>77</v>
      </c>
      <c r="R146" t="s">
        <v>78</v>
      </c>
      <c r="S146" t="s">
        <v>79</v>
      </c>
      <c r="T146">
        <v>2020</v>
      </c>
      <c r="U146" t="s">
        <v>91</v>
      </c>
    </row>
    <row r="147" spans="1:21" x14ac:dyDescent="0.35">
      <c r="A147" s="1">
        <v>44737</v>
      </c>
      <c r="B147" t="s">
        <v>58</v>
      </c>
      <c r="C147" t="s">
        <v>59</v>
      </c>
      <c r="D147" t="s">
        <v>60</v>
      </c>
      <c r="E147">
        <v>331</v>
      </c>
      <c r="F147">
        <v>5</v>
      </c>
      <c r="G147">
        <f t="shared" si="6"/>
        <v>1655</v>
      </c>
      <c r="H147">
        <v>3</v>
      </c>
      <c r="I147">
        <f t="shared" si="7"/>
        <v>993</v>
      </c>
      <c r="J147">
        <f t="shared" si="8"/>
        <v>662</v>
      </c>
      <c r="K147" t="s">
        <v>42</v>
      </c>
      <c r="L147" t="s">
        <v>25</v>
      </c>
      <c r="M147" t="s">
        <v>61</v>
      </c>
      <c r="N147" t="s">
        <v>38</v>
      </c>
      <c r="O147">
        <v>960</v>
      </c>
      <c r="P147">
        <v>331</v>
      </c>
      <c r="Q147" t="s">
        <v>67</v>
      </c>
      <c r="R147" t="s">
        <v>68</v>
      </c>
      <c r="S147" t="s">
        <v>69</v>
      </c>
      <c r="T147">
        <v>2021</v>
      </c>
      <c r="U147" t="s">
        <v>86</v>
      </c>
    </row>
    <row r="148" spans="1:21" x14ac:dyDescent="0.35">
      <c r="A148" s="1">
        <v>44738</v>
      </c>
      <c r="B148" t="s">
        <v>32</v>
      </c>
      <c r="C148" t="s">
        <v>33</v>
      </c>
      <c r="D148" t="s">
        <v>34</v>
      </c>
      <c r="E148">
        <v>390</v>
      </c>
      <c r="F148">
        <v>20</v>
      </c>
      <c r="G148">
        <f t="shared" si="6"/>
        <v>7800</v>
      </c>
      <c r="H148">
        <v>12</v>
      </c>
      <c r="I148">
        <f t="shared" si="7"/>
        <v>4680</v>
      </c>
      <c r="J148">
        <f t="shared" si="8"/>
        <v>3120</v>
      </c>
      <c r="K148" t="s">
        <v>42</v>
      </c>
      <c r="L148" t="s">
        <v>73</v>
      </c>
      <c r="M148" t="s">
        <v>37</v>
      </c>
      <c r="N148" t="s">
        <v>43</v>
      </c>
      <c r="O148">
        <v>794</v>
      </c>
      <c r="P148">
        <v>390</v>
      </c>
      <c r="Q148" t="s">
        <v>87</v>
      </c>
      <c r="R148" t="s">
        <v>88</v>
      </c>
      <c r="S148" t="s">
        <v>89</v>
      </c>
      <c r="T148">
        <v>2021</v>
      </c>
      <c r="U148" t="s">
        <v>97</v>
      </c>
    </row>
    <row r="149" spans="1:21" x14ac:dyDescent="0.35">
      <c r="A149" s="1">
        <v>44739</v>
      </c>
      <c r="B149" t="s">
        <v>32</v>
      </c>
      <c r="C149" t="s">
        <v>33</v>
      </c>
      <c r="D149" t="s">
        <v>34</v>
      </c>
      <c r="E149">
        <v>229</v>
      </c>
      <c r="F149">
        <v>20</v>
      </c>
      <c r="G149">
        <f t="shared" si="6"/>
        <v>4580</v>
      </c>
      <c r="H149">
        <v>12</v>
      </c>
      <c r="I149">
        <f t="shared" si="7"/>
        <v>2748</v>
      </c>
      <c r="J149">
        <f t="shared" si="8"/>
        <v>1832</v>
      </c>
      <c r="K149" t="s">
        <v>42</v>
      </c>
      <c r="L149" t="s">
        <v>73</v>
      </c>
      <c r="M149" t="s">
        <v>37</v>
      </c>
      <c r="N149" t="s">
        <v>43</v>
      </c>
      <c r="O149">
        <v>974</v>
      </c>
      <c r="P149">
        <v>229</v>
      </c>
      <c r="Q149" t="s">
        <v>90</v>
      </c>
      <c r="R149" t="s">
        <v>55</v>
      </c>
      <c r="S149" t="s">
        <v>85</v>
      </c>
      <c r="T149">
        <v>2024</v>
      </c>
      <c r="U149" t="s">
        <v>66</v>
      </c>
    </row>
    <row r="150" spans="1:21" x14ac:dyDescent="0.35">
      <c r="A150" s="1">
        <v>44740</v>
      </c>
      <c r="B150" t="s">
        <v>32</v>
      </c>
      <c r="C150" t="s">
        <v>33</v>
      </c>
      <c r="D150" t="s">
        <v>34</v>
      </c>
      <c r="E150">
        <v>102</v>
      </c>
      <c r="F150">
        <v>20</v>
      </c>
      <c r="G150">
        <f t="shared" si="6"/>
        <v>2040</v>
      </c>
      <c r="H150">
        <v>12</v>
      </c>
      <c r="I150">
        <f t="shared" si="7"/>
        <v>1224</v>
      </c>
      <c r="J150">
        <f t="shared" si="8"/>
        <v>816</v>
      </c>
      <c r="K150" t="s">
        <v>35</v>
      </c>
      <c r="L150" t="s">
        <v>63</v>
      </c>
      <c r="M150" t="s">
        <v>26</v>
      </c>
      <c r="N150" t="s">
        <v>43</v>
      </c>
      <c r="O150">
        <v>636</v>
      </c>
      <c r="P150">
        <v>102</v>
      </c>
      <c r="Q150" t="s">
        <v>106</v>
      </c>
      <c r="R150" t="s">
        <v>107</v>
      </c>
      <c r="S150" t="s">
        <v>108</v>
      </c>
      <c r="T150">
        <v>2024</v>
      </c>
      <c r="U150" t="s">
        <v>109</v>
      </c>
    </row>
    <row r="151" spans="1:21" x14ac:dyDescent="0.35">
      <c r="A151" s="1">
        <v>44741</v>
      </c>
      <c r="B151" t="s">
        <v>98</v>
      </c>
      <c r="C151" t="s">
        <v>99</v>
      </c>
      <c r="D151" t="s">
        <v>100</v>
      </c>
      <c r="E151">
        <v>438</v>
      </c>
      <c r="F151">
        <v>6</v>
      </c>
      <c r="G151">
        <f t="shared" si="6"/>
        <v>2628</v>
      </c>
      <c r="H151">
        <v>4</v>
      </c>
      <c r="I151">
        <f t="shared" si="7"/>
        <v>1752</v>
      </c>
      <c r="J151">
        <f t="shared" si="8"/>
        <v>876</v>
      </c>
      <c r="K151" t="s">
        <v>42</v>
      </c>
      <c r="L151" t="s">
        <v>73</v>
      </c>
      <c r="M151" t="s">
        <v>61</v>
      </c>
      <c r="N151" t="s">
        <v>43</v>
      </c>
      <c r="O151">
        <v>817</v>
      </c>
      <c r="P151">
        <v>438</v>
      </c>
      <c r="Q151" t="s">
        <v>51</v>
      </c>
      <c r="R151" t="s">
        <v>45</v>
      </c>
      <c r="S151" t="s">
        <v>52</v>
      </c>
      <c r="T151">
        <v>2020</v>
      </c>
      <c r="U151" t="s">
        <v>105</v>
      </c>
    </row>
    <row r="152" spans="1:21" x14ac:dyDescent="0.35">
      <c r="A152" s="1">
        <v>44742</v>
      </c>
      <c r="B152" t="s">
        <v>58</v>
      </c>
      <c r="C152" t="s">
        <v>59</v>
      </c>
      <c r="D152" t="s">
        <v>60</v>
      </c>
      <c r="E152">
        <v>453</v>
      </c>
      <c r="F152">
        <v>5</v>
      </c>
      <c r="G152">
        <f t="shared" si="6"/>
        <v>2265</v>
      </c>
      <c r="H152">
        <v>3</v>
      </c>
      <c r="I152">
        <f t="shared" si="7"/>
        <v>1359</v>
      </c>
      <c r="J152">
        <f t="shared" si="8"/>
        <v>906</v>
      </c>
      <c r="K152" t="s">
        <v>24</v>
      </c>
      <c r="L152" t="s">
        <v>73</v>
      </c>
      <c r="M152" t="s">
        <v>37</v>
      </c>
      <c r="N152" t="s">
        <v>43</v>
      </c>
      <c r="O152">
        <v>986</v>
      </c>
      <c r="P152">
        <v>453</v>
      </c>
      <c r="Q152" t="s">
        <v>54</v>
      </c>
      <c r="R152" t="s">
        <v>55</v>
      </c>
      <c r="S152" t="s">
        <v>56</v>
      </c>
      <c r="T152">
        <v>2023</v>
      </c>
      <c r="U152" t="s">
        <v>109</v>
      </c>
    </row>
    <row r="153" spans="1:21" x14ac:dyDescent="0.35">
      <c r="A153" s="1">
        <v>44743</v>
      </c>
      <c r="B153" t="s">
        <v>98</v>
      </c>
      <c r="C153" t="s">
        <v>99</v>
      </c>
      <c r="D153" t="s">
        <v>100</v>
      </c>
      <c r="E153">
        <v>240</v>
      </c>
      <c r="F153">
        <v>6</v>
      </c>
      <c r="G153">
        <f t="shared" si="6"/>
        <v>1440</v>
      </c>
      <c r="H153">
        <v>4</v>
      </c>
      <c r="I153">
        <f t="shared" si="7"/>
        <v>960</v>
      </c>
      <c r="J153">
        <f t="shared" si="8"/>
        <v>480</v>
      </c>
      <c r="K153" t="s">
        <v>42</v>
      </c>
      <c r="L153" t="s">
        <v>63</v>
      </c>
      <c r="M153" t="s">
        <v>26</v>
      </c>
      <c r="N153" t="s">
        <v>43</v>
      </c>
      <c r="O153">
        <v>526</v>
      </c>
      <c r="P153">
        <v>240</v>
      </c>
      <c r="Q153" t="s">
        <v>39</v>
      </c>
      <c r="R153" t="s">
        <v>40</v>
      </c>
      <c r="S153" t="s">
        <v>41</v>
      </c>
      <c r="T153">
        <v>2021</v>
      </c>
      <c r="U153" t="s">
        <v>66</v>
      </c>
    </row>
    <row r="154" spans="1:21" x14ac:dyDescent="0.35">
      <c r="A154" s="1">
        <v>44744</v>
      </c>
      <c r="B154" t="s">
        <v>32</v>
      </c>
      <c r="C154" t="s">
        <v>33</v>
      </c>
      <c r="D154" t="s">
        <v>34</v>
      </c>
      <c r="E154">
        <v>147</v>
      </c>
      <c r="F154">
        <v>20</v>
      </c>
      <c r="G154">
        <f t="shared" si="6"/>
        <v>2940</v>
      </c>
      <c r="H154">
        <v>12</v>
      </c>
      <c r="I154">
        <f t="shared" si="7"/>
        <v>1764</v>
      </c>
      <c r="J154">
        <f t="shared" si="8"/>
        <v>1176</v>
      </c>
      <c r="K154" t="s">
        <v>42</v>
      </c>
      <c r="L154" t="s">
        <v>36</v>
      </c>
      <c r="M154" t="s">
        <v>26</v>
      </c>
      <c r="N154" t="s">
        <v>38</v>
      </c>
      <c r="O154">
        <v>578</v>
      </c>
      <c r="P154">
        <v>147</v>
      </c>
      <c r="Q154" t="s">
        <v>51</v>
      </c>
      <c r="R154" t="s">
        <v>45</v>
      </c>
      <c r="S154" t="s">
        <v>52</v>
      </c>
      <c r="T154">
        <v>2022</v>
      </c>
      <c r="U154" t="s">
        <v>109</v>
      </c>
    </row>
    <row r="155" spans="1:21" x14ac:dyDescent="0.35">
      <c r="A155" s="1">
        <v>44745</v>
      </c>
      <c r="B155" t="s">
        <v>21</v>
      </c>
      <c r="C155" t="s">
        <v>22</v>
      </c>
      <c r="D155" t="s">
        <v>23</v>
      </c>
      <c r="E155">
        <v>50</v>
      </c>
      <c r="F155">
        <v>8</v>
      </c>
      <c r="G155">
        <f t="shared" si="6"/>
        <v>400</v>
      </c>
      <c r="H155">
        <v>5</v>
      </c>
      <c r="I155">
        <f t="shared" si="7"/>
        <v>250</v>
      </c>
      <c r="J155">
        <f t="shared" si="8"/>
        <v>150</v>
      </c>
      <c r="K155" t="s">
        <v>42</v>
      </c>
      <c r="L155" t="s">
        <v>36</v>
      </c>
      <c r="M155" t="s">
        <v>61</v>
      </c>
      <c r="N155" t="s">
        <v>38</v>
      </c>
      <c r="O155">
        <v>639</v>
      </c>
      <c r="P155">
        <v>50</v>
      </c>
      <c r="Q155" t="s">
        <v>44</v>
      </c>
      <c r="R155" t="s">
        <v>45</v>
      </c>
      <c r="S155" t="s">
        <v>46</v>
      </c>
      <c r="T155">
        <v>2022</v>
      </c>
      <c r="U155" t="s">
        <v>96</v>
      </c>
    </row>
    <row r="156" spans="1:21" x14ac:dyDescent="0.35">
      <c r="A156" s="1">
        <v>44746</v>
      </c>
      <c r="B156" t="s">
        <v>21</v>
      </c>
      <c r="C156" t="s">
        <v>22</v>
      </c>
      <c r="D156" t="s">
        <v>23</v>
      </c>
      <c r="E156">
        <v>429</v>
      </c>
      <c r="F156">
        <v>8</v>
      </c>
      <c r="G156">
        <f t="shared" si="6"/>
        <v>3432</v>
      </c>
      <c r="H156">
        <v>5</v>
      </c>
      <c r="I156">
        <f t="shared" si="7"/>
        <v>2145</v>
      </c>
      <c r="J156">
        <f t="shared" si="8"/>
        <v>1287</v>
      </c>
      <c r="K156" t="s">
        <v>35</v>
      </c>
      <c r="L156" t="s">
        <v>63</v>
      </c>
      <c r="M156" t="s">
        <v>26</v>
      </c>
      <c r="N156" t="s">
        <v>38</v>
      </c>
      <c r="O156">
        <v>985</v>
      </c>
      <c r="P156">
        <v>429</v>
      </c>
      <c r="Q156" t="s">
        <v>113</v>
      </c>
      <c r="R156" t="s">
        <v>114</v>
      </c>
      <c r="S156" t="s">
        <v>115</v>
      </c>
      <c r="T156">
        <v>2021</v>
      </c>
      <c r="U156" t="s">
        <v>96</v>
      </c>
    </row>
    <row r="157" spans="1:21" x14ac:dyDescent="0.35">
      <c r="A157" s="1">
        <v>44747</v>
      </c>
      <c r="B157" t="s">
        <v>98</v>
      </c>
      <c r="C157" t="s">
        <v>99</v>
      </c>
      <c r="D157" t="s">
        <v>100</v>
      </c>
      <c r="E157">
        <v>82</v>
      </c>
      <c r="F157">
        <v>6</v>
      </c>
      <c r="G157">
        <f t="shared" si="6"/>
        <v>492</v>
      </c>
      <c r="H157">
        <v>4</v>
      </c>
      <c r="I157">
        <f t="shared" si="7"/>
        <v>328</v>
      </c>
      <c r="J157">
        <f t="shared" si="8"/>
        <v>164</v>
      </c>
      <c r="K157" t="s">
        <v>35</v>
      </c>
      <c r="L157" t="s">
        <v>25</v>
      </c>
      <c r="M157" t="s">
        <v>37</v>
      </c>
      <c r="N157" t="s">
        <v>38</v>
      </c>
      <c r="O157">
        <v>909</v>
      </c>
      <c r="P157">
        <v>82</v>
      </c>
      <c r="Q157" t="s">
        <v>51</v>
      </c>
      <c r="R157" t="s">
        <v>45</v>
      </c>
      <c r="S157" t="s">
        <v>52</v>
      </c>
      <c r="T157">
        <v>2024</v>
      </c>
      <c r="U157" t="s">
        <v>47</v>
      </c>
    </row>
    <row r="158" spans="1:21" x14ac:dyDescent="0.35">
      <c r="A158" s="1">
        <v>44748</v>
      </c>
      <c r="B158" t="s">
        <v>80</v>
      </c>
      <c r="C158" t="s">
        <v>81</v>
      </c>
      <c r="D158" t="s">
        <v>82</v>
      </c>
      <c r="E158">
        <v>491</v>
      </c>
      <c r="F158">
        <v>2.5</v>
      </c>
      <c r="G158">
        <f t="shared" si="6"/>
        <v>1227.5</v>
      </c>
      <c r="H158">
        <v>1.5</v>
      </c>
      <c r="I158">
        <f t="shared" si="7"/>
        <v>736.5</v>
      </c>
      <c r="J158">
        <f t="shared" si="8"/>
        <v>491</v>
      </c>
      <c r="K158" t="s">
        <v>24</v>
      </c>
      <c r="L158" t="s">
        <v>36</v>
      </c>
      <c r="M158" t="s">
        <v>61</v>
      </c>
      <c r="N158" t="s">
        <v>43</v>
      </c>
      <c r="O158">
        <v>559</v>
      </c>
      <c r="P158">
        <v>491</v>
      </c>
      <c r="Q158" t="s">
        <v>83</v>
      </c>
      <c r="R158" t="s">
        <v>84</v>
      </c>
      <c r="S158" t="s">
        <v>85</v>
      </c>
      <c r="T158">
        <v>2023</v>
      </c>
      <c r="U158" t="s">
        <v>57</v>
      </c>
    </row>
    <row r="159" spans="1:21" x14ac:dyDescent="0.35">
      <c r="A159" s="1">
        <v>44749</v>
      </c>
      <c r="B159" t="s">
        <v>32</v>
      </c>
      <c r="C159" t="s">
        <v>33</v>
      </c>
      <c r="D159" t="s">
        <v>34</v>
      </c>
      <c r="E159">
        <v>195</v>
      </c>
      <c r="F159">
        <v>20</v>
      </c>
      <c r="G159">
        <f t="shared" si="6"/>
        <v>3900</v>
      </c>
      <c r="H159">
        <v>12</v>
      </c>
      <c r="I159">
        <f t="shared" si="7"/>
        <v>2340</v>
      </c>
      <c r="J159">
        <f t="shared" si="8"/>
        <v>1560</v>
      </c>
      <c r="K159" t="s">
        <v>24</v>
      </c>
      <c r="L159" t="s">
        <v>25</v>
      </c>
      <c r="M159" t="s">
        <v>61</v>
      </c>
      <c r="N159" t="s">
        <v>27</v>
      </c>
      <c r="O159">
        <v>590</v>
      </c>
      <c r="P159">
        <v>195</v>
      </c>
      <c r="Q159" t="s">
        <v>67</v>
      </c>
      <c r="R159" t="s">
        <v>68</v>
      </c>
      <c r="S159" t="s">
        <v>69</v>
      </c>
      <c r="T159">
        <v>2022</v>
      </c>
      <c r="U159" t="s">
        <v>53</v>
      </c>
    </row>
    <row r="160" spans="1:21" x14ac:dyDescent="0.35">
      <c r="A160" s="1">
        <v>44750</v>
      </c>
      <c r="B160" t="s">
        <v>21</v>
      </c>
      <c r="C160" t="s">
        <v>22</v>
      </c>
      <c r="D160" t="s">
        <v>23</v>
      </c>
      <c r="E160">
        <v>432</v>
      </c>
      <c r="F160">
        <v>8</v>
      </c>
      <c r="G160">
        <f t="shared" si="6"/>
        <v>3456</v>
      </c>
      <c r="H160">
        <v>5</v>
      </c>
      <c r="I160">
        <f t="shared" si="7"/>
        <v>2160</v>
      </c>
      <c r="J160">
        <f t="shared" si="8"/>
        <v>1296</v>
      </c>
      <c r="K160" t="s">
        <v>42</v>
      </c>
      <c r="L160" t="s">
        <v>36</v>
      </c>
      <c r="M160" t="s">
        <v>26</v>
      </c>
      <c r="N160" t="s">
        <v>27</v>
      </c>
      <c r="O160">
        <v>775</v>
      </c>
      <c r="P160">
        <v>432</v>
      </c>
      <c r="Q160" t="s">
        <v>67</v>
      </c>
      <c r="R160" t="s">
        <v>68</v>
      </c>
      <c r="S160" t="s">
        <v>69</v>
      </c>
      <c r="T160">
        <v>2021</v>
      </c>
      <c r="U160" t="s">
        <v>31</v>
      </c>
    </row>
    <row r="161" spans="1:21" x14ac:dyDescent="0.35">
      <c r="A161" s="1">
        <v>44751</v>
      </c>
      <c r="B161" t="s">
        <v>48</v>
      </c>
      <c r="C161" t="s">
        <v>49</v>
      </c>
      <c r="D161" t="s">
        <v>50</v>
      </c>
      <c r="E161">
        <v>366</v>
      </c>
      <c r="F161">
        <v>150</v>
      </c>
      <c r="G161">
        <f t="shared" si="6"/>
        <v>54900</v>
      </c>
      <c r="H161">
        <v>100</v>
      </c>
      <c r="I161">
        <f t="shared" si="7"/>
        <v>36600</v>
      </c>
      <c r="J161">
        <f t="shared" si="8"/>
        <v>18300</v>
      </c>
      <c r="K161" t="s">
        <v>24</v>
      </c>
      <c r="L161" t="s">
        <v>25</v>
      </c>
      <c r="M161" t="s">
        <v>61</v>
      </c>
      <c r="N161" t="s">
        <v>38</v>
      </c>
      <c r="O161">
        <v>586</v>
      </c>
      <c r="P161">
        <v>366</v>
      </c>
      <c r="Q161" t="s">
        <v>77</v>
      </c>
      <c r="R161" t="s">
        <v>78</v>
      </c>
      <c r="S161" t="s">
        <v>79</v>
      </c>
      <c r="T161">
        <v>2021</v>
      </c>
      <c r="U161" t="s">
        <v>66</v>
      </c>
    </row>
    <row r="162" spans="1:21" x14ac:dyDescent="0.35">
      <c r="A162" s="1">
        <v>44752</v>
      </c>
      <c r="B162" t="s">
        <v>32</v>
      </c>
      <c r="C162" t="s">
        <v>33</v>
      </c>
      <c r="D162" t="s">
        <v>34</v>
      </c>
      <c r="E162">
        <v>19</v>
      </c>
      <c r="F162">
        <v>20</v>
      </c>
      <c r="G162">
        <f t="shared" si="6"/>
        <v>380</v>
      </c>
      <c r="H162">
        <v>12</v>
      </c>
      <c r="I162">
        <f t="shared" si="7"/>
        <v>228</v>
      </c>
      <c r="J162">
        <f t="shared" si="8"/>
        <v>152</v>
      </c>
      <c r="K162" t="s">
        <v>42</v>
      </c>
      <c r="L162" t="s">
        <v>63</v>
      </c>
      <c r="M162" t="s">
        <v>26</v>
      </c>
      <c r="N162" t="s">
        <v>43</v>
      </c>
      <c r="O162">
        <v>510</v>
      </c>
      <c r="P162">
        <v>19</v>
      </c>
      <c r="Q162" t="s">
        <v>90</v>
      </c>
      <c r="R162" t="s">
        <v>55</v>
      </c>
      <c r="S162" t="s">
        <v>85</v>
      </c>
      <c r="T162">
        <v>2023</v>
      </c>
      <c r="U162" t="s">
        <v>57</v>
      </c>
    </row>
    <row r="163" spans="1:21" x14ac:dyDescent="0.35">
      <c r="A163" s="1">
        <v>44753</v>
      </c>
      <c r="B163" t="s">
        <v>58</v>
      </c>
      <c r="C163" t="s">
        <v>59</v>
      </c>
      <c r="D163" t="s">
        <v>60</v>
      </c>
      <c r="E163">
        <v>82</v>
      </c>
      <c r="F163">
        <v>5</v>
      </c>
      <c r="G163">
        <f t="shared" si="6"/>
        <v>410</v>
      </c>
      <c r="H163">
        <v>3</v>
      </c>
      <c r="I163">
        <f t="shared" si="7"/>
        <v>246</v>
      </c>
      <c r="J163">
        <f t="shared" si="8"/>
        <v>164</v>
      </c>
      <c r="K163" t="s">
        <v>42</v>
      </c>
      <c r="L163" t="s">
        <v>36</v>
      </c>
      <c r="M163" t="s">
        <v>61</v>
      </c>
      <c r="N163" t="s">
        <v>27</v>
      </c>
      <c r="O163">
        <v>509</v>
      </c>
      <c r="P163">
        <v>82</v>
      </c>
      <c r="Q163" t="s">
        <v>77</v>
      </c>
      <c r="R163" t="s">
        <v>78</v>
      </c>
      <c r="S163" t="s">
        <v>79</v>
      </c>
      <c r="T163">
        <v>2022</v>
      </c>
      <c r="U163" t="s">
        <v>97</v>
      </c>
    </row>
    <row r="164" spans="1:21" x14ac:dyDescent="0.35">
      <c r="A164" s="1">
        <v>44754</v>
      </c>
      <c r="B164" t="s">
        <v>98</v>
      </c>
      <c r="C164" t="s">
        <v>99</v>
      </c>
      <c r="D164" t="s">
        <v>100</v>
      </c>
      <c r="E164">
        <v>69</v>
      </c>
      <c r="F164">
        <v>6</v>
      </c>
      <c r="G164">
        <f t="shared" si="6"/>
        <v>414</v>
      </c>
      <c r="H164">
        <v>4</v>
      </c>
      <c r="I164">
        <f t="shared" si="7"/>
        <v>276</v>
      </c>
      <c r="J164">
        <f t="shared" si="8"/>
        <v>138</v>
      </c>
      <c r="K164" t="s">
        <v>24</v>
      </c>
      <c r="L164" t="s">
        <v>73</v>
      </c>
      <c r="M164" t="s">
        <v>61</v>
      </c>
      <c r="N164" t="s">
        <v>38</v>
      </c>
      <c r="O164">
        <v>990</v>
      </c>
      <c r="P164">
        <v>69</v>
      </c>
      <c r="Q164" t="s">
        <v>77</v>
      </c>
      <c r="R164" t="s">
        <v>78</v>
      </c>
      <c r="S164" t="s">
        <v>79</v>
      </c>
      <c r="T164">
        <v>2022</v>
      </c>
      <c r="U164" t="s">
        <v>53</v>
      </c>
    </row>
    <row r="165" spans="1:21" x14ac:dyDescent="0.35">
      <c r="A165" s="1">
        <v>44755</v>
      </c>
      <c r="B165" t="s">
        <v>48</v>
      </c>
      <c r="C165" t="s">
        <v>49</v>
      </c>
      <c r="D165" t="s">
        <v>50</v>
      </c>
      <c r="E165">
        <v>455</v>
      </c>
      <c r="F165">
        <v>150</v>
      </c>
      <c r="G165">
        <f t="shared" si="6"/>
        <v>68250</v>
      </c>
      <c r="H165">
        <v>100</v>
      </c>
      <c r="I165">
        <f t="shared" si="7"/>
        <v>45500</v>
      </c>
      <c r="J165">
        <f t="shared" si="8"/>
        <v>22750</v>
      </c>
      <c r="K165" t="s">
        <v>42</v>
      </c>
      <c r="L165" t="s">
        <v>25</v>
      </c>
      <c r="M165" t="s">
        <v>37</v>
      </c>
      <c r="N165" t="s">
        <v>27</v>
      </c>
      <c r="O165">
        <v>804</v>
      </c>
      <c r="P165">
        <v>455</v>
      </c>
      <c r="Q165" t="s">
        <v>74</v>
      </c>
      <c r="R165" t="s">
        <v>75</v>
      </c>
      <c r="S165" t="s">
        <v>76</v>
      </c>
      <c r="T165">
        <v>2023</v>
      </c>
      <c r="U165" t="s">
        <v>53</v>
      </c>
    </row>
    <row r="166" spans="1:21" x14ac:dyDescent="0.35">
      <c r="A166" s="1">
        <v>44756</v>
      </c>
      <c r="B166" t="s">
        <v>21</v>
      </c>
      <c r="C166" t="s">
        <v>22</v>
      </c>
      <c r="D166" t="s">
        <v>23</v>
      </c>
      <c r="E166">
        <v>196</v>
      </c>
      <c r="F166">
        <v>8</v>
      </c>
      <c r="G166">
        <f t="shared" si="6"/>
        <v>1568</v>
      </c>
      <c r="H166">
        <v>5</v>
      </c>
      <c r="I166">
        <f t="shared" si="7"/>
        <v>980</v>
      </c>
      <c r="J166">
        <f t="shared" si="8"/>
        <v>588</v>
      </c>
      <c r="K166" t="s">
        <v>24</v>
      </c>
      <c r="L166" t="s">
        <v>63</v>
      </c>
      <c r="M166" t="s">
        <v>61</v>
      </c>
      <c r="N166" t="s">
        <v>43</v>
      </c>
      <c r="O166">
        <v>674</v>
      </c>
      <c r="P166">
        <v>196</v>
      </c>
      <c r="Q166" t="s">
        <v>67</v>
      </c>
      <c r="R166" t="s">
        <v>68</v>
      </c>
      <c r="S166" t="s">
        <v>69</v>
      </c>
      <c r="T166">
        <v>2022</v>
      </c>
      <c r="U166" t="s">
        <v>105</v>
      </c>
    </row>
    <row r="167" spans="1:21" x14ac:dyDescent="0.35">
      <c r="A167" s="1">
        <v>44757</v>
      </c>
      <c r="B167" t="s">
        <v>48</v>
      </c>
      <c r="C167" t="s">
        <v>49</v>
      </c>
      <c r="D167" t="s">
        <v>50</v>
      </c>
      <c r="E167">
        <v>414</v>
      </c>
      <c r="F167">
        <v>150</v>
      </c>
      <c r="G167">
        <f t="shared" si="6"/>
        <v>62100</v>
      </c>
      <c r="H167">
        <v>100</v>
      </c>
      <c r="I167">
        <f t="shared" si="7"/>
        <v>41400</v>
      </c>
      <c r="J167">
        <f t="shared" si="8"/>
        <v>20700</v>
      </c>
      <c r="K167" t="s">
        <v>24</v>
      </c>
      <c r="L167" t="s">
        <v>25</v>
      </c>
      <c r="M167" t="s">
        <v>37</v>
      </c>
      <c r="N167" t="s">
        <v>38</v>
      </c>
      <c r="O167">
        <v>501</v>
      </c>
      <c r="P167">
        <v>414</v>
      </c>
      <c r="Q167" t="s">
        <v>103</v>
      </c>
      <c r="R167" t="s">
        <v>68</v>
      </c>
      <c r="S167" t="s">
        <v>104</v>
      </c>
      <c r="T167">
        <v>2020</v>
      </c>
      <c r="U167" t="s">
        <v>86</v>
      </c>
    </row>
    <row r="168" spans="1:21" x14ac:dyDescent="0.35">
      <c r="A168" s="1">
        <v>44758</v>
      </c>
      <c r="B168" t="s">
        <v>80</v>
      </c>
      <c r="C168" t="s">
        <v>81</v>
      </c>
      <c r="D168" t="s">
        <v>82</v>
      </c>
      <c r="E168">
        <v>312</v>
      </c>
      <c r="F168">
        <v>2.5</v>
      </c>
      <c r="G168">
        <f t="shared" si="6"/>
        <v>780</v>
      </c>
      <c r="H168">
        <v>1.5</v>
      </c>
      <c r="I168">
        <f t="shared" si="7"/>
        <v>468</v>
      </c>
      <c r="J168">
        <f t="shared" si="8"/>
        <v>312</v>
      </c>
      <c r="K168" t="s">
        <v>35</v>
      </c>
      <c r="L168" t="s">
        <v>25</v>
      </c>
      <c r="M168" t="s">
        <v>26</v>
      </c>
      <c r="N168" t="s">
        <v>38</v>
      </c>
      <c r="O168">
        <v>696</v>
      </c>
      <c r="P168">
        <v>312</v>
      </c>
      <c r="Q168" t="s">
        <v>44</v>
      </c>
      <c r="R168" t="s">
        <v>45</v>
      </c>
      <c r="S168" t="s">
        <v>46</v>
      </c>
      <c r="T168">
        <v>2020</v>
      </c>
      <c r="U168" t="s">
        <v>62</v>
      </c>
    </row>
    <row r="169" spans="1:21" x14ac:dyDescent="0.35">
      <c r="A169" s="1">
        <v>44759</v>
      </c>
      <c r="B169" t="s">
        <v>80</v>
      </c>
      <c r="C169" t="s">
        <v>81</v>
      </c>
      <c r="D169" t="s">
        <v>82</v>
      </c>
      <c r="E169">
        <v>117</v>
      </c>
      <c r="F169">
        <v>2.5</v>
      </c>
      <c r="G169">
        <f t="shared" si="6"/>
        <v>292.5</v>
      </c>
      <c r="H169">
        <v>1.5</v>
      </c>
      <c r="I169">
        <f t="shared" si="7"/>
        <v>175.5</v>
      </c>
      <c r="J169">
        <f t="shared" si="8"/>
        <v>117</v>
      </c>
      <c r="K169" t="s">
        <v>42</v>
      </c>
      <c r="L169" t="s">
        <v>63</v>
      </c>
      <c r="M169" t="s">
        <v>37</v>
      </c>
      <c r="N169" t="s">
        <v>27</v>
      </c>
      <c r="O169">
        <v>852</v>
      </c>
      <c r="P169">
        <v>117</v>
      </c>
      <c r="Q169" t="s">
        <v>106</v>
      </c>
      <c r="R169" t="s">
        <v>107</v>
      </c>
      <c r="S169" t="s">
        <v>108</v>
      </c>
      <c r="T169">
        <v>2023</v>
      </c>
      <c r="U169" t="s">
        <v>97</v>
      </c>
    </row>
    <row r="170" spans="1:21" x14ac:dyDescent="0.35">
      <c r="A170" s="1">
        <v>44760</v>
      </c>
      <c r="B170" t="s">
        <v>21</v>
      </c>
      <c r="C170" t="s">
        <v>22</v>
      </c>
      <c r="D170" t="s">
        <v>23</v>
      </c>
      <c r="E170">
        <v>413</v>
      </c>
      <c r="F170">
        <v>8</v>
      </c>
      <c r="G170">
        <f t="shared" si="6"/>
        <v>3304</v>
      </c>
      <c r="H170">
        <v>5</v>
      </c>
      <c r="I170">
        <f t="shared" si="7"/>
        <v>2065</v>
      </c>
      <c r="J170">
        <f t="shared" si="8"/>
        <v>1239</v>
      </c>
      <c r="K170" t="s">
        <v>42</v>
      </c>
      <c r="L170" t="s">
        <v>63</v>
      </c>
      <c r="M170" t="s">
        <v>37</v>
      </c>
      <c r="N170" t="s">
        <v>38</v>
      </c>
      <c r="O170">
        <v>744</v>
      </c>
      <c r="P170">
        <v>413</v>
      </c>
      <c r="Q170" t="s">
        <v>83</v>
      </c>
      <c r="R170" t="s">
        <v>84</v>
      </c>
      <c r="S170" t="s">
        <v>85</v>
      </c>
      <c r="T170">
        <v>2024</v>
      </c>
      <c r="U170" t="s">
        <v>96</v>
      </c>
    </row>
    <row r="171" spans="1:21" x14ac:dyDescent="0.35">
      <c r="A171" s="1">
        <v>44761</v>
      </c>
      <c r="B171" t="s">
        <v>48</v>
      </c>
      <c r="C171" t="s">
        <v>49</v>
      </c>
      <c r="D171" t="s">
        <v>50</v>
      </c>
      <c r="E171">
        <v>429</v>
      </c>
      <c r="F171">
        <v>150</v>
      </c>
      <c r="G171">
        <f t="shared" si="6"/>
        <v>64350</v>
      </c>
      <c r="H171">
        <v>100</v>
      </c>
      <c r="I171">
        <f t="shared" si="7"/>
        <v>42900</v>
      </c>
      <c r="J171">
        <f t="shared" si="8"/>
        <v>21450</v>
      </c>
      <c r="K171" t="s">
        <v>42</v>
      </c>
      <c r="L171" t="s">
        <v>73</v>
      </c>
      <c r="M171" t="s">
        <v>37</v>
      </c>
      <c r="N171" t="s">
        <v>43</v>
      </c>
      <c r="O171">
        <v>693</v>
      </c>
      <c r="P171">
        <v>429</v>
      </c>
      <c r="Q171" t="s">
        <v>87</v>
      </c>
      <c r="R171" t="s">
        <v>88</v>
      </c>
      <c r="S171" t="s">
        <v>89</v>
      </c>
      <c r="T171">
        <v>2021</v>
      </c>
      <c r="U171" t="s">
        <v>47</v>
      </c>
    </row>
    <row r="172" spans="1:21" x14ac:dyDescent="0.35">
      <c r="A172" s="1">
        <v>44762</v>
      </c>
      <c r="B172" t="s">
        <v>80</v>
      </c>
      <c r="C172" t="s">
        <v>81</v>
      </c>
      <c r="D172" t="s">
        <v>82</v>
      </c>
      <c r="E172">
        <v>200</v>
      </c>
      <c r="F172">
        <v>2.5</v>
      </c>
      <c r="G172">
        <f t="shared" si="6"/>
        <v>500</v>
      </c>
      <c r="H172">
        <v>1.5</v>
      </c>
      <c r="I172">
        <f t="shared" si="7"/>
        <v>300</v>
      </c>
      <c r="J172">
        <f t="shared" si="8"/>
        <v>200</v>
      </c>
      <c r="K172" t="s">
        <v>35</v>
      </c>
      <c r="L172" t="s">
        <v>36</v>
      </c>
      <c r="M172" t="s">
        <v>61</v>
      </c>
      <c r="N172" t="s">
        <v>27</v>
      </c>
      <c r="O172">
        <v>555</v>
      </c>
      <c r="P172">
        <v>200</v>
      </c>
      <c r="Q172" t="s">
        <v>64</v>
      </c>
      <c r="R172" t="s">
        <v>29</v>
      </c>
      <c r="S172" t="s">
        <v>65</v>
      </c>
      <c r="T172">
        <v>2024</v>
      </c>
      <c r="U172" t="s">
        <v>47</v>
      </c>
    </row>
    <row r="173" spans="1:21" x14ac:dyDescent="0.35">
      <c r="A173" s="1">
        <v>44763</v>
      </c>
      <c r="B173" t="s">
        <v>32</v>
      </c>
      <c r="C173" t="s">
        <v>33</v>
      </c>
      <c r="D173" t="s">
        <v>34</v>
      </c>
      <c r="E173">
        <v>33</v>
      </c>
      <c r="F173">
        <v>20</v>
      </c>
      <c r="G173">
        <f t="shared" si="6"/>
        <v>660</v>
      </c>
      <c r="H173">
        <v>12</v>
      </c>
      <c r="I173">
        <f t="shared" si="7"/>
        <v>396</v>
      </c>
      <c r="J173">
        <f t="shared" si="8"/>
        <v>264</v>
      </c>
      <c r="K173" t="s">
        <v>42</v>
      </c>
      <c r="L173" t="s">
        <v>73</v>
      </c>
      <c r="M173" t="s">
        <v>37</v>
      </c>
      <c r="N173" t="s">
        <v>38</v>
      </c>
      <c r="O173">
        <v>593</v>
      </c>
      <c r="P173">
        <v>33</v>
      </c>
      <c r="Q173" t="s">
        <v>64</v>
      </c>
      <c r="R173" t="s">
        <v>29</v>
      </c>
      <c r="S173" t="s">
        <v>65</v>
      </c>
      <c r="T173">
        <v>2020</v>
      </c>
      <c r="U173" t="s">
        <v>86</v>
      </c>
    </row>
    <row r="174" spans="1:21" x14ac:dyDescent="0.35">
      <c r="A174" s="1">
        <v>44764</v>
      </c>
      <c r="B174" t="s">
        <v>32</v>
      </c>
      <c r="C174" t="s">
        <v>33</v>
      </c>
      <c r="D174" t="s">
        <v>34</v>
      </c>
      <c r="E174">
        <v>107</v>
      </c>
      <c r="F174">
        <v>20</v>
      </c>
      <c r="G174">
        <f t="shared" si="6"/>
        <v>2140</v>
      </c>
      <c r="H174">
        <v>12</v>
      </c>
      <c r="I174">
        <f t="shared" si="7"/>
        <v>1284</v>
      </c>
      <c r="J174">
        <f t="shared" si="8"/>
        <v>856</v>
      </c>
      <c r="K174" t="s">
        <v>35</v>
      </c>
      <c r="L174" t="s">
        <v>36</v>
      </c>
      <c r="M174" t="s">
        <v>61</v>
      </c>
      <c r="N174" t="s">
        <v>38</v>
      </c>
      <c r="O174">
        <v>949</v>
      </c>
      <c r="P174">
        <v>107</v>
      </c>
      <c r="Q174" t="s">
        <v>94</v>
      </c>
      <c r="R174" t="s">
        <v>75</v>
      </c>
      <c r="S174" t="s">
        <v>95</v>
      </c>
      <c r="T174">
        <v>2023</v>
      </c>
      <c r="U174" t="s">
        <v>109</v>
      </c>
    </row>
    <row r="175" spans="1:21" x14ac:dyDescent="0.35">
      <c r="A175" s="1">
        <v>44765</v>
      </c>
      <c r="B175" t="s">
        <v>32</v>
      </c>
      <c r="C175" t="s">
        <v>33</v>
      </c>
      <c r="D175" t="s">
        <v>34</v>
      </c>
      <c r="E175">
        <v>357</v>
      </c>
      <c r="F175">
        <v>20</v>
      </c>
      <c r="G175">
        <f t="shared" si="6"/>
        <v>7140</v>
      </c>
      <c r="H175">
        <v>12</v>
      </c>
      <c r="I175">
        <f t="shared" si="7"/>
        <v>4284</v>
      </c>
      <c r="J175">
        <f t="shared" si="8"/>
        <v>2856</v>
      </c>
      <c r="K175" t="s">
        <v>24</v>
      </c>
      <c r="L175" t="s">
        <v>25</v>
      </c>
      <c r="M175" t="s">
        <v>37</v>
      </c>
      <c r="N175" t="s">
        <v>43</v>
      </c>
      <c r="O175">
        <v>730</v>
      </c>
      <c r="P175">
        <v>357</v>
      </c>
      <c r="Q175" t="s">
        <v>28</v>
      </c>
      <c r="R175" t="s">
        <v>29</v>
      </c>
      <c r="S175" t="s">
        <v>30</v>
      </c>
      <c r="T175">
        <v>2023</v>
      </c>
      <c r="U175" t="s">
        <v>105</v>
      </c>
    </row>
    <row r="176" spans="1:21" x14ac:dyDescent="0.35">
      <c r="A176" s="1">
        <v>44766</v>
      </c>
      <c r="B176" t="s">
        <v>98</v>
      </c>
      <c r="C176" t="s">
        <v>99</v>
      </c>
      <c r="D176" t="s">
        <v>100</v>
      </c>
      <c r="E176">
        <v>489</v>
      </c>
      <c r="F176">
        <v>6</v>
      </c>
      <c r="G176">
        <f t="shared" si="6"/>
        <v>2934</v>
      </c>
      <c r="H176">
        <v>4</v>
      </c>
      <c r="I176">
        <f t="shared" si="7"/>
        <v>1956</v>
      </c>
      <c r="J176">
        <f t="shared" si="8"/>
        <v>978</v>
      </c>
      <c r="K176" t="s">
        <v>35</v>
      </c>
      <c r="L176" t="s">
        <v>63</v>
      </c>
      <c r="M176" t="s">
        <v>37</v>
      </c>
      <c r="N176" t="s">
        <v>43</v>
      </c>
      <c r="O176">
        <v>676</v>
      </c>
      <c r="P176">
        <v>489</v>
      </c>
      <c r="Q176" t="s">
        <v>67</v>
      </c>
      <c r="R176" t="s">
        <v>68</v>
      </c>
      <c r="S176" t="s">
        <v>69</v>
      </c>
      <c r="T176">
        <v>2023</v>
      </c>
      <c r="U176" t="s">
        <v>86</v>
      </c>
    </row>
    <row r="177" spans="1:21" x14ac:dyDescent="0.35">
      <c r="A177" s="1">
        <v>44767</v>
      </c>
      <c r="B177" t="s">
        <v>32</v>
      </c>
      <c r="C177" t="s">
        <v>33</v>
      </c>
      <c r="D177" t="s">
        <v>34</v>
      </c>
      <c r="E177">
        <v>289</v>
      </c>
      <c r="F177">
        <v>20</v>
      </c>
      <c r="G177">
        <f t="shared" si="6"/>
        <v>5780</v>
      </c>
      <c r="H177">
        <v>12</v>
      </c>
      <c r="I177">
        <f t="shared" si="7"/>
        <v>3468</v>
      </c>
      <c r="J177">
        <f t="shared" si="8"/>
        <v>2312</v>
      </c>
      <c r="K177" t="s">
        <v>35</v>
      </c>
      <c r="L177" t="s">
        <v>63</v>
      </c>
      <c r="M177" t="s">
        <v>37</v>
      </c>
      <c r="N177" t="s">
        <v>27</v>
      </c>
      <c r="O177">
        <v>962</v>
      </c>
      <c r="P177">
        <v>289</v>
      </c>
      <c r="Q177" t="s">
        <v>101</v>
      </c>
      <c r="R177" t="s">
        <v>101</v>
      </c>
      <c r="S177" t="s">
        <v>102</v>
      </c>
      <c r="T177">
        <v>2021</v>
      </c>
      <c r="U177" t="s">
        <v>53</v>
      </c>
    </row>
    <row r="178" spans="1:21" x14ac:dyDescent="0.35">
      <c r="A178" s="1">
        <v>44768</v>
      </c>
      <c r="B178" t="s">
        <v>58</v>
      </c>
      <c r="C178" t="s">
        <v>59</v>
      </c>
      <c r="D178" t="s">
        <v>60</v>
      </c>
      <c r="E178">
        <v>476</v>
      </c>
      <c r="F178">
        <v>5</v>
      </c>
      <c r="G178">
        <f t="shared" si="6"/>
        <v>2380</v>
      </c>
      <c r="H178">
        <v>3</v>
      </c>
      <c r="I178">
        <f t="shared" si="7"/>
        <v>1428</v>
      </c>
      <c r="J178">
        <f t="shared" si="8"/>
        <v>952</v>
      </c>
      <c r="K178" t="s">
        <v>35</v>
      </c>
      <c r="L178" t="s">
        <v>36</v>
      </c>
      <c r="M178" t="s">
        <v>37</v>
      </c>
      <c r="N178" t="s">
        <v>38</v>
      </c>
      <c r="O178">
        <v>635</v>
      </c>
      <c r="P178">
        <v>476</v>
      </c>
      <c r="Q178" t="s">
        <v>103</v>
      </c>
      <c r="R178" t="s">
        <v>68</v>
      </c>
      <c r="S178" t="s">
        <v>104</v>
      </c>
      <c r="T178">
        <v>2024</v>
      </c>
      <c r="U178" t="s">
        <v>57</v>
      </c>
    </row>
    <row r="179" spans="1:21" x14ac:dyDescent="0.35">
      <c r="A179" s="1">
        <v>44769</v>
      </c>
      <c r="B179" t="s">
        <v>80</v>
      </c>
      <c r="C179" t="s">
        <v>81</v>
      </c>
      <c r="D179" t="s">
        <v>82</v>
      </c>
      <c r="E179">
        <v>271</v>
      </c>
      <c r="F179">
        <v>2.5</v>
      </c>
      <c r="G179">
        <f t="shared" si="6"/>
        <v>677.5</v>
      </c>
      <c r="H179">
        <v>1.5</v>
      </c>
      <c r="I179">
        <f t="shared" si="7"/>
        <v>406.5</v>
      </c>
      <c r="J179">
        <f t="shared" si="8"/>
        <v>271</v>
      </c>
      <c r="K179" t="s">
        <v>24</v>
      </c>
      <c r="L179" t="s">
        <v>36</v>
      </c>
      <c r="M179" t="s">
        <v>61</v>
      </c>
      <c r="N179" t="s">
        <v>38</v>
      </c>
      <c r="O179">
        <v>947</v>
      </c>
      <c r="P179">
        <v>271</v>
      </c>
      <c r="Q179" t="s">
        <v>101</v>
      </c>
      <c r="R179" t="s">
        <v>101</v>
      </c>
      <c r="S179" t="s">
        <v>102</v>
      </c>
      <c r="T179">
        <v>2024</v>
      </c>
      <c r="U179" t="s">
        <v>109</v>
      </c>
    </row>
    <row r="180" spans="1:21" x14ac:dyDescent="0.35">
      <c r="A180" s="1">
        <v>44770</v>
      </c>
      <c r="B180" t="s">
        <v>32</v>
      </c>
      <c r="C180" t="s">
        <v>33</v>
      </c>
      <c r="D180" t="s">
        <v>34</v>
      </c>
      <c r="E180">
        <v>438</v>
      </c>
      <c r="F180">
        <v>20</v>
      </c>
      <c r="G180">
        <f t="shared" si="6"/>
        <v>8760</v>
      </c>
      <c r="H180">
        <v>12</v>
      </c>
      <c r="I180">
        <f t="shared" si="7"/>
        <v>5256</v>
      </c>
      <c r="J180">
        <f t="shared" si="8"/>
        <v>3504</v>
      </c>
      <c r="K180" t="s">
        <v>42</v>
      </c>
      <c r="L180" t="s">
        <v>63</v>
      </c>
      <c r="M180" t="s">
        <v>37</v>
      </c>
      <c r="N180" t="s">
        <v>27</v>
      </c>
      <c r="O180">
        <v>624</v>
      </c>
      <c r="P180">
        <v>438</v>
      </c>
      <c r="Q180" t="s">
        <v>101</v>
      </c>
      <c r="R180" t="s">
        <v>101</v>
      </c>
      <c r="S180" t="s">
        <v>102</v>
      </c>
      <c r="T180">
        <v>2023</v>
      </c>
      <c r="U180" t="s">
        <v>62</v>
      </c>
    </row>
    <row r="181" spans="1:21" x14ac:dyDescent="0.35">
      <c r="A181" s="1">
        <v>44771</v>
      </c>
      <c r="B181" t="s">
        <v>48</v>
      </c>
      <c r="C181" t="s">
        <v>49</v>
      </c>
      <c r="D181" t="s">
        <v>50</v>
      </c>
      <c r="E181">
        <v>160</v>
      </c>
      <c r="F181">
        <v>150</v>
      </c>
      <c r="G181">
        <f t="shared" si="6"/>
        <v>24000</v>
      </c>
      <c r="H181">
        <v>100</v>
      </c>
      <c r="I181">
        <f t="shared" si="7"/>
        <v>16000</v>
      </c>
      <c r="J181">
        <f t="shared" si="8"/>
        <v>8000</v>
      </c>
      <c r="K181" t="s">
        <v>24</v>
      </c>
      <c r="L181" t="s">
        <v>36</v>
      </c>
      <c r="M181" t="s">
        <v>26</v>
      </c>
      <c r="N181" t="s">
        <v>38</v>
      </c>
      <c r="O181">
        <v>527</v>
      </c>
      <c r="P181">
        <v>160</v>
      </c>
      <c r="Q181" t="s">
        <v>77</v>
      </c>
      <c r="R181" t="s">
        <v>78</v>
      </c>
      <c r="S181" t="s">
        <v>79</v>
      </c>
      <c r="T181">
        <v>2021</v>
      </c>
      <c r="U181" t="s">
        <v>31</v>
      </c>
    </row>
    <row r="182" spans="1:21" x14ac:dyDescent="0.35">
      <c r="A182" s="1">
        <v>44772</v>
      </c>
      <c r="B182" t="s">
        <v>21</v>
      </c>
      <c r="C182" t="s">
        <v>22</v>
      </c>
      <c r="D182" t="s">
        <v>23</v>
      </c>
      <c r="E182">
        <v>334</v>
      </c>
      <c r="F182">
        <v>8</v>
      </c>
      <c r="G182">
        <f t="shared" si="6"/>
        <v>2672</v>
      </c>
      <c r="H182">
        <v>5</v>
      </c>
      <c r="I182">
        <f t="shared" si="7"/>
        <v>1670</v>
      </c>
      <c r="J182">
        <f t="shared" si="8"/>
        <v>1002</v>
      </c>
      <c r="K182" t="s">
        <v>42</v>
      </c>
      <c r="L182" t="s">
        <v>25</v>
      </c>
      <c r="M182" t="s">
        <v>26</v>
      </c>
      <c r="N182" t="s">
        <v>38</v>
      </c>
      <c r="O182">
        <v>622</v>
      </c>
      <c r="P182">
        <v>334</v>
      </c>
      <c r="Q182" t="s">
        <v>94</v>
      </c>
      <c r="R182" t="s">
        <v>75</v>
      </c>
      <c r="S182" t="s">
        <v>95</v>
      </c>
      <c r="T182">
        <v>2020</v>
      </c>
      <c r="U182" t="s">
        <v>86</v>
      </c>
    </row>
    <row r="183" spans="1:21" x14ac:dyDescent="0.35">
      <c r="A183" s="1">
        <v>44773</v>
      </c>
      <c r="B183" t="s">
        <v>80</v>
      </c>
      <c r="C183" t="s">
        <v>81</v>
      </c>
      <c r="D183" t="s">
        <v>82</v>
      </c>
      <c r="E183">
        <v>201</v>
      </c>
      <c r="F183">
        <v>2.5</v>
      </c>
      <c r="G183">
        <f t="shared" si="6"/>
        <v>502.5</v>
      </c>
      <c r="H183">
        <v>1.5</v>
      </c>
      <c r="I183">
        <f t="shared" si="7"/>
        <v>301.5</v>
      </c>
      <c r="J183">
        <f t="shared" si="8"/>
        <v>201</v>
      </c>
      <c r="K183" t="s">
        <v>35</v>
      </c>
      <c r="L183" t="s">
        <v>36</v>
      </c>
      <c r="M183" t="s">
        <v>61</v>
      </c>
      <c r="N183" t="s">
        <v>43</v>
      </c>
      <c r="O183">
        <v>797</v>
      </c>
      <c r="P183">
        <v>201</v>
      </c>
      <c r="Q183" t="s">
        <v>92</v>
      </c>
      <c r="R183" t="s">
        <v>45</v>
      </c>
      <c r="S183" t="s">
        <v>93</v>
      </c>
      <c r="T183">
        <v>2023</v>
      </c>
      <c r="U183" t="s">
        <v>66</v>
      </c>
    </row>
    <row r="184" spans="1:21" x14ac:dyDescent="0.35">
      <c r="A184" s="1">
        <v>44774</v>
      </c>
      <c r="B184" t="s">
        <v>58</v>
      </c>
      <c r="C184" t="s">
        <v>59</v>
      </c>
      <c r="D184" t="s">
        <v>60</v>
      </c>
      <c r="E184">
        <v>329</v>
      </c>
      <c r="F184">
        <v>5</v>
      </c>
      <c r="G184">
        <f t="shared" si="6"/>
        <v>1645</v>
      </c>
      <c r="H184">
        <v>3</v>
      </c>
      <c r="I184">
        <f t="shared" si="7"/>
        <v>987</v>
      </c>
      <c r="J184">
        <f t="shared" si="8"/>
        <v>658</v>
      </c>
      <c r="K184" t="s">
        <v>42</v>
      </c>
      <c r="L184" t="s">
        <v>63</v>
      </c>
      <c r="M184" t="s">
        <v>61</v>
      </c>
      <c r="N184" t="s">
        <v>38</v>
      </c>
      <c r="O184">
        <v>838</v>
      </c>
      <c r="P184">
        <v>329</v>
      </c>
      <c r="Q184" t="s">
        <v>92</v>
      </c>
      <c r="R184" t="s">
        <v>45</v>
      </c>
      <c r="S184" t="s">
        <v>93</v>
      </c>
      <c r="T184">
        <v>2021</v>
      </c>
      <c r="U184" t="s">
        <v>109</v>
      </c>
    </row>
    <row r="185" spans="1:21" x14ac:dyDescent="0.35">
      <c r="A185" s="1">
        <v>44775</v>
      </c>
      <c r="B185" t="s">
        <v>21</v>
      </c>
      <c r="C185" t="s">
        <v>22</v>
      </c>
      <c r="D185" t="s">
        <v>23</v>
      </c>
      <c r="E185">
        <v>166</v>
      </c>
      <c r="F185">
        <v>8</v>
      </c>
      <c r="G185">
        <f t="shared" si="6"/>
        <v>1328</v>
      </c>
      <c r="H185">
        <v>5</v>
      </c>
      <c r="I185">
        <f t="shared" si="7"/>
        <v>830</v>
      </c>
      <c r="J185">
        <f t="shared" si="8"/>
        <v>498</v>
      </c>
      <c r="K185" t="s">
        <v>42</v>
      </c>
      <c r="L185" t="s">
        <v>36</v>
      </c>
      <c r="M185" t="s">
        <v>61</v>
      </c>
      <c r="N185" t="s">
        <v>27</v>
      </c>
      <c r="O185">
        <v>500</v>
      </c>
      <c r="P185">
        <v>166</v>
      </c>
      <c r="Q185" t="s">
        <v>94</v>
      </c>
      <c r="R185" t="s">
        <v>75</v>
      </c>
      <c r="S185" t="s">
        <v>95</v>
      </c>
      <c r="T185">
        <v>2021</v>
      </c>
      <c r="U185" t="s">
        <v>91</v>
      </c>
    </row>
    <row r="186" spans="1:21" x14ac:dyDescent="0.35">
      <c r="A186" s="1">
        <v>44776</v>
      </c>
      <c r="B186" t="s">
        <v>21</v>
      </c>
      <c r="C186" t="s">
        <v>22</v>
      </c>
      <c r="D186" t="s">
        <v>23</v>
      </c>
      <c r="E186">
        <v>17</v>
      </c>
      <c r="F186">
        <v>8</v>
      </c>
      <c r="G186">
        <f t="shared" si="6"/>
        <v>136</v>
      </c>
      <c r="H186">
        <v>5</v>
      </c>
      <c r="I186">
        <f t="shared" si="7"/>
        <v>85</v>
      </c>
      <c r="J186">
        <f t="shared" si="8"/>
        <v>51</v>
      </c>
      <c r="K186" t="s">
        <v>24</v>
      </c>
      <c r="L186" t="s">
        <v>36</v>
      </c>
      <c r="M186" t="s">
        <v>26</v>
      </c>
      <c r="N186" t="s">
        <v>27</v>
      </c>
      <c r="O186">
        <v>653</v>
      </c>
      <c r="P186">
        <v>17</v>
      </c>
      <c r="Q186" t="s">
        <v>113</v>
      </c>
      <c r="R186" t="s">
        <v>114</v>
      </c>
      <c r="S186" t="s">
        <v>115</v>
      </c>
      <c r="T186">
        <v>2024</v>
      </c>
      <c r="U186" t="s">
        <v>91</v>
      </c>
    </row>
    <row r="187" spans="1:21" x14ac:dyDescent="0.35">
      <c r="A187" s="1">
        <v>44777</v>
      </c>
      <c r="B187" t="s">
        <v>21</v>
      </c>
      <c r="C187" t="s">
        <v>22</v>
      </c>
      <c r="D187" t="s">
        <v>23</v>
      </c>
      <c r="E187">
        <v>324</v>
      </c>
      <c r="F187">
        <v>8</v>
      </c>
      <c r="G187">
        <f t="shared" si="6"/>
        <v>2592</v>
      </c>
      <c r="H187">
        <v>5</v>
      </c>
      <c r="I187">
        <f t="shared" si="7"/>
        <v>1620</v>
      </c>
      <c r="J187">
        <f t="shared" si="8"/>
        <v>972</v>
      </c>
      <c r="K187" t="s">
        <v>35</v>
      </c>
      <c r="L187" t="s">
        <v>36</v>
      </c>
      <c r="M187" t="s">
        <v>26</v>
      </c>
      <c r="N187" t="s">
        <v>27</v>
      </c>
      <c r="O187">
        <v>558</v>
      </c>
      <c r="P187">
        <v>324</v>
      </c>
      <c r="Q187" t="s">
        <v>101</v>
      </c>
      <c r="R187" t="s">
        <v>101</v>
      </c>
      <c r="S187" t="s">
        <v>102</v>
      </c>
      <c r="T187">
        <v>2024</v>
      </c>
      <c r="U187" t="s">
        <v>57</v>
      </c>
    </row>
    <row r="188" spans="1:21" x14ac:dyDescent="0.35">
      <c r="A188" s="1">
        <v>44778</v>
      </c>
      <c r="B188" t="s">
        <v>58</v>
      </c>
      <c r="C188" t="s">
        <v>59</v>
      </c>
      <c r="D188" t="s">
        <v>60</v>
      </c>
      <c r="E188">
        <v>35</v>
      </c>
      <c r="F188">
        <v>5</v>
      </c>
      <c r="G188">
        <f t="shared" si="6"/>
        <v>175</v>
      </c>
      <c r="H188">
        <v>3</v>
      </c>
      <c r="I188">
        <f t="shared" si="7"/>
        <v>105</v>
      </c>
      <c r="J188">
        <f t="shared" si="8"/>
        <v>70</v>
      </c>
      <c r="K188" t="s">
        <v>24</v>
      </c>
      <c r="L188" t="s">
        <v>36</v>
      </c>
      <c r="M188" t="s">
        <v>37</v>
      </c>
      <c r="N188" t="s">
        <v>43</v>
      </c>
      <c r="O188">
        <v>561</v>
      </c>
      <c r="P188">
        <v>35</v>
      </c>
      <c r="Q188" t="s">
        <v>67</v>
      </c>
      <c r="R188" t="s">
        <v>68</v>
      </c>
      <c r="S188" t="s">
        <v>69</v>
      </c>
      <c r="T188">
        <v>2023</v>
      </c>
      <c r="U188" t="s">
        <v>109</v>
      </c>
    </row>
    <row r="189" spans="1:21" x14ac:dyDescent="0.35">
      <c r="A189" s="1">
        <v>44779</v>
      </c>
      <c r="B189" t="s">
        <v>98</v>
      </c>
      <c r="C189" t="s">
        <v>99</v>
      </c>
      <c r="D189" t="s">
        <v>100</v>
      </c>
      <c r="E189">
        <v>474</v>
      </c>
      <c r="F189">
        <v>6</v>
      </c>
      <c r="G189">
        <f t="shared" si="6"/>
        <v>2844</v>
      </c>
      <c r="H189">
        <v>4</v>
      </c>
      <c r="I189">
        <f t="shared" si="7"/>
        <v>1896</v>
      </c>
      <c r="J189">
        <f t="shared" si="8"/>
        <v>948</v>
      </c>
      <c r="K189" t="s">
        <v>24</v>
      </c>
      <c r="L189" t="s">
        <v>73</v>
      </c>
      <c r="M189" t="s">
        <v>61</v>
      </c>
      <c r="N189" t="s">
        <v>38</v>
      </c>
      <c r="O189">
        <v>833</v>
      </c>
      <c r="P189">
        <v>474</v>
      </c>
      <c r="Q189" t="s">
        <v>113</v>
      </c>
      <c r="R189" t="s">
        <v>114</v>
      </c>
      <c r="S189" t="s">
        <v>115</v>
      </c>
      <c r="T189">
        <v>2020</v>
      </c>
      <c r="U189" t="s">
        <v>57</v>
      </c>
    </row>
    <row r="190" spans="1:21" x14ac:dyDescent="0.35">
      <c r="A190" s="1">
        <v>44780</v>
      </c>
      <c r="B190" t="s">
        <v>32</v>
      </c>
      <c r="C190" t="s">
        <v>33</v>
      </c>
      <c r="D190" t="s">
        <v>34</v>
      </c>
      <c r="E190">
        <v>291</v>
      </c>
      <c r="F190">
        <v>20</v>
      </c>
      <c r="G190">
        <f t="shared" si="6"/>
        <v>5820</v>
      </c>
      <c r="H190">
        <v>12</v>
      </c>
      <c r="I190">
        <f t="shared" si="7"/>
        <v>3492</v>
      </c>
      <c r="J190">
        <f t="shared" si="8"/>
        <v>2328</v>
      </c>
      <c r="K190" t="s">
        <v>35</v>
      </c>
      <c r="L190" t="s">
        <v>25</v>
      </c>
      <c r="M190" t="s">
        <v>61</v>
      </c>
      <c r="N190" t="s">
        <v>43</v>
      </c>
      <c r="O190">
        <v>744</v>
      </c>
      <c r="P190">
        <v>291</v>
      </c>
      <c r="Q190" t="s">
        <v>28</v>
      </c>
      <c r="R190" t="s">
        <v>29</v>
      </c>
      <c r="S190" t="s">
        <v>30</v>
      </c>
      <c r="T190">
        <v>2023</v>
      </c>
      <c r="U190" t="s">
        <v>86</v>
      </c>
    </row>
    <row r="191" spans="1:21" x14ac:dyDescent="0.35">
      <c r="A191" s="1">
        <v>44781</v>
      </c>
      <c r="B191" t="s">
        <v>98</v>
      </c>
      <c r="C191" t="s">
        <v>99</v>
      </c>
      <c r="D191" t="s">
        <v>100</v>
      </c>
      <c r="E191">
        <v>340</v>
      </c>
      <c r="F191">
        <v>6</v>
      </c>
      <c r="G191">
        <f t="shared" si="6"/>
        <v>2040</v>
      </c>
      <c r="H191">
        <v>4</v>
      </c>
      <c r="I191">
        <f t="shared" si="7"/>
        <v>1360</v>
      </c>
      <c r="J191">
        <f t="shared" si="8"/>
        <v>680</v>
      </c>
      <c r="K191" t="s">
        <v>42</v>
      </c>
      <c r="L191" t="s">
        <v>25</v>
      </c>
      <c r="M191" t="s">
        <v>37</v>
      </c>
      <c r="N191" t="s">
        <v>43</v>
      </c>
      <c r="O191">
        <v>733</v>
      </c>
      <c r="P191">
        <v>340</v>
      </c>
      <c r="Q191" t="s">
        <v>83</v>
      </c>
      <c r="R191" t="s">
        <v>84</v>
      </c>
      <c r="S191" t="s">
        <v>85</v>
      </c>
      <c r="T191">
        <v>2020</v>
      </c>
      <c r="U191" t="s">
        <v>66</v>
      </c>
    </row>
    <row r="192" spans="1:21" x14ac:dyDescent="0.35">
      <c r="A192" s="1">
        <v>44782</v>
      </c>
      <c r="B192" t="s">
        <v>80</v>
      </c>
      <c r="C192" t="s">
        <v>81</v>
      </c>
      <c r="D192" t="s">
        <v>82</v>
      </c>
      <c r="E192">
        <v>138</v>
      </c>
      <c r="F192">
        <v>2.5</v>
      </c>
      <c r="G192">
        <f t="shared" si="6"/>
        <v>345</v>
      </c>
      <c r="H192">
        <v>1.5</v>
      </c>
      <c r="I192">
        <f t="shared" si="7"/>
        <v>207</v>
      </c>
      <c r="J192">
        <f t="shared" si="8"/>
        <v>138</v>
      </c>
      <c r="K192" t="s">
        <v>35</v>
      </c>
      <c r="L192" t="s">
        <v>36</v>
      </c>
      <c r="M192" t="s">
        <v>37</v>
      </c>
      <c r="N192" t="s">
        <v>27</v>
      </c>
      <c r="O192">
        <v>540</v>
      </c>
      <c r="P192">
        <v>138</v>
      </c>
      <c r="Q192" t="s">
        <v>44</v>
      </c>
      <c r="R192" t="s">
        <v>45</v>
      </c>
      <c r="S192" t="s">
        <v>46</v>
      </c>
      <c r="T192">
        <v>2021</v>
      </c>
      <c r="U192" t="s">
        <v>53</v>
      </c>
    </row>
    <row r="193" spans="1:21" x14ac:dyDescent="0.35">
      <c r="A193" s="1">
        <v>44783</v>
      </c>
      <c r="B193" t="s">
        <v>32</v>
      </c>
      <c r="C193" t="s">
        <v>33</v>
      </c>
      <c r="D193" t="s">
        <v>34</v>
      </c>
      <c r="E193">
        <v>382</v>
      </c>
      <c r="F193">
        <v>20</v>
      </c>
      <c r="G193">
        <f t="shared" si="6"/>
        <v>7640</v>
      </c>
      <c r="H193">
        <v>12</v>
      </c>
      <c r="I193">
        <f t="shared" si="7"/>
        <v>4584</v>
      </c>
      <c r="J193">
        <f t="shared" si="8"/>
        <v>3056</v>
      </c>
      <c r="K193" t="s">
        <v>24</v>
      </c>
      <c r="L193" t="s">
        <v>73</v>
      </c>
      <c r="M193" t="s">
        <v>26</v>
      </c>
      <c r="N193" t="s">
        <v>43</v>
      </c>
      <c r="O193">
        <v>816</v>
      </c>
      <c r="P193">
        <v>382</v>
      </c>
      <c r="Q193" t="s">
        <v>103</v>
      </c>
      <c r="R193" t="s">
        <v>68</v>
      </c>
      <c r="S193" t="s">
        <v>104</v>
      </c>
      <c r="T193">
        <v>2022</v>
      </c>
      <c r="U193" t="s">
        <v>109</v>
      </c>
    </row>
    <row r="194" spans="1:21" x14ac:dyDescent="0.35">
      <c r="A194" s="1">
        <v>44784</v>
      </c>
      <c r="B194" t="s">
        <v>80</v>
      </c>
      <c r="C194" t="s">
        <v>81</v>
      </c>
      <c r="D194" t="s">
        <v>82</v>
      </c>
      <c r="E194">
        <v>224</v>
      </c>
      <c r="F194">
        <v>2.5</v>
      </c>
      <c r="G194">
        <f t="shared" si="6"/>
        <v>560</v>
      </c>
      <c r="H194">
        <v>1.5</v>
      </c>
      <c r="I194">
        <f t="shared" si="7"/>
        <v>336</v>
      </c>
      <c r="J194">
        <f t="shared" si="8"/>
        <v>224</v>
      </c>
      <c r="K194" t="s">
        <v>42</v>
      </c>
      <c r="L194" t="s">
        <v>73</v>
      </c>
      <c r="M194" t="s">
        <v>37</v>
      </c>
      <c r="N194" t="s">
        <v>43</v>
      </c>
      <c r="O194">
        <v>664</v>
      </c>
      <c r="P194">
        <v>224</v>
      </c>
      <c r="Q194" t="s">
        <v>106</v>
      </c>
      <c r="R194" t="s">
        <v>107</v>
      </c>
      <c r="S194" t="s">
        <v>108</v>
      </c>
      <c r="T194">
        <v>2020</v>
      </c>
      <c r="U194" t="s">
        <v>96</v>
      </c>
    </row>
    <row r="195" spans="1:21" x14ac:dyDescent="0.35">
      <c r="A195" s="1">
        <v>44785</v>
      </c>
      <c r="B195" t="s">
        <v>32</v>
      </c>
      <c r="C195" t="s">
        <v>33</v>
      </c>
      <c r="D195" t="s">
        <v>34</v>
      </c>
      <c r="E195">
        <v>102</v>
      </c>
      <c r="F195">
        <v>20</v>
      </c>
      <c r="G195">
        <f t="shared" ref="G195:G258" si="9">E195*F195</f>
        <v>2040</v>
      </c>
      <c r="H195">
        <v>12</v>
      </c>
      <c r="I195">
        <f t="shared" ref="I195:I258" si="10">E195*H195</f>
        <v>1224</v>
      </c>
      <c r="J195">
        <f t="shared" ref="J195:J258" si="11">G195-I195</f>
        <v>816</v>
      </c>
      <c r="K195" t="s">
        <v>24</v>
      </c>
      <c r="L195" t="s">
        <v>25</v>
      </c>
      <c r="M195" t="s">
        <v>37</v>
      </c>
      <c r="N195" t="s">
        <v>38</v>
      </c>
      <c r="O195">
        <v>915</v>
      </c>
      <c r="P195">
        <v>102</v>
      </c>
      <c r="Q195" t="s">
        <v>113</v>
      </c>
      <c r="R195" t="s">
        <v>114</v>
      </c>
      <c r="S195" t="s">
        <v>115</v>
      </c>
      <c r="T195">
        <v>2022</v>
      </c>
      <c r="U195" t="s">
        <v>66</v>
      </c>
    </row>
    <row r="196" spans="1:21" x14ac:dyDescent="0.35">
      <c r="A196" s="1">
        <v>44786</v>
      </c>
      <c r="B196" t="s">
        <v>32</v>
      </c>
      <c r="C196" t="s">
        <v>33</v>
      </c>
      <c r="D196" t="s">
        <v>34</v>
      </c>
      <c r="E196">
        <v>216</v>
      </c>
      <c r="F196">
        <v>20</v>
      </c>
      <c r="G196">
        <f t="shared" si="9"/>
        <v>4320</v>
      </c>
      <c r="H196">
        <v>12</v>
      </c>
      <c r="I196">
        <f t="shared" si="10"/>
        <v>2592</v>
      </c>
      <c r="J196">
        <f t="shared" si="11"/>
        <v>1728</v>
      </c>
      <c r="K196" t="s">
        <v>35</v>
      </c>
      <c r="L196" t="s">
        <v>25</v>
      </c>
      <c r="M196" t="s">
        <v>61</v>
      </c>
      <c r="N196" t="s">
        <v>27</v>
      </c>
      <c r="O196">
        <v>943</v>
      </c>
      <c r="P196">
        <v>216</v>
      </c>
      <c r="Q196" t="s">
        <v>54</v>
      </c>
      <c r="R196" t="s">
        <v>55</v>
      </c>
      <c r="S196" t="s">
        <v>56</v>
      </c>
      <c r="T196">
        <v>2024</v>
      </c>
      <c r="U196" t="s">
        <v>96</v>
      </c>
    </row>
    <row r="197" spans="1:21" x14ac:dyDescent="0.35">
      <c r="A197" s="1">
        <v>44787</v>
      </c>
      <c r="B197" t="s">
        <v>98</v>
      </c>
      <c r="C197" t="s">
        <v>99</v>
      </c>
      <c r="D197" t="s">
        <v>100</v>
      </c>
      <c r="E197">
        <v>190</v>
      </c>
      <c r="F197">
        <v>6</v>
      </c>
      <c r="G197">
        <f t="shared" si="9"/>
        <v>1140</v>
      </c>
      <c r="H197">
        <v>4</v>
      </c>
      <c r="I197">
        <f t="shared" si="10"/>
        <v>760</v>
      </c>
      <c r="J197">
        <f t="shared" si="11"/>
        <v>380</v>
      </c>
      <c r="K197" t="s">
        <v>42</v>
      </c>
      <c r="L197" t="s">
        <v>63</v>
      </c>
      <c r="M197" t="s">
        <v>26</v>
      </c>
      <c r="N197" t="s">
        <v>43</v>
      </c>
      <c r="O197">
        <v>625</v>
      </c>
      <c r="P197">
        <v>190</v>
      </c>
      <c r="Q197" t="s">
        <v>70</v>
      </c>
      <c r="R197" t="s">
        <v>71</v>
      </c>
      <c r="S197" t="s">
        <v>72</v>
      </c>
      <c r="T197">
        <v>2024</v>
      </c>
      <c r="U197" t="s">
        <v>53</v>
      </c>
    </row>
    <row r="198" spans="1:21" x14ac:dyDescent="0.35">
      <c r="A198" s="1">
        <v>44788</v>
      </c>
      <c r="B198" t="s">
        <v>32</v>
      </c>
      <c r="C198" t="s">
        <v>33</v>
      </c>
      <c r="D198" t="s">
        <v>34</v>
      </c>
      <c r="E198">
        <v>338</v>
      </c>
      <c r="F198">
        <v>20</v>
      </c>
      <c r="G198">
        <f t="shared" si="9"/>
        <v>6760</v>
      </c>
      <c r="H198">
        <v>12</v>
      </c>
      <c r="I198">
        <f t="shared" si="10"/>
        <v>4056</v>
      </c>
      <c r="J198">
        <f t="shared" si="11"/>
        <v>2704</v>
      </c>
      <c r="K198" t="s">
        <v>42</v>
      </c>
      <c r="L198" t="s">
        <v>36</v>
      </c>
      <c r="M198" t="s">
        <v>26</v>
      </c>
      <c r="N198" t="s">
        <v>27</v>
      </c>
      <c r="O198">
        <v>510</v>
      </c>
      <c r="P198">
        <v>338</v>
      </c>
      <c r="Q198" t="s">
        <v>94</v>
      </c>
      <c r="R198" t="s">
        <v>75</v>
      </c>
      <c r="S198" t="s">
        <v>95</v>
      </c>
      <c r="T198">
        <v>2023</v>
      </c>
      <c r="U198" t="s">
        <v>91</v>
      </c>
    </row>
    <row r="199" spans="1:21" x14ac:dyDescent="0.35">
      <c r="A199" s="1">
        <v>44789</v>
      </c>
      <c r="B199" t="s">
        <v>58</v>
      </c>
      <c r="C199" t="s">
        <v>59</v>
      </c>
      <c r="D199" t="s">
        <v>60</v>
      </c>
      <c r="E199">
        <v>475</v>
      </c>
      <c r="F199">
        <v>5</v>
      </c>
      <c r="G199">
        <f t="shared" si="9"/>
        <v>2375</v>
      </c>
      <c r="H199">
        <v>3</v>
      </c>
      <c r="I199">
        <f t="shared" si="10"/>
        <v>1425</v>
      </c>
      <c r="J199">
        <f t="shared" si="11"/>
        <v>950</v>
      </c>
      <c r="K199" t="s">
        <v>42</v>
      </c>
      <c r="L199" t="s">
        <v>63</v>
      </c>
      <c r="M199" t="s">
        <v>37</v>
      </c>
      <c r="N199" t="s">
        <v>43</v>
      </c>
      <c r="O199">
        <v>895</v>
      </c>
      <c r="P199">
        <v>475</v>
      </c>
      <c r="Q199" t="s">
        <v>103</v>
      </c>
      <c r="R199" t="s">
        <v>68</v>
      </c>
      <c r="S199" t="s">
        <v>104</v>
      </c>
      <c r="T199">
        <v>2023</v>
      </c>
      <c r="U199" t="s">
        <v>91</v>
      </c>
    </row>
    <row r="200" spans="1:21" x14ac:dyDescent="0.35">
      <c r="A200" s="1">
        <v>44790</v>
      </c>
      <c r="B200" t="s">
        <v>58</v>
      </c>
      <c r="C200" t="s">
        <v>59</v>
      </c>
      <c r="D200" t="s">
        <v>60</v>
      </c>
      <c r="E200">
        <v>239</v>
      </c>
      <c r="F200">
        <v>5</v>
      </c>
      <c r="G200">
        <f t="shared" si="9"/>
        <v>1195</v>
      </c>
      <c r="H200">
        <v>3</v>
      </c>
      <c r="I200">
        <f t="shared" si="10"/>
        <v>717</v>
      </c>
      <c r="J200">
        <f t="shared" si="11"/>
        <v>478</v>
      </c>
      <c r="K200" t="s">
        <v>42</v>
      </c>
      <c r="L200" t="s">
        <v>73</v>
      </c>
      <c r="M200" t="s">
        <v>37</v>
      </c>
      <c r="N200" t="s">
        <v>38</v>
      </c>
      <c r="O200">
        <v>909</v>
      </c>
      <c r="P200">
        <v>239</v>
      </c>
      <c r="Q200" t="s">
        <v>90</v>
      </c>
      <c r="R200" t="s">
        <v>55</v>
      </c>
      <c r="S200" t="s">
        <v>85</v>
      </c>
      <c r="T200">
        <v>2024</v>
      </c>
      <c r="U200" t="s">
        <v>109</v>
      </c>
    </row>
    <row r="201" spans="1:21" x14ac:dyDescent="0.35">
      <c r="A201" s="1">
        <v>44791</v>
      </c>
      <c r="B201" t="s">
        <v>58</v>
      </c>
      <c r="C201" t="s">
        <v>59</v>
      </c>
      <c r="D201" t="s">
        <v>60</v>
      </c>
      <c r="E201">
        <v>414</v>
      </c>
      <c r="F201">
        <v>5</v>
      </c>
      <c r="G201">
        <f t="shared" si="9"/>
        <v>2070</v>
      </c>
      <c r="H201">
        <v>3</v>
      </c>
      <c r="I201">
        <f t="shared" si="10"/>
        <v>1242</v>
      </c>
      <c r="J201">
        <f t="shared" si="11"/>
        <v>828</v>
      </c>
      <c r="K201" t="s">
        <v>35</v>
      </c>
      <c r="L201" t="s">
        <v>73</v>
      </c>
      <c r="M201" t="s">
        <v>37</v>
      </c>
      <c r="N201" t="s">
        <v>27</v>
      </c>
      <c r="O201">
        <v>832</v>
      </c>
      <c r="P201">
        <v>414</v>
      </c>
      <c r="Q201" t="s">
        <v>87</v>
      </c>
      <c r="R201" t="s">
        <v>88</v>
      </c>
      <c r="S201" t="s">
        <v>89</v>
      </c>
      <c r="T201">
        <v>2024</v>
      </c>
      <c r="U201" t="s">
        <v>105</v>
      </c>
    </row>
    <row r="202" spans="1:21" x14ac:dyDescent="0.35">
      <c r="A202" s="1">
        <v>44792</v>
      </c>
      <c r="B202" t="s">
        <v>48</v>
      </c>
      <c r="C202" t="s">
        <v>49</v>
      </c>
      <c r="D202" t="s">
        <v>50</v>
      </c>
      <c r="E202">
        <v>237</v>
      </c>
      <c r="F202">
        <v>150</v>
      </c>
      <c r="G202">
        <f t="shared" si="9"/>
        <v>35550</v>
      </c>
      <c r="H202">
        <v>100</v>
      </c>
      <c r="I202">
        <f t="shared" si="10"/>
        <v>23700</v>
      </c>
      <c r="J202">
        <f t="shared" si="11"/>
        <v>11850</v>
      </c>
      <c r="K202" t="s">
        <v>42</v>
      </c>
      <c r="L202" t="s">
        <v>73</v>
      </c>
      <c r="M202" t="s">
        <v>61</v>
      </c>
      <c r="N202" t="s">
        <v>38</v>
      </c>
      <c r="O202">
        <v>709</v>
      </c>
      <c r="P202">
        <v>237</v>
      </c>
      <c r="Q202" t="s">
        <v>70</v>
      </c>
      <c r="R202" t="s">
        <v>71</v>
      </c>
      <c r="S202" t="s">
        <v>72</v>
      </c>
      <c r="T202">
        <v>2020</v>
      </c>
      <c r="U202" t="s">
        <v>91</v>
      </c>
    </row>
    <row r="203" spans="1:21" x14ac:dyDescent="0.35">
      <c r="A203" s="1">
        <v>44793</v>
      </c>
      <c r="B203" t="s">
        <v>32</v>
      </c>
      <c r="C203" t="s">
        <v>33</v>
      </c>
      <c r="D203" t="s">
        <v>34</v>
      </c>
      <c r="E203">
        <v>268</v>
      </c>
      <c r="F203">
        <v>20</v>
      </c>
      <c r="G203">
        <f t="shared" si="9"/>
        <v>5360</v>
      </c>
      <c r="H203">
        <v>12</v>
      </c>
      <c r="I203">
        <f t="shared" si="10"/>
        <v>3216</v>
      </c>
      <c r="J203">
        <f t="shared" si="11"/>
        <v>2144</v>
      </c>
      <c r="K203" t="s">
        <v>35</v>
      </c>
      <c r="L203" t="s">
        <v>63</v>
      </c>
      <c r="M203" t="s">
        <v>26</v>
      </c>
      <c r="N203" t="s">
        <v>38</v>
      </c>
      <c r="O203">
        <v>785</v>
      </c>
      <c r="P203">
        <v>268</v>
      </c>
      <c r="Q203" t="s">
        <v>87</v>
      </c>
      <c r="R203" t="s">
        <v>88</v>
      </c>
      <c r="S203" t="s">
        <v>89</v>
      </c>
      <c r="T203">
        <v>2022</v>
      </c>
      <c r="U203" t="s">
        <v>62</v>
      </c>
    </row>
    <row r="204" spans="1:21" x14ac:dyDescent="0.35">
      <c r="A204" s="1">
        <v>44794</v>
      </c>
      <c r="B204" t="s">
        <v>21</v>
      </c>
      <c r="C204" t="s">
        <v>22</v>
      </c>
      <c r="D204" t="s">
        <v>23</v>
      </c>
      <c r="E204">
        <v>361</v>
      </c>
      <c r="F204">
        <v>8</v>
      </c>
      <c r="G204">
        <f t="shared" si="9"/>
        <v>2888</v>
      </c>
      <c r="H204">
        <v>5</v>
      </c>
      <c r="I204">
        <f t="shared" si="10"/>
        <v>1805</v>
      </c>
      <c r="J204">
        <f t="shared" si="11"/>
        <v>1083</v>
      </c>
      <c r="K204" t="s">
        <v>24</v>
      </c>
      <c r="L204" t="s">
        <v>25</v>
      </c>
      <c r="M204" t="s">
        <v>26</v>
      </c>
      <c r="N204" t="s">
        <v>38</v>
      </c>
      <c r="O204">
        <v>864</v>
      </c>
      <c r="P204">
        <v>361</v>
      </c>
      <c r="Q204" t="s">
        <v>70</v>
      </c>
      <c r="R204" t="s">
        <v>71</v>
      </c>
      <c r="S204" t="s">
        <v>72</v>
      </c>
      <c r="T204">
        <v>2021</v>
      </c>
      <c r="U204" t="s">
        <v>86</v>
      </c>
    </row>
    <row r="205" spans="1:21" x14ac:dyDescent="0.35">
      <c r="A205" s="1">
        <v>44795</v>
      </c>
      <c r="B205" t="s">
        <v>48</v>
      </c>
      <c r="C205" t="s">
        <v>49</v>
      </c>
      <c r="D205" t="s">
        <v>50</v>
      </c>
      <c r="E205">
        <v>229</v>
      </c>
      <c r="F205">
        <v>150</v>
      </c>
      <c r="G205">
        <f t="shared" si="9"/>
        <v>34350</v>
      </c>
      <c r="H205">
        <v>100</v>
      </c>
      <c r="I205">
        <f t="shared" si="10"/>
        <v>22900</v>
      </c>
      <c r="J205">
        <f t="shared" si="11"/>
        <v>11450</v>
      </c>
      <c r="K205" t="s">
        <v>42</v>
      </c>
      <c r="L205" t="s">
        <v>73</v>
      </c>
      <c r="M205" t="s">
        <v>61</v>
      </c>
      <c r="N205" t="s">
        <v>27</v>
      </c>
      <c r="O205">
        <v>812</v>
      </c>
      <c r="P205">
        <v>229</v>
      </c>
      <c r="Q205" t="s">
        <v>87</v>
      </c>
      <c r="R205" t="s">
        <v>88</v>
      </c>
      <c r="S205" t="s">
        <v>89</v>
      </c>
      <c r="T205">
        <v>2021</v>
      </c>
      <c r="U205" t="s">
        <v>109</v>
      </c>
    </row>
    <row r="206" spans="1:21" x14ac:dyDescent="0.35">
      <c r="A206" s="1">
        <v>44796</v>
      </c>
      <c r="B206" t="s">
        <v>80</v>
      </c>
      <c r="C206" t="s">
        <v>81</v>
      </c>
      <c r="D206" t="s">
        <v>82</v>
      </c>
      <c r="E206">
        <v>311</v>
      </c>
      <c r="F206">
        <v>2.5</v>
      </c>
      <c r="G206">
        <f t="shared" si="9"/>
        <v>777.5</v>
      </c>
      <c r="H206">
        <v>1.5</v>
      </c>
      <c r="I206">
        <f t="shared" si="10"/>
        <v>466.5</v>
      </c>
      <c r="J206">
        <f t="shared" si="11"/>
        <v>311</v>
      </c>
      <c r="K206" t="s">
        <v>42</v>
      </c>
      <c r="L206" t="s">
        <v>36</v>
      </c>
      <c r="M206" t="s">
        <v>26</v>
      </c>
      <c r="N206" t="s">
        <v>27</v>
      </c>
      <c r="O206">
        <v>677</v>
      </c>
      <c r="P206">
        <v>311</v>
      </c>
      <c r="Q206" t="s">
        <v>110</v>
      </c>
      <c r="R206" t="s">
        <v>111</v>
      </c>
      <c r="S206" t="s">
        <v>112</v>
      </c>
      <c r="T206">
        <v>2021</v>
      </c>
      <c r="U206" t="s">
        <v>86</v>
      </c>
    </row>
    <row r="207" spans="1:21" x14ac:dyDescent="0.35">
      <c r="A207" s="1">
        <v>44797</v>
      </c>
      <c r="B207" t="s">
        <v>80</v>
      </c>
      <c r="C207" t="s">
        <v>81</v>
      </c>
      <c r="D207" t="s">
        <v>82</v>
      </c>
      <c r="E207">
        <v>210</v>
      </c>
      <c r="F207">
        <v>2.5</v>
      </c>
      <c r="G207">
        <f t="shared" si="9"/>
        <v>525</v>
      </c>
      <c r="H207">
        <v>1.5</v>
      </c>
      <c r="I207">
        <f t="shared" si="10"/>
        <v>315</v>
      </c>
      <c r="J207">
        <f t="shared" si="11"/>
        <v>210</v>
      </c>
      <c r="K207" t="s">
        <v>42</v>
      </c>
      <c r="L207" t="s">
        <v>36</v>
      </c>
      <c r="M207" t="s">
        <v>61</v>
      </c>
      <c r="N207" t="s">
        <v>27</v>
      </c>
      <c r="O207">
        <v>876</v>
      </c>
      <c r="P207">
        <v>210</v>
      </c>
      <c r="Q207" t="s">
        <v>51</v>
      </c>
      <c r="R207" t="s">
        <v>45</v>
      </c>
      <c r="S207" t="s">
        <v>52</v>
      </c>
      <c r="T207">
        <v>2021</v>
      </c>
      <c r="U207" t="s">
        <v>66</v>
      </c>
    </row>
    <row r="208" spans="1:21" x14ac:dyDescent="0.35">
      <c r="A208" s="1">
        <v>44798</v>
      </c>
      <c r="B208" t="s">
        <v>21</v>
      </c>
      <c r="C208" t="s">
        <v>22</v>
      </c>
      <c r="D208" t="s">
        <v>23</v>
      </c>
      <c r="E208">
        <v>376</v>
      </c>
      <c r="F208">
        <v>8</v>
      </c>
      <c r="G208">
        <f t="shared" si="9"/>
        <v>3008</v>
      </c>
      <c r="H208">
        <v>5</v>
      </c>
      <c r="I208">
        <f t="shared" si="10"/>
        <v>1880</v>
      </c>
      <c r="J208">
        <f t="shared" si="11"/>
        <v>1128</v>
      </c>
      <c r="K208" t="s">
        <v>35</v>
      </c>
      <c r="L208" t="s">
        <v>25</v>
      </c>
      <c r="M208" t="s">
        <v>37</v>
      </c>
      <c r="N208" t="s">
        <v>27</v>
      </c>
      <c r="O208">
        <v>694</v>
      </c>
      <c r="P208">
        <v>376</v>
      </c>
      <c r="Q208" t="s">
        <v>83</v>
      </c>
      <c r="R208" t="s">
        <v>84</v>
      </c>
      <c r="S208" t="s">
        <v>85</v>
      </c>
      <c r="T208">
        <v>2021</v>
      </c>
      <c r="U208" t="s">
        <v>91</v>
      </c>
    </row>
    <row r="209" spans="1:21" x14ac:dyDescent="0.35">
      <c r="A209" s="1">
        <v>44799</v>
      </c>
      <c r="B209" t="s">
        <v>21</v>
      </c>
      <c r="C209" t="s">
        <v>22</v>
      </c>
      <c r="D209" t="s">
        <v>23</v>
      </c>
      <c r="E209">
        <v>25</v>
      </c>
      <c r="F209">
        <v>8</v>
      </c>
      <c r="G209">
        <f t="shared" si="9"/>
        <v>200</v>
      </c>
      <c r="H209">
        <v>5</v>
      </c>
      <c r="I209">
        <f t="shared" si="10"/>
        <v>125</v>
      </c>
      <c r="J209">
        <f t="shared" si="11"/>
        <v>75</v>
      </c>
      <c r="K209" t="s">
        <v>35</v>
      </c>
      <c r="L209" t="s">
        <v>25</v>
      </c>
      <c r="M209" t="s">
        <v>37</v>
      </c>
      <c r="N209" t="s">
        <v>38</v>
      </c>
      <c r="O209">
        <v>858</v>
      </c>
      <c r="P209">
        <v>25</v>
      </c>
      <c r="Q209" t="s">
        <v>54</v>
      </c>
      <c r="R209" t="s">
        <v>55</v>
      </c>
      <c r="S209" t="s">
        <v>56</v>
      </c>
      <c r="T209">
        <v>2023</v>
      </c>
      <c r="U209" t="s">
        <v>66</v>
      </c>
    </row>
    <row r="210" spans="1:21" x14ac:dyDescent="0.35">
      <c r="A210" s="1">
        <v>44800</v>
      </c>
      <c r="B210" t="s">
        <v>21</v>
      </c>
      <c r="C210" t="s">
        <v>22</v>
      </c>
      <c r="D210" t="s">
        <v>23</v>
      </c>
      <c r="E210">
        <v>78</v>
      </c>
      <c r="F210">
        <v>8</v>
      </c>
      <c r="G210">
        <f t="shared" si="9"/>
        <v>624</v>
      </c>
      <c r="H210">
        <v>5</v>
      </c>
      <c r="I210">
        <f t="shared" si="10"/>
        <v>390</v>
      </c>
      <c r="J210">
        <f t="shared" si="11"/>
        <v>234</v>
      </c>
      <c r="K210" t="s">
        <v>35</v>
      </c>
      <c r="L210" t="s">
        <v>73</v>
      </c>
      <c r="M210" t="s">
        <v>37</v>
      </c>
      <c r="N210" t="s">
        <v>43</v>
      </c>
      <c r="O210">
        <v>612</v>
      </c>
      <c r="P210">
        <v>78</v>
      </c>
      <c r="Q210" t="s">
        <v>64</v>
      </c>
      <c r="R210" t="s">
        <v>29</v>
      </c>
      <c r="S210" t="s">
        <v>65</v>
      </c>
      <c r="T210">
        <v>2023</v>
      </c>
      <c r="U210" t="s">
        <v>86</v>
      </c>
    </row>
    <row r="211" spans="1:21" x14ac:dyDescent="0.35">
      <c r="A211" s="1">
        <v>44801</v>
      </c>
      <c r="B211" t="s">
        <v>58</v>
      </c>
      <c r="C211" t="s">
        <v>59</v>
      </c>
      <c r="D211" t="s">
        <v>60</v>
      </c>
      <c r="E211">
        <v>253</v>
      </c>
      <c r="F211">
        <v>5</v>
      </c>
      <c r="G211">
        <f t="shared" si="9"/>
        <v>1265</v>
      </c>
      <c r="H211">
        <v>3</v>
      </c>
      <c r="I211">
        <f t="shared" si="10"/>
        <v>759</v>
      </c>
      <c r="J211">
        <f t="shared" si="11"/>
        <v>506</v>
      </c>
      <c r="K211" t="s">
        <v>24</v>
      </c>
      <c r="L211" t="s">
        <v>73</v>
      </c>
      <c r="M211" t="s">
        <v>61</v>
      </c>
      <c r="N211" t="s">
        <v>43</v>
      </c>
      <c r="O211">
        <v>581</v>
      </c>
      <c r="P211">
        <v>253</v>
      </c>
      <c r="Q211" t="s">
        <v>44</v>
      </c>
      <c r="R211" t="s">
        <v>45</v>
      </c>
      <c r="S211" t="s">
        <v>46</v>
      </c>
      <c r="T211">
        <v>2023</v>
      </c>
      <c r="U211" t="s">
        <v>53</v>
      </c>
    </row>
    <row r="212" spans="1:21" x14ac:dyDescent="0.35">
      <c r="A212" s="1">
        <v>44802</v>
      </c>
      <c r="B212" t="s">
        <v>21</v>
      </c>
      <c r="C212" t="s">
        <v>22</v>
      </c>
      <c r="D212" t="s">
        <v>23</v>
      </c>
      <c r="E212">
        <v>95</v>
      </c>
      <c r="F212">
        <v>8</v>
      </c>
      <c r="G212">
        <f t="shared" si="9"/>
        <v>760</v>
      </c>
      <c r="H212">
        <v>5</v>
      </c>
      <c r="I212">
        <f t="shared" si="10"/>
        <v>475</v>
      </c>
      <c r="J212">
        <f t="shared" si="11"/>
        <v>285</v>
      </c>
      <c r="K212" t="s">
        <v>42</v>
      </c>
      <c r="L212" t="s">
        <v>63</v>
      </c>
      <c r="M212" t="s">
        <v>37</v>
      </c>
      <c r="N212" t="s">
        <v>27</v>
      </c>
      <c r="O212">
        <v>943</v>
      </c>
      <c r="P212">
        <v>95</v>
      </c>
      <c r="Q212" t="s">
        <v>90</v>
      </c>
      <c r="R212" t="s">
        <v>55</v>
      </c>
      <c r="S212" t="s">
        <v>85</v>
      </c>
      <c r="T212">
        <v>2023</v>
      </c>
      <c r="U212" t="s">
        <v>47</v>
      </c>
    </row>
    <row r="213" spans="1:21" x14ac:dyDescent="0.35">
      <c r="A213" s="1">
        <v>44803</v>
      </c>
      <c r="B213" t="s">
        <v>21</v>
      </c>
      <c r="C213" t="s">
        <v>22</v>
      </c>
      <c r="D213" t="s">
        <v>23</v>
      </c>
      <c r="E213">
        <v>255</v>
      </c>
      <c r="F213">
        <v>8</v>
      </c>
      <c r="G213">
        <f t="shared" si="9"/>
        <v>2040</v>
      </c>
      <c r="H213">
        <v>5</v>
      </c>
      <c r="I213">
        <f t="shared" si="10"/>
        <v>1275</v>
      </c>
      <c r="J213">
        <f t="shared" si="11"/>
        <v>765</v>
      </c>
      <c r="K213" t="s">
        <v>42</v>
      </c>
      <c r="L213" t="s">
        <v>73</v>
      </c>
      <c r="M213" t="s">
        <v>61</v>
      </c>
      <c r="N213" t="s">
        <v>43</v>
      </c>
      <c r="O213">
        <v>840</v>
      </c>
      <c r="P213">
        <v>255</v>
      </c>
      <c r="Q213" t="s">
        <v>103</v>
      </c>
      <c r="R213" t="s">
        <v>68</v>
      </c>
      <c r="S213" t="s">
        <v>104</v>
      </c>
      <c r="T213">
        <v>2021</v>
      </c>
      <c r="U213" t="s">
        <v>109</v>
      </c>
    </row>
    <row r="214" spans="1:21" x14ac:dyDescent="0.35">
      <c r="A214" s="1">
        <v>44804</v>
      </c>
      <c r="B214" t="s">
        <v>48</v>
      </c>
      <c r="C214" t="s">
        <v>49</v>
      </c>
      <c r="D214" t="s">
        <v>50</v>
      </c>
      <c r="E214">
        <v>127</v>
      </c>
      <c r="F214">
        <v>150</v>
      </c>
      <c r="G214">
        <f t="shared" si="9"/>
        <v>19050</v>
      </c>
      <c r="H214">
        <v>100</v>
      </c>
      <c r="I214">
        <f t="shared" si="10"/>
        <v>12700</v>
      </c>
      <c r="J214">
        <f t="shared" si="11"/>
        <v>6350</v>
      </c>
      <c r="K214" t="s">
        <v>35</v>
      </c>
      <c r="L214" t="s">
        <v>63</v>
      </c>
      <c r="M214" t="s">
        <v>61</v>
      </c>
      <c r="N214" t="s">
        <v>27</v>
      </c>
      <c r="O214">
        <v>872</v>
      </c>
      <c r="P214">
        <v>127</v>
      </c>
      <c r="Q214" t="s">
        <v>54</v>
      </c>
      <c r="R214" t="s">
        <v>55</v>
      </c>
      <c r="S214" t="s">
        <v>56</v>
      </c>
      <c r="T214">
        <v>2024</v>
      </c>
      <c r="U214" t="s">
        <v>91</v>
      </c>
    </row>
    <row r="215" spans="1:21" x14ac:dyDescent="0.35">
      <c r="A215" s="1">
        <v>44805</v>
      </c>
      <c r="B215" t="s">
        <v>48</v>
      </c>
      <c r="C215" t="s">
        <v>49</v>
      </c>
      <c r="D215" t="s">
        <v>50</v>
      </c>
      <c r="E215">
        <v>479</v>
      </c>
      <c r="F215">
        <v>150</v>
      </c>
      <c r="G215">
        <f t="shared" si="9"/>
        <v>71850</v>
      </c>
      <c r="H215">
        <v>100</v>
      </c>
      <c r="I215">
        <f t="shared" si="10"/>
        <v>47900</v>
      </c>
      <c r="J215">
        <f t="shared" si="11"/>
        <v>23950</v>
      </c>
      <c r="K215" t="s">
        <v>24</v>
      </c>
      <c r="L215" t="s">
        <v>63</v>
      </c>
      <c r="M215" t="s">
        <v>37</v>
      </c>
      <c r="N215" t="s">
        <v>38</v>
      </c>
      <c r="O215">
        <v>815</v>
      </c>
      <c r="P215">
        <v>479</v>
      </c>
      <c r="Q215" t="s">
        <v>64</v>
      </c>
      <c r="R215" t="s">
        <v>29</v>
      </c>
      <c r="S215" t="s">
        <v>65</v>
      </c>
      <c r="T215">
        <v>2023</v>
      </c>
      <c r="U215" t="s">
        <v>86</v>
      </c>
    </row>
    <row r="216" spans="1:21" x14ac:dyDescent="0.35">
      <c r="A216" s="1">
        <v>44806</v>
      </c>
      <c r="B216" t="s">
        <v>58</v>
      </c>
      <c r="C216" t="s">
        <v>59</v>
      </c>
      <c r="D216" t="s">
        <v>60</v>
      </c>
      <c r="E216">
        <v>60</v>
      </c>
      <c r="F216">
        <v>5</v>
      </c>
      <c r="G216">
        <f t="shared" si="9"/>
        <v>300</v>
      </c>
      <c r="H216">
        <v>3</v>
      </c>
      <c r="I216">
        <f t="shared" si="10"/>
        <v>180</v>
      </c>
      <c r="J216">
        <f t="shared" si="11"/>
        <v>120</v>
      </c>
      <c r="K216" t="s">
        <v>42</v>
      </c>
      <c r="L216" t="s">
        <v>36</v>
      </c>
      <c r="M216" t="s">
        <v>37</v>
      </c>
      <c r="N216" t="s">
        <v>27</v>
      </c>
      <c r="O216">
        <v>865</v>
      </c>
      <c r="P216">
        <v>60</v>
      </c>
      <c r="Q216" t="s">
        <v>106</v>
      </c>
      <c r="R216" t="s">
        <v>107</v>
      </c>
      <c r="S216" t="s">
        <v>108</v>
      </c>
      <c r="T216">
        <v>2020</v>
      </c>
      <c r="U216" t="s">
        <v>47</v>
      </c>
    </row>
    <row r="217" spans="1:21" x14ac:dyDescent="0.35">
      <c r="A217" s="1">
        <v>44807</v>
      </c>
      <c r="B217" t="s">
        <v>58</v>
      </c>
      <c r="C217" t="s">
        <v>59</v>
      </c>
      <c r="D217" t="s">
        <v>60</v>
      </c>
      <c r="E217">
        <v>352</v>
      </c>
      <c r="F217">
        <v>5</v>
      </c>
      <c r="G217">
        <f t="shared" si="9"/>
        <v>1760</v>
      </c>
      <c r="H217">
        <v>3</v>
      </c>
      <c r="I217">
        <f t="shared" si="10"/>
        <v>1056</v>
      </c>
      <c r="J217">
        <f t="shared" si="11"/>
        <v>704</v>
      </c>
      <c r="K217" t="s">
        <v>35</v>
      </c>
      <c r="L217" t="s">
        <v>25</v>
      </c>
      <c r="M217" t="s">
        <v>61</v>
      </c>
      <c r="N217" t="s">
        <v>27</v>
      </c>
      <c r="O217">
        <v>856</v>
      </c>
      <c r="P217">
        <v>352</v>
      </c>
      <c r="Q217" t="s">
        <v>94</v>
      </c>
      <c r="R217" t="s">
        <v>75</v>
      </c>
      <c r="S217" t="s">
        <v>95</v>
      </c>
      <c r="T217">
        <v>2021</v>
      </c>
      <c r="U217" t="s">
        <v>31</v>
      </c>
    </row>
    <row r="218" spans="1:21" x14ac:dyDescent="0.35">
      <c r="A218" s="1">
        <v>44808</v>
      </c>
      <c r="B218" t="s">
        <v>80</v>
      </c>
      <c r="C218" t="s">
        <v>81</v>
      </c>
      <c r="D218" t="s">
        <v>82</v>
      </c>
      <c r="E218">
        <v>390</v>
      </c>
      <c r="F218">
        <v>2.5</v>
      </c>
      <c r="G218">
        <f t="shared" si="9"/>
        <v>975</v>
      </c>
      <c r="H218">
        <v>1.5</v>
      </c>
      <c r="I218">
        <f t="shared" si="10"/>
        <v>585</v>
      </c>
      <c r="J218">
        <f t="shared" si="11"/>
        <v>390</v>
      </c>
      <c r="K218" t="s">
        <v>35</v>
      </c>
      <c r="L218" t="s">
        <v>63</v>
      </c>
      <c r="M218" t="s">
        <v>37</v>
      </c>
      <c r="N218" t="s">
        <v>38</v>
      </c>
      <c r="O218">
        <v>820</v>
      </c>
      <c r="P218">
        <v>390</v>
      </c>
      <c r="Q218" t="s">
        <v>113</v>
      </c>
      <c r="R218" t="s">
        <v>114</v>
      </c>
      <c r="S218" t="s">
        <v>115</v>
      </c>
      <c r="T218">
        <v>2023</v>
      </c>
      <c r="U218" t="s">
        <v>53</v>
      </c>
    </row>
    <row r="219" spans="1:21" x14ac:dyDescent="0.35">
      <c r="A219" s="1">
        <v>44809</v>
      </c>
      <c r="B219" t="s">
        <v>32</v>
      </c>
      <c r="C219" t="s">
        <v>33</v>
      </c>
      <c r="D219" t="s">
        <v>34</v>
      </c>
      <c r="E219">
        <v>74</v>
      </c>
      <c r="F219">
        <v>20</v>
      </c>
      <c r="G219">
        <f t="shared" si="9"/>
        <v>1480</v>
      </c>
      <c r="H219">
        <v>12</v>
      </c>
      <c r="I219">
        <f t="shared" si="10"/>
        <v>888</v>
      </c>
      <c r="J219">
        <f t="shared" si="11"/>
        <v>592</v>
      </c>
      <c r="K219" t="s">
        <v>42</v>
      </c>
      <c r="L219" t="s">
        <v>63</v>
      </c>
      <c r="M219" t="s">
        <v>37</v>
      </c>
      <c r="N219" t="s">
        <v>43</v>
      </c>
      <c r="O219">
        <v>897</v>
      </c>
      <c r="P219">
        <v>74</v>
      </c>
      <c r="Q219" t="s">
        <v>101</v>
      </c>
      <c r="R219" t="s">
        <v>101</v>
      </c>
      <c r="S219" t="s">
        <v>102</v>
      </c>
      <c r="T219">
        <v>2023</v>
      </c>
      <c r="U219" t="s">
        <v>31</v>
      </c>
    </row>
    <row r="220" spans="1:21" x14ac:dyDescent="0.35">
      <c r="A220" s="1">
        <v>44810</v>
      </c>
      <c r="B220" t="s">
        <v>48</v>
      </c>
      <c r="C220" t="s">
        <v>49</v>
      </c>
      <c r="D220" t="s">
        <v>50</v>
      </c>
      <c r="E220">
        <v>246</v>
      </c>
      <c r="F220">
        <v>150</v>
      </c>
      <c r="G220">
        <f t="shared" si="9"/>
        <v>36900</v>
      </c>
      <c r="H220">
        <v>100</v>
      </c>
      <c r="I220">
        <f t="shared" si="10"/>
        <v>24600</v>
      </c>
      <c r="J220">
        <f t="shared" si="11"/>
        <v>12300</v>
      </c>
      <c r="K220" t="s">
        <v>24</v>
      </c>
      <c r="L220" t="s">
        <v>36</v>
      </c>
      <c r="M220" t="s">
        <v>26</v>
      </c>
      <c r="N220" t="s">
        <v>27</v>
      </c>
      <c r="O220">
        <v>842</v>
      </c>
      <c r="P220">
        <v>246</v>
      </c>
      <c r="Q220" t="s">
        <v>74</v>
      </c>
      <c r="R220" t="s">
        <v>75</v>
      </c>
      <c r="S220" t="s">
        <v>76</v>
      </c>
      <c r="T220">
        <v>2023</v>
      </c>
      <c r="U220" t="s">
        <v>105</v>
      </c>
    </row>
    <row r="221" spans="1:21" x14ac:dyDescent="0.35">
      <c r="A221" s="1">
        <v>44811</v>
      </c>
      <c r="B221" t="s">
        <v>32</v>
      </c>
      <c r="C221" t="s">
        <v>33</v>
      </c>
      <c r="D221" t="s">
        <v>34</v>
      </c>
      <c r="E221">
        <v>333</v>
      </c>
      <c r="F221">
        <v>20</v>
      </c>
      <c r="G221">
        <f t="shared" si="9"/>
        <v>6660</v>
      </c>
      <c r="H221">
        <v>12</v>
      </c>
      <c r="I221">
        <f t="shared" si="10"/>
        <v>3996</v>
      </c>
      <c r="J221">
        <f t="shared" si="11"/>
        <v>2664</v>
      </c>
      <c r="K221" t="s">
        <v>24</v>
      </c>
      <c r="L221" t="s">
        <v>25</v>
      </c>
      <c r="M221" t="s">
        <v>61</v>
      </c>
      <c r="N221" t="s">
        <v>43</v>
      </c>
      <c r="O221">
        <v>743</v>
      </c>
      <c r="P221">
        <v>333</v>
      </c>
      <c r="Q221" t="s">
        <v>106</v>
      </c>
      <c r="R221" t="s">
        <v>107</v>
      </c>
      <c r="S221" t="s">
        <v>108</v>
      </c>
      <c r="T221">
        <v>2020</v>
      </c>
      <c r="U221" t="s">
        <v>47</v>
      </c>
    </row>
    <row r="222" spans="1:21" x14ac:dyDescent="0.35">
      <c r="A222" s="1">
        <v>44812</v>
      </c>
      <c r="B222" t="s">
        <v>98</v>
      </c>
      <c r="C222" t="s">
        <v>99</v>
      </c>
      <c r="D222" t="s">
        <v>100</v>
      </c>
      <c r="E222">
        <v>462</v>
      </c>
      <c r="F222">
        <v>6</v>
      </c>
      <c r="G222">
        <f t="shared" si="9"/>
        <v>2772</v>
      </c>
      <c r="H222">
        <v>4</v>
      </c>
      <c r="I222">
        <f t="shared" si="10"/>
        <v>1848</v>
      </c>
      <c r="J222">
        <f t="shared" si="11"/>
        <v>924</v>
      </c>
      <c r="K222" t="s">
        <v>42</v>
      </c>
      <c r="L222" t="s">
        <v>25</v>
      </c>
      <c r="M222" t="s">
        <v>61</v>
      </c>
      <c r="N222" t="s">
        <v>38</v>
      </c>
      <c r="O222">
        <v>824</v>
      </c>
      <c r="P222">
        <v>462</v>
      </c>
      <c r="Q222" t="s">
        <v>103</v>
      </c>
      <c r="R222" t="s">
        <v>68</v>
      </c>
      <c r="S222" t="s">
        <v>104</v>
      </c>
      <c r="T222">
        <v>2022</v>
      </c>
      <c r="U222" t="s">
        <v>96</v>
      </c>
    </row>
    <row r="223" spans="1:21" x14ac:dyDescent="0.35">
      <c r="A223" s="1">
        <v>44813</v>
      </c>
      <c r="B223" t="s">
        <v>98</v>
      </c>
      <c r="C223" t="s">
        <v>99</v>
      </c>
      <c r="D223" t="s">
        <v>100</v>
      </c>
      <c r="E223">
        <v>241</v>
      </c>
      <c r="F223">
        <v>6</v>
      </c>
      <c r="G223">
        <f t="shared" si="9"/>
        <v>1446</v>
      </c>
      <c r="H223">
        <v>4</v>
      </c>
      <c r="I223">
        <f t="shared" si="10"/>
        <v>964</v>
      </c>
      <c r="J223">
        <f t="shared" si="11"/>
        <v>482</v>
      </c>
      <c r="K223" t="s">
        <v>24</v>
      </c>
      <c r="L223" t="s">
        <v>25</v>
      </c>
      <c r="M223" t="s">
        <v>26</v>
      </c>
      <c r="N223" t="s">
        <v>43</v>
      </c>
      <c r="O223">
        <v>916</v>
      </c>
      <c r="P223">
        <v>241</v>
      </c>
      <c r="Q223" t="s">
        <v>92</v>
      </c>
      <c r="R223" t="s">
        <v>45</v>
      </c>
      <c r="S223" t="s">
        <v>93</v>
      </c>
      <c r="T223">
        <v>2024</v>
      </c>
      <c r="U223" t="s">
        <v>47</v>
      </c>
    </row>
    <row r="224" spans="1:21" x14ac:dyDescent="0.35">
      <c r="A224" s="1">
        <v>44814</v>
      </c>
      <c r="B224" t="s">
        <v>80</v>
      </c>
      <c r="C224" t="s">
        <v>81</v>
      </c>
      <c r="D224" t="s">
        <v>82</v>
      </c>
      <c r="E224">
        <v>37</v>
      </c>
      <c r="F224">
        <v>2.5</v>
      </c>
      <c r="G224">
        <f t="shared" si="9"/>
        <v>92.5</v>
      </c>
      <c r="H224">
        <v>1.5</v>
      </c>
      <c r="I224">
        <f t="shared" si="10"/>
        <v>55.5</v>
      </c>
      <c r="J224">
        <f t="shared" si="11"/>
        <v>37</v>
      </c>
      <c r="K224" t="s">
        <v>42</v>
      </c>
      <c r="L224" t="s">
        <v>63</v>
      </c>
      <c r="M224" t="s">
        <v>26</v>
      </c>
      <c r="N224" t="s">
        <v>27</v>
      </c>
      <c r="O224">
        <v>554</v>
      </c>
      <c r="P224">
        <v>37</v>
      </c>
      <c r="Q224" t="s">
        <v>83</v>
      </c>
      <c r="R224" t="s">
        <v>84</v>
      </c>
      <c r="S224" t="s">
        <v>85</v>
      </c>
      <c r="T224">
        <v>2021</v>
      </c>
      <c r="U224" t="s">
        <v>96</v>
      </c>
    </row>
    <row r="225" spans="1:21" x14ac:dyDescent="0.35">
      <c r="A225" s="1">
        <v>44815</v>
      </c>
      <c r="B225" t="s">
        <v>32</v>
      </c>
      <c r="C225" t="s">
        <v>33</v>
      </c>
      <c r="D225" t="s">
        <v>34</v>
      </c>
      <c r="E225">
        <v>339</v>
      </c>
      <c r="F225">
        <v>20</v>
      </c>
      <c r="G225">
        <f t="shared" si="9"/>
        <v>6780</v>
      </c>
      <c r="H225">
        <v>12</v>
      </c>
      <c r="I225">
        <f t="shared" si="10"/>
        <v>4068</v>
      </c>
      <c r="J225">
        <f t="shared" si="11"/>
        <v>2712</v>
      </c>
      <c r="K225" t="s">
        <v>24</v>
      </c>
      <c r="L225" t="s">
        <v>25</v>
      </c>
      <c r="M225" t="s">
        <v>61</v>
      </c>
      <c r="N225" t="s">
        <v>38</v>
      </c>
      <c r="O225">
        <v>632</v>
      </c>
      <c r="P225">
        <v>339</v>
      </c>
      <c r="Q225" t="s">
        <v>28</v>
      </c>
      <c r="R225" t="s">
        <v>29</v>
      </c>
      <c r="S225" t="s">
        <v>30</v>
      </c>
      <c r="T225">
        <v>2020</v>
      </c>
      <c r="U225" t="s">
        <v>97</v>
      </c>
    </row>
    <row r="226" spans="1:21" x14ac:dyDescent="0.35">
      <c r="A226" s="1">
        <v>44816</v>
      </c>
      <c r="B226" t="s">
        <v>21</v>
      </c>
      <c r="C226" t="s">
        <v>22</v>
      </c>
      <c r="D226" t="s">
        <v>23</v>
      </c>
      <c r="E226">
        <v>346</v>
      </c>
      <c r="F226">
        <v>8</v>
      </c>
      <c r="G226">
        <f t="shared" si="9"/>
        <v>2768</v>
      </c>
      <c r="H226">
        <v>5</v>
      </c>
      <c r="I226">
        <f t="shared" si="10"/>
        <v>1730</v>
      </c>
      <c r="J226">
        <f t="shared" si="11"/>
        <v>1038</v>
      </c>
      <c r="K226" t="s">
        <v>35</v>
      </c>
      <c r="L226" t="s">
        <v>63</v>
      </c>
      <c r="M226" t="s">
        <v>26</v>
      </c>
      <c r="N226" t="s">
        <v>38</v>
      </c>
      <c r="O226">
        <v>923</v>
      </c>
      <c r="P226">
        <v>346</v>
      </c>
      <c r="Q226" t="s">
        <v>64</v>
      </c>
      <c r="R226" t="s">
        <v>29</v>
      </c>
      <c r="S226" t="s">
        <v>65</v>
      </c>
      <c r="T226">
        <v>2022</v>
      </c>
      <c r="U226" t="s">
        <v>62</v>
      </c>
    </row>
    <row r="227" spans="1:21" x14ac:dyDescent="0.35">
      <c r="A227" s="1">
        <v>44817</v>
      </c>
      <c r="B227" t="s">
        <v>32</v>
      </c>
      <c r="C227" t="s">
        <v>33</v>
      </c>
      <c r="D227" t="s">
        <v>34</v>
      </c>
      <c r="E227">
        <v>117</v>
      </c>
      <c r="F227">
        <v>20</v>
      </c>
      <c r="G227">
        <f t="shared" si="9"/>
        <v>2340</v>
      </c>
      <c r="H227">
        <v>12</v>
      </c>
      <c r="I227">
        <f t="shared" si="10"/>
        <v>1404</v>
      </c>
      <c r="J227">
        <f t="shared" si="11"/>
        <v>936</v>
      </c>
      <c r="K227" t="s">
        <v>35</v>
      </c>
      <c r="L227" t="s">
        <v>73</v>
      </c>
      <c r="M227" t="s">
        <v>37</v>
      </c>
      <c r="N227" t="s">
        <v>43</v>
      </c>
      <c r="O227">
        <v>504</v>
      </c>
      <c r="P227">
        <v>117</v>
      </c>
      <c r="Q227" t="s">
        <v>74</v>
      </c>
      <c r="R227" t="s">
        <v>75</v>
      </c>
      <c r="S227" t="s">
        <v>76</v>
      </c>
      <c r="T227">
        <v>2023</v>
      </c>
      <c r="U227" t="s">
        <v>53</v>
      </c>
    </row>
    <row r="228" spans="1:21" x14ac:dyDescent="0.35">
      <c r="A228" s="1">
        <v>44818</v>
      </c>
      <c r="B228" t="s">
        <v>21</v>
      </c>
      <c r="C228" t="s">
        <v>22</v>
      </c>
      <c r="D228" t="s">
        <v>23</v>
      </c>
      <c r="E228">
        <v>39</v>
      </c>
      <c r="F228">
        <v>8</v>
      </c>
      <c r="G228">
        <f t="shared" si="9"/>
        <v>312</v>
      </c>
      <c r="H228">
        <v>5</v>
      </c>
      <c r="I228">
        <f t="shared" si="10"/>
        <v>195</v>
      </c>
      <c r="J228">
        <f t="shared" si="11"/>
        <v>117</v>
      </c>
      <c r="K228" t="s">
        <v>24</v>
      </c>
      <c r="L228" t="s">
        <v>36</v>
      </c>
      <c r="M228" t="s">
        <v>37</v>
      </c>
      <c r="N228" t="s">
        <v>27</v>
      </c>
      <c r="O228">
        <v>642</v>
      </c>
      <c r="P228">
        <v>39</v>
      </c>
      <c r="Q228" t="s">
        <v>113</v>
      </c>
      <c r="R228" t="s">
        <v>114</v>
      </c>
      <c r="S228" t="s">
        <v>115</v>
      </c>
      <c r="T228">
        <v>2022</v>
      </c>
      <c r="U228" t="s">
        <v>57</v>
      </c>
    </row>
    <row r="229" spans="1:21" x14ac:dyDescent="0.35">
      <c r="A229" s="1">
        <v>44819</v>
      </c>
      <c r="B229" t="s">
        <v>21</v>
      </c>
      <c r="C229" t="s">
        <v>22</v>
      </c>
      <c r="D229" t="s">
        <v>23</v>
      </c>
      <c r="E229">
        <v>148</v>
      </c>
      <c r="F229">
        <v>8</v>
      </c>
      <c r="G229">
        <f t="shared" si="9"/>
        <v>1184</v>
      </c>
      <c r="H229">
        <v>5</v>
      </c>
      <c r="I229">
        <f t="shared" si="10"/>
        <v>740</v>
      </c>
      <c r="J229">
        <f t="shared" si="11"/>
        <v>444</v>
      </c>
      <c r="K229" t="s">
        <v>35</v>
      </c>
      <c r="L229" t="s">
        <v>25</v>
      </c>
      <c r="M229" t="s">
        <v>61</v>
      </c>
      <c r="N229" t="s">
        <v>43</v>
      </c>
      <c r="O229">
        <v>897</v>
      </c>
      <c r="P229">
        <v>148</v>
      </c>
      <c r="Q229" t="s">
        <v>87</v>
      </c>
      <c r="R229" t="s">
        <v>88</v>
      </c>
      <c r="S229" t="s">
        <v>89</v>
      </c>
      <c r="T229">
        <v>2023</v>
      </c>
      <c r="U229" t="s">
        <v>105</v>
      </c>
    </row>
    <row r="230" spans="1:21" x14ac:dyDescent="0.35">
      <c r="A230" s="1">
        <v>44820</v>
      </c>
      <c r="B230" t="s">
        <v>58</v>
      </c>
      <c r="C230" t="s">
        <v>59</v>
      </c>
      <c r="D230" t="s">
        <v>60</v>
      </c>
      <c r="E230">
        <v>323</v>
      </c>
      <c r="F230">
        <v>5</v>
      </c>
      <c r="G230">
        <f t="shared" si="9"/>
        <v>1615</v>
      </c>
      <c r="H230">
        <v>3</v>
      </c>
      <c r="I230">
        <f t="shared" si="10"/>
        <v>969</v>
      </c>
      <c r="J230">
        <f t="shared" si="11"/>
        <v>646</v>
      </c>
      <c r="K230" t="s">
        <v>35</v>
      </c>
      <c r="L230" t="s">
        <v>36</v>
      </c>
      <c r="M230" t="s">
        <v>61</v>
      </c>
      <c r="N230" t="s">
        <v>38</v>
      </c>
      <c r="O230">
        <v>505</v>
      </c>
      <c r="P230">
        <v>323</v>
      </c>
      <c r="Q230" t="s">
        <v>64</v>
      </c>
      <c r="R230" t="s">
        <v>29</v>
      </c>
      <c r="S230" t="s">
        <v>65</v>
      </c>
      <c r="T230">
        <v>2023</v>
      </c>
      <c r="U230" t="s">
        <v>53</v>
      </c>
    </row>
    <row r="231" spans="1:21" x14ac:dyDescent="0.35">
      <c r="A231" s="1">
        <v>44821</v>
      </c>
      <c r="B231" t="s">
        <v>98</v>
      </c>
      <c r="C231" t="s">
        <v>99</v>
      </c>
      <c r="D231" t="s">
        <v>100</v>
      </c>
      <c r="E231">
        <v>252</v>
      </c>
      <c r="F231">
        <v>6</v>
      </c>
      <c r="G231">
        <f t="shared" si="9"/>
        <v>1512</v>
      </c>
      <c r="H231">
        <v>4</v>
      </c>
      <c r="I231">
        <f t="shared" si="10"/>
        <v>1008</v>
      </c>
      <c r="J231">
        <f t="shared" si="11"/>
        <v>504</v>
      </c>
      <c r="K231" t="s">
        <v>35</v>
      </c>
      <c r="L231" t="s">
        <v>73</v>
      </c>
      <c r="M231" t="s">
        <v>37</v>
      </c>
      <c r="N231" t="s">
        <v>43</v>
      </c>
      <c r="O231">
        <v>524</v>
      </c>
      <c r="P231">
        <v>252</v>
      </c>
      <c r="Q231" t="s">
        <v>28</v>
      </c>
      <c r="R231" t="s">
        <v>29</v>
      </c>
      <c r="S231" t="s">
        <v>30</v>
      </c>
      <c r="T231">
        <v>2020</v>
      </c>
      <c r="U231" t="s">
        <v>57</v>
      </c>
    </row>
    <row r="232" spans="1:21" x14ac:dyDescent="0.35">
      <c r="A232" s="1">
        <v>44822</v>
      </c>
      <c r="B232" t="s">
        <v>21</v>
      </c>
      <c r="C232" t="s">
        <v>22</v>
      </c>
      <c r="D232" t="s">
        <v>23</v>
      </c>
      <c r="E232">
        <v>197</v>
      </c>
      <c r="F232">
        <v>8</v>
      </c>
      <c r="G232">
        <f t="shared" si="9"/>
        <v>1576</v>
      </c>
      <c r="H232">
        <v>5</v>
      </c>
      <c r="I232">
        <f t="shared" si="10"/>
        <v>985</v>
      </c>
      <c r="J232">
        <f t="shared" si="11"/>
        <v>591</v>
      </c>
      <c r="K232" t="s">
        <v>35</v>
      </c>
      <c r="L232" t="s">
        <v>36</v>
      </c>
      <c r="M232" t="s">
        <v>37</v>
      </c>
      <c r="N232" t="s">
        <v>27</v>
      </c>
      <c r="O232">
        <v>988</v>
      </c>
      <c r="P232">
        <v>197</v>
      </c>
      <c r="Q232" t="s">
        <v>44</v>
      </c>
      <c r="R232" t="s">
        <v>45</v>
      </c>
      <c r="S232" t="s">
        <v>46</v>
      </c>
      <c r="T232">
        <v>2023</v>
      </c>
      <c r="U232" t="s">
        <v>62</v>
      </c>
    </row>
    <row r="233" spans="1:21" x14ac:dyDescent="0.35">
      <c r="A233" s="1">
        <v>44823</v>
      </c>
      <c r="B233" t="s">
        <v>98</v>
      </c>
      <c r="C233" t="s">
        <v>99</v>
      </c>
      <c r="D233" t="s">
        <v>100</v>
      </c>
      <c r="E233">
        <v>301</v>
      </c>
      <c r="F233">
        <v>6</v>
      </c>
      <c r="G233">
        <f t="shared" si="9"/>
        <v>1806</v>
      </c>
      <c r="H233">
        <v>4</v>
      </c>
      <c r="I233">
        <f t="shared" si="10"/>
        <v>1204</v>
      </c>
      <c r="J233">
        <f t="shared" si="11"/>
        <v>602</v>
      </c>
      <c r="K233" t="s">
        <v>35</v>
      </c>
      <c r="L233" t="s">
        <v>25</v>
      </c>
      <c r="M233" t="s">
        <v>37</v>
      </c>
      <c r="N233" t="s">
        <v>43</v>
      </c>
      <c r="O233">
        <v>594</v>
      </c>
      <c r="P233">
        <v>301</v>
      </c>
      <c r="Q233" t="s">
        <v>83</v>
      </c>
      <c r="R233" t="s">
        <v>84</v>
      </c>
      <c r="S233" t="s">
        <v>85</v>
      </c>
      <c r="T233">
        <v>2023</v>
      </c>
      <c r="U233" t="s">
        <v>47</v>
      </c>
    </row>
    <row r="234" spans="1:21" x14ac:dyDescent="0.35">
      <c r="A234" s="1">
        <v>44824</v>
      </c>
      <c r="B234" t="s">
        <v>80</v>
      </c>
      <c r="C234" t="s">
        <v>81</v>
      </c>
      <c r="D234" t="s">
        <v>82</v>
      </c>
      <c r="E234">
        <v>130</v>
      </c>
      <c r="F234">
        <v>2.5</v>
      </c>
      <c r="G234">
        <f t="shared" si="9"/>
        <v>325</v>
      </c>
      <c r="H234">
        <v>1.5</v>
      </c>
      <c r="I234">
        <f t="shared" si="10"/>
        <v>195</v>
      </c>
      <c r="J234">
        <f t="shared" si="11"/>
        <v>130</v>
      </c>
      <c r="K234" t="s">
        <v>42</v>
      </c>
      <c r="L234" t="s">
        <v>25</v>
      </c>
      <c r="M234" t="s">
        <v>26</v>
      </c>
      <c r="N234" t="s">
        <v>38</v>
      </c>
      <c r="O234">
        <v>824</v>
      </c>
      <c r="P234">
        <v>130</v>
      </c>
      <c r="Q234" t="s">
        <v>39</v>
      </c>
      <c r="R234" t="s">
        <v>40</v>
      </c>
      <c r="S234" t="s">
        <v>41</v>
      </c>
      <c r="T234">
        <v>2020</v>
      </c>
      <c r="U234" t="s">
        <v>47</v>
      </c>
    </row>
    <row r="235" spans="1:21" x14ac:dyDescent="0.35">
      <c r="A235" s="1">
        <v>44825</v>
      </c>
      <c r="B235" t="s">
        <v>21</v>
      </c>
      <c r="C235" t="s">
        <v>22</v>
      </c>
      <c r="D235" t="s">
        <v>23</v>
      </c>
      <c r="E235">
        <v>43</v>
      </c>
      <c r="F235">
        <v>8</v>
      </c>
      <c r="G235">
        <f t="shared" si="9"/>
        <v>344</v>
      </c>
      <c r="H235">
        <v>5</v>
      </c>
      <c r="I235">
        <f t="shared" si="10"/>
        <v>215</v>
      </c>
      <c r="J235">
        <f t="shared" si="11"/>
        <v>129</v>
      </c>
      <c r="K235" t="s">
        <v>24</v>
      </c>
      <c r="L235" t="s">
        <v>63</v>
      </c>
      <c r="M235" t="s">
        <v>61</v>
      </c>
      <c r="N235" t="s">
        <v>43</v>
      </c>
      <c r="O235">
        <v>939</v>
      </c>
      <c r="P235">
        <v>43</v>
      </c>
      <c r="Q235" t="s">
        <v>39</v>
      </c>
      <c r="R235" t="s">
        <v>40</v>
      </c>
      <c r="S235" t="s">
        <v>41</v>
      </c>
      <c r="T235">
        <v>2022</v>
      </c>
      <c r="U235" t="s">
        <v>105</v>
      </c>
    </row>
    <row r="236" spans="1:21" x14ac:dyDescent="0.35">
      <c r="A236" s="1">
        <v>44826</v>
      </c>
      <c r="B236" t="s">
        <v>80</v>
      </c>
      <c r="C236" t="s">
        <v>81</v>
      </c>
      <c r="D236" t="s">
        <v>82</v>
      </c>
      <c r="E236">
        <v>261</v>
      </c>
      <c r="F236">
        <v>2.5</v>
      </c>
      <c r="G236">
        <f t="shared" si="9"/>
        <v>652.5</v>
      </c>
      <c r="H236">
        <v>1.5</v>
      </c>
      <c r="I236">
        <f t="shared" si="10"/>
        <v>391.5</v>
      </c>
      <c r="J236">
        <f t="shared" si="11"/>
        <v>261</v>
      </c>
      <c r="K236" t="s">
        <v>24</v>
      </c>
      <c r="L236" t="s">
        <v>73</v>
      </c>
      <c r="M236" t="s">
        <v>61</v>
      </c>
      <c r="N236" t="s">
        <v>43</v>
      </c>
      <c r="O236">
        <v>882</v>
      </c>
      <c r="P236">
        <v>261</v>
      </c>
      <c r="Q236" t="s">
        <v>64</v>
      </c>
      <c r="R236" t="s">
        <v>29</v>
      </c>
      <c r="S236" t="s">
        <v>65</v>
      </c>
      <c r="T236">
        <v>2022</v>
      </c>
      <c r="U236" t="s">
        <v>97</v>
      </c>
    </row>
    <row r="237" spans="1:21" x14ac:dyDescent="0.35">
      <c r="A237" s="1">
        <v>44827</v>
      </c>
      <c r="B237" t="s">
        <v>80</v>
      </c>
      <c r="C237" t="s">
        <v>81</v>
      </c>
      <c r="D237" t="s">
        <v>82</v>
      </c>
      <c r="E237">
        <v>165</v>
      </c>
      <c r="F237">
        <v>2.5</v>
      </c>
      <c r="G237">
        <f t="shared" si="9"/>
        <v>412.5</v>
      </c>
      <c r="H237">
        <v>1.5</v>
      </c>
      <c r="I237">
        <f t="shared" si="10"/>
        <v>247.5</v>
      </c>
      <c r="J237">
        <f t="shared" si="11"/>
        <v>165</v>
      </c>
      <c r="K237" t="s">
        <v>42</v>
      </c>
      <c r="L237" t="s">
        <v>25</v>
      </c>
      <c r="M237" t="s">
        <v>61</v>
      </c>
      <c r="N237" t="s">
        <v>27</v>
      </c>
      <c r="O237">
        <v>972</v>
      </c>
      <c r="P237">
        <v>165</v>
      </c>
      <c r="Q237" t="s">
        <v>90</v>
      </c>
      <c r="R237" t="s">
        <v>55</v>
      </c>
      <c r="S237" t="s">
        <v>85</v>
      </c>
      <c r="T237">
        <v>2020</v>
      </c>
      <c r="U237" t="s">
        <v>62</v>
      </c>
    </row>
    <row r="238" spans="1:21" x14ac:dyDescent="0.35">
      <c r="A238" s="1">
        <v>44828</v>
      </c>
      <c r="B238" t="s">
        <v>58</v>
      </c>
      <c r="C238" t="s">
        <v>59</v>
      </c>
      <c r="D238" t="s">
        <v>60</v>
      </c>
      <c r="E238">
        <v>320</v>
      </c>
      <c r="F238">
        <v>5</v>
      </c>
      <c r="G238">
        <f t="shared" si="9"/>
        <v>1600</v>
      </c>
      <c r="H238">
        <v>3</v>
      </c>
      <c r="I238">
        <f t="shared" si="10"/>
        <v>960</v>
      </c>
      <c r="J238">
        <f t="shared" si="11"/>
        <v>640</v>
      </c>
      <c r="K238" t="s">
        <v>42</v>
      </c>
      <c r="L238" t="s">
        <v>25</v>
      </c>
      <c r="M238" t="s">
        <v>37</v>
      </c>
      <c r="N238" t="s">
        <v>27</v>
      </c>
      <c r="O238">
        <v>971</v>
      </c>
      <c r="P238">
        <v>320</v>
      </c>
      <c r="Q238" t="s">
        <v>101</v>
      </c>
      <c r="R238" t="s">
        <v>101</v>
      </c>
      <c r="S238" t="s">
        <v>102</v>
      </c>
      <c r="T238">
        <v>2020</v>
      </c>
      <c r="U238" t="s">
        <v>66</v>
      </c>
    </row>
    <row r="239" spans="1:21" x14ac:dyDescent="0.35">
      <c r="A239" s="1">
        <v>44829</v>
      </c>
      <c r="B239" t="s">
        <v>98</v>
      </c>
      <c r="C239" t="s">
        <v>99</v>
      </c>
      <c r="D239" t="s">
        <v>100</v>
      </c>
      <c r="E239">
        <v>24</v>
      </c>
      <c r="F239">
        <v>6</v>
      </c>
      <c r="G239">
        <f t="shared" si="9"/>
        <v>144</v>
      </c>
      <c r="H239">
        <v>4</v>
      </c>
      <c r="I239">
        <f t="shared" si="10"/>
        <v>96</v>
      </c>
      <c r="J239">
        <f t="shared" si="11"/>
        <v>48</v>
      </c>
      <c r="K239" t="s">
        <v>24</v>
      </c>
      <c r="L239" t="s">
        <v>63</v>
      </c>
      <c r="M239" t="s">
        <v>26</v>
      </c>
      <c r="N239" t="s">
        <v>27</v>
      </c>
      <c r="O239">
        <v>948</v>
      </c>
      <c r="P239">
        <v>24</v>
      </c>
      <c r="Q239" t="s">
        <v>51</v>
      </c>
      <c r="R239" t="s">
        <v>45</v>
      </c>
      <c r="S239" t="s">
        <v>52</v>
      </c>
      <c r="T239">
        <v>2024</v>
      </c>
      <c r="U239" t="s">
        <v>31</v>
      </c>
    </row>
    <row r="240" spans="1:21" x14ac:dyDescent="0.35">
      <c r="A240" s="1">
        <v>44830</v>
      </c>
      <c r="B240" t="s">
        <v>48</v>
      </c>
      <c r="C240" t="s">
        <v>49</v>
      </c>
      <c r="D240" t="s">
        <v>50</v>
      </c>
      <c r="E240">
        <v>309</v>
      </c>
      <c r="F240">
        <v>150</v>
      </c>
      <c r="G240">
        <f t="shared" si="9"/>
        <v>46350</v>
      </c>
      <c r="H240">
        <v>100</v>
      </c>
      <c r="I240">
        <f t="shared" si="10"/>
        <v>30900</v>
      </c>
      <c r="J240">
        <f t="shared" si="11"/>
        <v>15450</v>
      </c>
      <c r="K240" t="s">
        <v>35</v>
      </c>
      <c r="L240" t="s">
        <v>73</v>
      </c>
      <c r="M240" t="s">
        <v>61</v>
      </c>
      <c r="N240" t="s">
        <v>27</v>
      </c>
      <c r="O240">
        <v>552</v>
      </c>
      <c r="P240">
        <v>309</v>
      </c>
      <c r="Q240" t="s">
        <v>94</v>
      </c>
      <c r="R240" t="s">
        <v>75</v>
      </c>
      <c r="S240" t="s">
        <v>95</v>
      </c>
      <c r="T240">
        <v>2020</v>
      </c>
      <c r="U240" t="s">
        <v>47</v>
      </c>
    </row>
    <row r="241" spans="1:21" x14ac:dyDescent="0.35">
      <c r="A241" s="1">
        <v>44831</v>
      </c>
      <c r="B241" t="s">
        <v>32</v>
      </c>
      <c r="C241" t="s">
        <v>33</v>
      </c>
      <c r="D241" t="s">
        <v>34</v>
      </c>
      <c r="E241">
        <v>40</v>
      </c>
      <c r="F241">
        <v>20</v>
      </c>
      <c r="G241">
        <f t="shared" si="9"/>
        <v>800</v>
      </c>
      <c r="H241">
        <v>12</v>
      </c>
      <c r="I241">
        <f t="shared" si="10"/>
        <v>480</v>
      </c>
      <c r="J241">
        <f t="shared" si="11"/>
        <v>320</v>
      </c>
      <c r="K241" t="s">
        <v>35</v>
      </c>
      <c r="L241" t="s">
        <v>73</v>
      </c>
      <c r="M241" t="s">
        <v>37</v>
      </c>
      <c r="N241" t="s">
        <v>38</v>
      </c>
      <c r="O241">
        <v>750</v>
      </c>
      <c r="P241">
        <v>40</v>
      </c>
      <c r="Q241" t="s">
        <v>92</v>
      </c>
      <c r="R241" t="s">
        <v>45</v>
      </c>
      <c r="S241" t="s">
        <v>93</v>
      </c>
      <c r="T241">
        <v>2021</v>
      </c>
      <c r="U241" t="s">
        <v>109</v>
      </c>
    </row>
    <row r="242" spans="1:21" x14ac:dyDescent="0.35">
      <c r="A242" s="1">
        <v>44832</v>
      </c>
      <c r="B242" t="s">
        <v>32</v>
      </c>
      <c r="C242" t="s">
        <v>33</v>
      </c>
      <c r="D242" t="s">
        <v>34</v>
      </c>
      <c r="E242">
        <v>120</v>
      </c>
      <c r="F242">
        <v>20</v>
      </c>
      <c r="G242">
        <f t="shared" si="9"/>
        <v>2400</v>
      </c>
      <c r="H242">
        <v>12</v>
      </c>
      <c r="I242">
        <f t="shared" si="10"/>
        <v>1440</v>
      </c>
      <c r="J242">
        <f t="shared" si="11"/>
        <v>960</v>
      </c>
      <c r="K242" t="s">
        <v>24</v>
      </c>
      <c r="L242" t="s">
        <v>73</v>
      </c>
      <c r="M242" t="s">
        <v>37</v>
      </c>
      <c r="N242" t="s">
        <v>43</v>
      </c>
      <c r="O242">
        <v>982</v>
      </c>
      <c r="P242">
        <v>120</v>
      </c>
      <c r="Q242" t="s">
        <v>83</v>
      </c>
      <c r="R242" t="s">
        <v>84</v>
      </c>
      <c r="S242" t="s">
        <v>85</v>
      </c>
      <c r="T242">
        <v>2023</v>
      </c>
      <c r="U242" t="s">
        <v>86</v>
      </c>
    </row>
    <row r="243" spans="1:21" x14ac:dyDescent="0.35">
      <c r="A243" s="1">
        <v>44833</v>
      </c>
      <c r="B243" t="s">
        <v>21</v>
      </c>
      <c r="C243" t="s">
        <v>22</v>
      </c>
      <c r="D243" t="s">
        <v>23</v>
      </c>
      <c r="E243">
        <v>425</v>
      </c>
      <c r="F243">
        <v>8</v>
      </c>
      <c r="G243">
        <f t="shared" si="9"/>
        <v>3400</v>
      </c>
      <c r="H243">
        <v>5</v>
      </c>
      <c r="I243">
        <f t="shared" si="10"/>
        <v>2125</v>
      </c>
      <c r="J243">
        <f t="shared" si="11"/>
        <v>1275</v>
      </c>
      <c r="K243" t="s">
        <v>42</v>
      </c>
      <c r="L243" t="s">
        <v>63</v>
      </c>
      <c r="M243" t="s">
        <v>37</v>
      </c>
      <c r="N243" t="s">
        <v>43</v>
      </c>
      <c r="O243">
        <v>732</v>
      </c>
      <c r="P243">
        <v>425</v>
      </c>
      <c r="Q243" t="s">
        <v>110</v>
      </c>
      <c r="R243" t="s">
        <v>111</v>
      </c>
      <c r="S243" t="s">
        <v>112</v>
      </c>
      <c r="T243">
        <v>2023</v>
      </c>
      <c r="U243" t="s">
        <v>57</v>
      </c>
    </row>
    <row r="244" spans="1:21" x14ac:dyDescent="0.35">
      <c r="A244" s="1">
        <v>44834</v>
      </c>
      <c r="B244" t="s">
        <v>80</v>
      </c>
      <c r="C244" t="s">
        <v>81</v>
      </c>
      <c r="D244" t="s">
        <v>82</v>
      </c>
      <c r="E244">
        <v>105</v>
      </c>
      <c r="F244">
        <v>2.5</v>
      </c>
      <c r="G244">
        <f t="shared" si="9"/>
        <v>262.5</v>
      </c>
      <c r="H244">
        <v>1.5</v>
      </c>
      <c r="I244">
        <f t="shared" si="10"/>
        <v>157.5</v>
      </c>
      <c r="J244">
        <f t="shared" si="11"/>
        <v>105</v>
      </c>
      <c r="K244" t="s">
        <v>24</v>
      </c>
      <c r="L244" t="s">
        <v>73</v>
      </c>
      <c r="M244" t="s">
        <v>61</v>
      </c>
      <c r="N244" t="s">
        <v>27</v>
      </c>
      <c r="O244">
        <v>615</v>
      </c>
      <c r="P244">
        <v>105</v>
      </c>
      <c r="Q244" t="s">
        <v>64</v>
      </c>
      <c r="R244" t="s">
        <v>29</v>
      </c>
      <c r="S244" t="s">
        <v>65</v>
      </c>
      <c r="T244">
        <v>2021</v>
      </c>
      <c r="U244" t="s">
        <v>91</v>
      </c>
    </row>
    <row r="245" spans="1:21" x14ac:dyDescent="0.35">
      <c r="A245" s="1">
        <v>44835</v>
      </c>
      <c r="B245" t="s">
        <v>58</v>
      </c>
      <c r="C245" t="s">
        <v>59</v>
      </c>
      <c r="D245" t="s">
        <v>60</v>
      </c>
      <c r="E245">
        <v>93</v>
      </c>
      <c r="F245">
        <v>5</v>
      </c>
      <c r="G245">
        <f t="shared" si="9"/>
        <v>465</v>
      </c>
      <c r="H245">
        <v>3</v>
      </c>
      <c r="I245">
        <f t="shared" si="10"/>
        <v>279</v>
      </c>
      <c r="J245">
        <f t="shared" si="11"/>
        <v>186</v>
      </c>
      <c r="K245" t="s">
        <v>42</v>
      </c>
      <c r="L245" t="s">
        <v>73</v>
      </c>
      <c r="M245" t="s">
        <v>26</v>
      </c>
      <c r="N245" t="s">
        <v>38</v>
      </c>
      <c r="O245">
        <v>859</v>
      </c>
      <c r="P245">
        <v>93</v>
      </c>
      <c r="Q245" t="s">
        <v>51</v>
      </c>
      <c r="R245" t="s">
        <v>45</v>
      </c>
      <c r="S245" t="s">
        <v>52</v>
      </c>
      <c r="T245">
        <v>2024</v>
      </c>
      <c r="U245" t="s">
        <v>105</v>
      </c>
    </row>
    <row r="246" spans="1:21" x14ac:dyDescent="0.35">
      <c r="A246" s="1">
        <v>44836</v>
      </c>
      <c r="B246" t="s">
        <v>32</v>
      </c>
      <c r="C246" t="s">
        <v>33</v>
      </c>
      <c r="D246" t="s">
        <v>34</v>
      </c>
      <c r="E246">
        <v>394</v>
      </c>
      <c r="F246">
        <v>20</v>
      </c>
      <c r="G246">
        <f t="shared" si="9"/>
        <v>7880</v>
      </c>
      <c r="H246">
        <v>12</v>
      </c>
      <c r="I246">
        <f t="shared" si="10"/>
        <v>4728</v>
      </c>
      <c r="J246">
        <f t="shared" si="11"/>
        <v>3152</v>
      </c>
      <c r="K246" t="s">
        <v>24</v>
      </c>
      <c r="L246" t="s">
        <v>63</v>
      </c>
      <c r="M246" t="s">
        <v>37</v>
      </c>
      <c r="N246" t="s">
        <v>38</v>
      </c>
      <c r="O246">
        <v>536</v>
      </c>
      <c r="P246">
        <v>394</v>
      </c>
      <c r="Q246" t="s">
        <v>70</v>
      </c>
      <c r="R246" t="s">
        <v>71</v>
      </c>
      <c r="S246" t="s">
        <v>72</v>
      </c>
      <c r="T246">
        <v>2022</v>
      </c>
      <c r="U246" t="s">
        <v>105</v>
      </c>
    </row>
    <row r="247" spans="1:21" x14ac:dyDescent="0.35">
      <c r="A247" s="1">
        <v>44837</v>
      </c>
      <c r="B247" t="s">
        <v>98</v>
      </c>
      <c r="C247" t="s">
        <v>99</v>
      </c>
      <c r="D247" t="s">
        <v>100</v>
      </c>
      <c r="E247">
        <v>411</v>
      </c>
      <c r="F247">
        <v>6</v>
      </c>
      <c r="G247">
        <f t="shared" si="9"/>
        <v>2466</v>
      </c>
      <c r="H247">
        <v>4</v>
      </c>
      <c r="I247">
        <f t="shared" si="10"/>
        <v>1644</v>
      </c>
      <c r="J247">
        <f t="shared" si="11"/>
        <v>822</v>
      </c>
      <c r="K247" t="s">
        <v>42</v>
      </c>
      <c r="L247" t="s">
        <v>36</v>
      </c>
      <c r="M247" t="s">
        <v>61</v>
      </c>
      <c r="N247" t="s">
        <v>27</v>
      </c>
      <c r="O247">
        <v>525</v>
      </c>
      <c r="P247">
        <v>411</v>
      </c>
      <c r="Q247" t="s">
        <v>87</v>
      </c>
      <c r="R247" t="s">
        <v>88</v>
      </c>
      <c r="S247" t="s">
        <v>89</v>
      </c>
      <c r="T247">
        <v>2023</v>
      </c>
      <c r="U247" t="s">
        <v>62</v>
      </c>
    </row>
    <row r="248" spans="1:21" x14ac:dyDescent="0.35">
      <c r="A248" s="1">
        <v>44838</v>
      </c>
      <c r="B248" t="s">
        <v>58</v>
      </c>
      <c r="C248" t="s">
        <v>59</v>
      </c>
      <c r="D248" t="s">
        <v>60</v>
      </c>
      <c r="E248">
        <v>205</v>
      </c>
      <c r="F248">
        <v>5</v>
      </c>
      <c r="G248">
        <f t="shared" si="9"/>
        <v>1025</v>
      </c>
      <c r="H248">
        <v>3</v>
      </c>
      <c r="I248">
        <f t="shared" si="10"/>
        <v>615</v>
      </c>
      <c r="J248">
        <f t="shared" si="11"/>
        <v>410</v>
      </c>
      <c r="K248" t="s">
        <v>24</v>
      </c>
      <c r="L248" t="s">
        <v>63</v>
      </c>
      <c r="M248" t="s">
        <v>61</v>
      </c>
      <c r="N248" t="s">
        <v>27</v>
      </c>
      <c r="O248">
        <v>644</v>
      </c>
      <c r="P248">
        <v>205</v>
      </c>
      <c r="Q248" t="s">
        <v>54</v>
      </c>
      <c r="R248" t="s">
        <v>55</v>
      </c>
      <c r="S248" t="s">
        <v>56</v>
      </c>
      <c r="T248">
        <v>2021</v>
      </c>
      <c r="U248" t="s">
        <v>31</v>
      </c>
    </row>
    <row r="249" spans="1:21" x14ac:dyDescent="0.35">
      <c r="A249" s="1">
        <v>44839</v>
      </c>
      <c r="B249" t="s">
        <v>58</v>
      </c>
      <c r="C249" t="s">
        <v>59</v>
      </c>
      <c r="D249" t="s">
        <v>60</v>
      </c>
      <c r="E249">
        <v>162</v>
      </c>
      <c r="F249">
        <v>5</v>
      </c>
      <c r="G249">
        <f t="shared" si="9"/>
        <v>810</v>
      </c>
      <c r="H249">
        <v>3</v>
      </c>
      <c r="I249">
        <f t="shared" si="10"/>
        <v>486</v>
      </c>
      <c r="J249">
        <f t="shared" si="11"/>
        <v>324</v>
      </c>
      <c r="K249" t="s">
        <v>42</v>
      </c>
      <c r="L249" t="s">
        <v>63</v>
      </c>
      <c r="M249" t="s">
        <v>26</v>
      </c>
      <c r="N249" t="s">
        <v>43</v>
      </c>
      <c r="O249">
        <v>746</v>
      </c>
      <c r="P249">
        <v>162</v>
      </c>
      <c r="Q249" t="s">
        <v>103</v>
      </c>
      <c r="R249" t="s">
        <v>68</v>
      </c>
      <c r="S249" t="s">
        <v>104</v>
      </c>
      <c r="T249">
        <v>2023</v>
      </c>
      <c r="U249" t="s">
        <v>53</v>
      </c>
    </row>
    <row r="250" spans="1:21" x14ac:dyDescent="0.35">
      <c r="A250" s="1">
        <v>44840</v>
      </c>
      <c r="B250" t="s">
        <v>80</v>
      </c>
      <c r="C250" t="s">
        <v>81</v>
      </c>
      <c r="D250" t="s">
        <v>82</v>
      </c>
      <c r="E250">
        <v>495</v>
      </c>
      <c r="F250">
        <v>2.5</v>
      </c>
      <c r="G250">
        <f t="shared" si="9"/>
        <v>1237.5</v>
      </c>
      <c r="H250">
        <v>1.5</v>
      </c>
      <c r="I250">
        <f t="shared" si="10"/>
        <v>742.5</v>
      </c>
      <c r="J250">
        <f t="shared" si="11"/>
        <v>495</v>
      </c>
      <c r="K250" t="s">
        <v>42</v>
      </c>
      <c r="L250" t="s">
        <v>25</v>
      </c>
      <c r="M250" t="s">
        <v>61</v>
      </c>
      <c r="N250" t="s">
        <v>38</v>
      </c>
      <c r="O250">
        <v>585</v>
      </c>
      <c r="P250">
        <v>495</v>
      </c>
      <c r="Q250" t="s">
        <v>77</v>
      </c>
      <c r="R250" t="s">
        <v>78</v>
      </c>
      <c r="S250" t="s">
        <v>79</v>
      </c>
      <c r="T250">
        <v>2024</v>
      </c>
      <c r="U250" t="s">
        <v>47</v>
      </c>
    </row>
    <row r="251" spans="1:21" x14ac:dyDescent="0.35">
      <c r="A251" s="1">
        <v>44841</v>
      </c>
      <c r="B251" t="s">
        <v>58</v>
      </c>
      <c r="C251" t="s">
        <v>59</v>
      </c>
      <c r="D251" t="s">
        <v>60</v>
      </c>
      <c r="E251">
        <v>121</v>
      </c>
      <c r="F251">
        <v>5</v>
      </c>
      <c r="G251">
        <f t="shared" si="9"/>
        <v>605</v>
      </c>
      <c r="H251">
        <v>3</v>
      </c>
      <c r="I251">
        <f t="shared" si="10"/>
        <v>363</v>
      </c>
      <c r="J251">
        <f t="shared" si="11"/>
        <v>242</v>
      </c>
      <c r="K251" t="s">
        <v>24</v>
      </c>
      <c r="L251" t="s">
        <v>25</v>
      </c>
      <c r="M251" t="s">
        <v>61</v>
      </c>
      <c r="N251" t="s">
        <v>27</v>
      </c>
      <c r="O251">
        <v>887</v>
      </c>
      <c r="P251">
        <v>121</v>
      </c>
      <c r="Q251" t="s">
        <v>113</v>
      </c>
      <c r="R251" t="s">
        <v>114</v>
      </c>
      <c r="S251" t="s">
        <v>115</v>
      </c>
      <c r="T251">
        <v>2022</v>
      </c>
      <c r="U251" t="s">
        <v>105</v>
      </c>
    </row>
    <row r="252" spans="1:21" x14ac:dyDescent="0.35">
      <c r="A252" s="1">
        <v>44842</v>
      </c>
      <c r="B252" t="s">
        <v>32</v>
      </c>
      <c r="C252" t="s">
        <v>33</v>
      </c>
      <c r="D252" t="s">
        <v>34</v>
      </c>
      <c r="E252">
        <v>400</v>
      </c>
      <c r="F252">
        <v>20</v>
      </c>
      <c r="G252">
        <f t="shared" si="9"/>
        <v>8000</v>
      </c>
      <c r="H252">
        <v>12</v>
      </c>
      <c r="I252">
        <f t="shared" si="10"/>
        <v>4800</v>
      </c>
      <c r="J252">
        <f t="shared" si="11"/>
        <v>3200</v>
      </c>
      <c r="K252" t="s">
        <v>42</v>
      </c>
      <c r="L252" t="s">
        <v>63</v>
      </c>
      <c r="M252" t="s">
        <v>26</v>
      </c>
      <c r="N252" t="s">
        <v>38</v>
      </c>
      <c r="O252">
        <v>897</v>
      </c>
      <c r="P252">
        <v>400</v>
      </c>
      <c r="Q252" t="s">
        <v>74</v>
      </c>
      <c r="R252" t="s">
        <v>75</v>
      </c>
      <c r="S252" t="s">
        <v>76</v>
      </c>
      <c r="T252">
        <v>2022</v>
      </c>
      <c r="U252" t="s">
        <v>31</v>
      </c>
    </row>
    <row r="253" spans="1:21" x14ac:dyDescent="0.35">
      <c r="A253" s="1">
        <v>44843</v>
      </c>
      <c r="B253" t="s">
        <v>48</v>
      </c>
      <c r="C253" t="s">
        <v>49</v>
      </c>
      <c r="D253" t="s">
        <v>50</v>
      </c>
      <c r="E253">
        <v>319</v>
      </c>
      <c r="F253">
        <v>150</v>
      </c>
      <c r="G253">
        <f t="shared" si="9"/>
        <v>47850</v>
      </c>
      <c r="H253">
        <v>100</v>
      </c>
      <c r="I253">
        <f t="shared" si="10"/>
        <v>31900</v>
      </c>
      <c r="J253">
        <f t="shared" si="11"/>
        <v>15950</v>
      </c>
      <c r="K253" t="s">
        <v>35</v>
      </c>
      <c r="L253" t="s">
        <v>63</v>
      </c>
      <c r="M253" t="s">
        <v>26</v>
      </c>
      <c r="N253" t="s">
        <v>27</v>
      </c>
      <c r="O253">
        <v>923</v>
      </c>
      <c r="P253">
        <v>319</v>
      </c>
      <c r="Q253" t="s">
        <v>28</v>
      </c>
      <c r="R253" t="s">
        <v>29</v>
      </c>
      <c r="S253" t="s">
        <v>30</v>
      </c>
      <c r="T253">
        <v>2024</v>
      </c>
      <c r="U253" t="s">
        <v>105</v>
      </c>
    </row>
    <row r="254" spans="1:21" x14ac:dyDescent="0.35">
      <c r="A254" s="1">
        <v>44844</v>
      </c>
      <c r="B254" t="s">
        <v>21</v>
      </c>
      <c r="C254" t="s">
        <v>22</v>
      </c>
      <c r="D254" t="s">
        <v>23</v>
      </c>
      <c r="E254">
        <v>186</v>
      </c>
      <c r="F254">
        <v>8</v>
      </c>
      <c r="G254">
        <f t="shared" si="9"/>
        <v>1488</v>
      </c>
      <c r="H254">
        <v>5</v>
      </c>
      <c r="I254">
        <f t="shared" si="10"/>
        <v>930</v>
      </c>
      <c r="J254">
        <f t="shared" si="11"/>
        <v>558</v>
      </c>
      <c r="K254" t="s">
        <v>35</v>
      </c>
      <c r="L254" t="s">
        <v>36</v>
      </c>
      <c r="M254" t="s">
        <v>61</v>
      </c>
      <c r="N254" t="s">
        <v>43</v>
      </c>
      <c r="O254">
        <v>704</v>
      </c>
      <c r="P254">
        <v>186</v>
      </c>
      <c r="Q254" t="s">
        <v>39</v>
      </c>
      <c r="R254" t="s">
        <v>40</v>
      </c>
      <c r="S254" t="s">
        <v>41</v>
      </c>
      <c r="T254">
        <v>2021</v>
      </c>
      <c r="U254" t="s">
        <v>57</v>
      </c>
    </row>
    <row r="255" spans="1:21" x14ac:dyDescent="0.35">
      <c r="A255" s="1">
        <v>44845</v>
      </c>
      <c r="B255" t="s">
        <v>32</v>
      </c>
      <c r="C255" t="s">
        <v>33</v>
      </c>
      <c r="D255" t="s">
        <v>34</v>
      </c>
      <c r="E255">
        <v>445</v>
      </c>
      <c r="F255">
        <v>20</v>
      </c>
      <c r="G255">
        <f t="shared" si="9"/>
        <v>8900</v>
      </c>
      <c r="H255">
        <v>12</v>
      </c>
      <c r="I255">
        <f t="shared" si="10"/>
        <v>5340</v>
      </c>
      <c r="J255">
        <f t="shared" si="11"/>
        <v>3560</v>
      </c>
      <c r="K255" t="s">
        <v>42</v>
      </c>
      <c r="L255" t="s">
        <v>63</v>
      </c>
      <c r="M255" t="s">
        <v>61</v>
      </c>
      <c r="N255" t="s">
        <v>27</v>
      </c>
      <c r="O255">
        <v>734</v>
      </c>
      <c r="P255">
        <v>445</v>
      </c>
      <c r="Q255" t="s">
        <v>54</v>
      </c>
      <c r="R255" t="s">
        <v>55</v>
      </c>
      <c r="S255" t="s">
        <v>56</v>
      </c>
      <c r="T255">
        <v>2024</v>
      </c>
      <c r="U255" t="s">
        <v>97</v>
      </c>
    </row>
    <row r="256" spans="1:21" x14ac:dyDescent="0.35">
      <c r="A256" s="1">
        <v>44846</v>
      </c>
      <c r="B256" t="s">
        <v>48</v>
      </c>
      <c r="C256" t="s">
        <v>49</v>
      </c>
      <c r="D256" t="s">
        <v>50</v>
      </c>
      <c r="E256">
        <v>337</v>
      </c>
      <c r="F256">
        <v>150</v>
      </c>
      <c r="G256">
        <f t="shared" si="9"/>
        <v>50550</v>
      </c>
      <c r="H256">
        <v>100</v>
      </c>
      <c r="I256">
        <f t="shared" si="10"/>
        <v>33700</v>
      </c>
      <c r="J256">
        <f t="shared" si="11"/>
        <v>16850</v>
      </c>
      <c r="K256" t="s">
        <v>35</v>
      </c>
      <c r="L256" t="s">
        <v>73</v>
      </c>
      <c r="M256" t="s">
        <v>26</v>
      </c>
      <c r="N256" t="s">
        <v>38</v>
      </c>
      <c r="O256">
        <v>907</v>
      </c>
      <c r="P256">
        <v>337</v>
      </c>
      <c r="Q256" t="s">
        <v>101</v>
      </c>
      <c r="R256" t="s">
        <v>101</v>
      </c>
      <c r="S256" t="s">
        <v>102</v>
      </c>
      <c r="T256">
        <v>2020</v>
      </c>
      <c r="U256" t="s">
        <v>109</v>
      </c>
    </row>
    <row r="257" spans="1:21" x14ac:dyDescent="0.35">
      <c r="A257" s="1">
        <v>44847</v>
      </c>
      <c r="B257" t="s">
        <v>32</v>
      </c>
      <c r="C257" t="s">
        <v>33</v>
      </c>
      <c r="D257" t="s">
        <v>34</v>
      </c>
      <c r="E257">
        <v>273</v>
      </c>
      <c r="F257">
        <v>20</v>
      </c>
      <c r="G257">
        <f t="shared" si="9"/>
        <v>5460</v>
      </c>
      <c r="H257">
        <v>12</v>
      </c>
      <c r="I257">
        <f t="shared" si="10"/>
        <v>3276</v>
      </c>
      <c r="J257">
        <f t="shared" si="11"/>
        <v>2184</v>
      </c>
      <c r="K257" t="s">
        <v>35</v>
      </c>
      <c r="L257" t="s">
        <v>25</v>
      </c>
      <c r="M257" t="s">
        <v>61</v>
      </c>
      <c r="N257" t="s">
        <v>27</v>
      </c>
      <c r="O257">
        <v>567</v>
      </c>
      <c r="P257">
        <v>273</v>
      </c>
      <c r="Q257" t="s">
        <v>87</v>
      </c>
      <c r="R257" t="s">
        <v>88</v>
      </c>
      <c r="S257" t="s">
        <v>89</v>
      </c>
      <c r="T257">
        <v>2022</v>
      </c>
      <c r="U257" t="s">
        <v>105</v>
      </c>
    </row>
    <row r="258" spans="1:21" x14ac:dyDescent="0.35">
      <c r="A258" s="1">
        <v>44848</v>
      </c>
      <c r="B258" t="s">
        <v>32</v>
      </c>
      <c r="C258" t="s">
        <v>33</v>
      </c>
      <c r="D258" t="s">
        <v>34</v>
      </c>
      <c r="E258">
        <v>184</v>
      </c>
      <c r="F258">
        <v>20</v>
      </c>
      <c r="G258">
        <f t="shared" si="9"/>
        <v>3680</v>
      </c>
      <c r="H258">
        <v>12</v>
      </c>
      <c r="I258">
        <f t="shared" si="10"/>
        <v>2208</v>
      </c>
      <c r="J258">
        <f t="shared" si="11"/>
        <v>1472</v>
      </c>
      <c r="K258" t="s">
        <v>24</v>
      </c>
      <c r="L258" t="s">
        <v>63</v>
      </c>
      <c r="M258" t="s">
        <v>37</v>
      </c>
      <c r="N258" t="s">
        <v>27</v>
      </c>
      <c r="O258">
        <v>507</v>
      </c>
      <c r="P258">
        <v>184</v>
      </c>
      <c r="Q258" t="s">
        <v>87</v>
      </c>
      <c r="R258" t="s">
        <v>88</v>
      </c>
      <c r="S258" t="s">
        <v>89</v>
      </c>
      <c r="T258">
        <v>2023</v>
      </c>
      <c r="U258" t="s">
        <v>97</v>
      </c>
    </row>
    <row r="259" spans="1:21" x14ac:dyDescent="0.35">
      <c r="A259" s="1">
        <v>44849</v>
      </c>
      <c r="B259" t="s">
        <v>80</v>
      </c>
      <c r="C259" t="s">
        <v>81</v>
      </c>
      <c r="D259" t="s">
        <v>82</v>
      </c>
      <c r="E259">
        <v>254</v>
      </c>
      <c r="F259">
        <v>2.5</v>
      </c>
      <c r="G259">
        <f t="shared" ref="G259:G322" si="12">E259*F259</f>
        <v>635</v>
      </c>
      <c r="H259">
        <v>1.5</v>
      </c>
      <c r="I259">
        <f t="shared" ref="I259:I322" si="13">E259*H259</f>
        <v>381</v>
      </c>
      <c r="J259">
        <f t="shared" ref="J259:J322" si="14">G259-I259</f>
        <v>254</v>
      </c>
      <c r="K259" t="s">
        <v>35</v>
      </c>
      <c r="L259" t="s">
        <v>25</v>
      </c>
      <c r="M259" t="s">
        <v>61</v>
      </c>
      <c r="N259" t="s">
        <v>27</v>
      </c>
      <c r="O259">
        <v>557</v>
      </c>
      <c r="P259">
        <v>254</v>
      </c>
      <c r="Q259" t="s">
        <v>87</v>
      </c>
      <c r="R259" t="s">
        <v>88</v>
      </c>
      <c r="S259" t="s">
        <v>89</v>
      </c>
      <c r="T259">
        <v>2020</v>
      </c>
      <c r="U259" t="s">
        <v>91</v>
      </c>
    </row>
    <row r="260" spans="1:21" x14ac:dyDescent="0.35">
      <c r="A260" s="1">
        <v>44850</v>
      </c>
      <c r="B260" t="s">
        <v>98</v>
      </c>
      <c r="C260" t="s">
        <v>99</v>
      </c>
      <c r="D260" t="s">
        <v>100</v>
      </c>
      <c r="E260">
        <v>36</v>
      </c>
      <c r="F260">
        <v>6</v>
      </c>
      <c r="G260">
        <f t="shared" si="12"/>
        <v>216</v>
      </c>
      <c r="H260">
        <v>4</v>
      </c>
      <c r="I260">
        <f t="shared" si="13"/>
        <v>144</v>
      </c>
      <c r="J260">
        <f t="shared" si="14"/>
        <v>72</v>
      </c>
      <c r="K260" t="s">
        <v>42</v>
      </c>
      <c r="L260" t="s">
        <v>36</v>
      </c>
      <c r="M260" t="s">
        <v>26</v>
      </c>
      <c r="N260" t="s">
        <v>38</v>
      </c>
      <c r="O260">
        <v>754</v>
      </c>
      <c r="P260">
        <v>36</v>
      </c>
      <c r="Q260" t="s">
        <v>67</v>
      </c>
      <c r="R260" t="s">
        <v>68</v>
      </c>
      <c r="S260" t="s">
        <v>69</v>
      </c>
      <c r="T260">
        <v>2022</v>
      </c>
      <c r="U260" t="s">
        <v>105</v>
      </c>
    </row>
    <row r="261" spans="1:21" x14ac:dyDescent="0.35">
      <c r="A261" s="1">
        <v>44851</v>
      </c>
      <c r="B261" t="s">
        <v>48</v>
      </c>
      <c r="C261" t="s">
        <v>49</v>
      </c>
      <c r="D261" t="s">
        <v>50</v>
      </c>
      <c r="E261">
        <v>242</v>
      </c>
      <c r="F261">
        <v>150</v>
      </c>
      <c r="G261">
        <f t="shared" si="12"/>
        <v>36300</v>
      </c>
      <c r="H261">
        <v>100</v>
      </c>
      <c r="I261">
        <f t="shared" si="13"/>
        <v>24200</v>
      </c>
      <c r="J261">
        <f t="shared" si="14"/>
        <v>12100</v>
      </c>
      <c r="K261" t="s">
        <v>24</v>
      </c>
      <c r="L261" t="s">
        <v>25</v>
      </c>
      <c r="M261" t="s">
        <v>37</v>
      </c>
      <c r="N261" t="s">
        <v>27</v>
      </c>
      <c r="O261">
        <v>684</v>
      </c>
      <c r="P261">
        <v>242</v>
      </c>
      <c r="Q261" t="s">
        <v>83</v>
      </c>
      <c r="R261" t="s">
        <v>84</v>
      </c>
      <c r="S261" t="s">
        <v>85</v>
      </c>
      <c r="T261">
        <v>2022</v>
      </c>
      <c r="U261" t="s">
        <v>31</v>
      </c>
    </row>
    <row r="262" spans="1:21" x14ac:dyDescent="0.35">
      <c r="A262" s="1">
        <v>44852</v>
      </c>
      <c r="B262" t="s">
        <v>32</v>
      </c>
      <c r="C262" t="s">
        <v>33</v>
      </c>
      <c r="D262" t="s">
        <v>34</v>
      </c>
      <c r="E262">
        <v>360</v>
      </c>
      <c r="F262">
        <v>20</v>
      </c>
      <c r="G262">
        <f t="shared" si="12"/>
        <v>7200</v>
      </c>
      <c r="H262">
        <v>12</v>
      </c>
      <c r="I262">
        <f t="shared" si="13"/>
        <v>4320</v>
      </c>
      <c r="J262">
        <f t="shared" si="14"/>
        <v>2880</v>
      </c>
      <c r="K262" t="s">
        <v>42</v>
      </c>
      <c r="L262" t="s">
        <v>36</v>
      </c>
      <c r="M262" t="s">
        <v>37</v>
      </c>
      <c r="N262" t="s">
        <v>38</v>
      </c>
      <c r="O262">
        <v>666</v>
      </c>
      <c r="P262">
        <v>360</v>
      </c>
      <c r="Q262" t="s">
        <v>67</v>
      </c>
      <c r="R262" t="s">
        <v>68</v>
      </c>
      <c r="S262" t="s">
        <v>69</v>
      </c>
      <c r="T262">
        <v>2023</v>
      </c>
      <c r="U262" t="s">
        <v>109</v>
      </c>
    </row>
    <row r="263" spans="1:21" x14ac:dyDescent="0.35">
      <c r="A263" s="1">
        <v>44853</v>
      </c>
      <c r="B263" t="s">
        <v>32</v>
      </c>
      <c r="C263" t="s">
        <v>33</v>
      </c>
      <c r="D263" t="s">
        <v>34</v>
      </c>
      <c r="E263">
        <v>454</v>
      </c>
      <c r="F263">
        <v>20</v>
      </c>
      <c r="G263">
        <f t="shared" si="12"/>
        <v>9080</v>
      </c>
      <c r="H263">
        <v>12</v>
      </c>
      <c r="I263">
        <f t="shared" si="13"/>
        <v>5448</v>
      </c>
      <c r="J263">
        <f t="shared" si="14"/>
        <v>3632</v>
      </c>
      <c r="K263" t="s">
        <v>35</v>
      </c>
      <c r="L263" t="s">
        <v>73</v>
      </c>
      <c r="M263" t="s">
        <v>61</v>
      </c>
      <c r="N263" t="s">
        <v>27</v>
      </c>
      <c r="O263">
        <v>963</v>
      </c>
      <c r="P263">
        <v>454</v>
      </c>
      <c r="Q263" t="s">
        <v>67</v>
      </c>
      <c r="R263" t="s">
        <v>68</v>
      </c>
      <c r="S263" t="s">
        <v>69</v>
      </c>
      <c r="T263">
        <v>2024</v>
      </c>
      <c r="U263" t="s">
        <v>47</v>
      </c>
    </row>
    <row r="264" spans="1:21" x14ac:dyDescent="0.35">
      <c r="A264" s="1">
        <v>44854</v>
      </c>
      <c r="B264" t="s">
        <v>32</v>
      </c>
      <c r="C264" t="s">
        <v>33</v>
      </c>
      <c r="D264" t="s">
        <v>34</v>
      </c>
      <c r="E264">
        <v>462</v>
      </c>
      <c r="F264">
        <v>20</v>
      </c>
      <c r="G264">
        <f t="shared" si="12"/>
        <v>9240</v>
      </c>
      <c r="H264">
        <v>12</v>
      </c>
      <c r="I264">
        <f t="shared" si="13"/>
        <v>5544</v>
      </c>
      <c r="J264">
        <f t="shared" si="14"/>
        <v>3696</v>
      </c>
      <c r="K264" t="s">
        <v>35</v>
      </c>
      <c r="L264" t="s">
        <v>63</v>
      </c>
      <c r="M264" t="s">
        <v>61</v>
      </c>
      <c r="N264" t="s">
        <v>43</v>
      </c>
      <c r="O264">
        <v>549</v>
      </c>
      <c r="P264">
        <v>462</v>
      </c>
      <c r="Q264" t="s">
        <v>77</v>
      </c>
      <c r="R264" t="s">
        <v>78</v>
      </c>
      <c r="S264" t="s">
        <v>79</v>
      </c>
      <c r="T264">
        <v>2023</v>
      </c>
      <c r="U264" t="s">
        <v>57</v>
      </c>
    </row>
    <row r="265" spans="1:21" x14ac:dyDescent="0.35">
      <c r="A265" s="1">
        <v>44855</v>
      </c>
      <c r="B265" t="s">
        <v>80</v>
      </c>
      <c r="C265" t="s">
        <v>81</v>
      </c>
      <c r="D265" t="s">
        <v>82</v>
      </c>
      <c r="E265">
        <v>222</v>
      </c>
      <c r="F265">
        <v>2.5</v>
      </c>
      <c r="G265">
        <f t="shared" si="12"/>
        <v>555</v>
      </c>
      <c r="H265">
        <v>1.5</v>
      </c>
      <c r="I265">
        <f t="shared" si="13"/>
        <v>333</v>
      </c>
      <c r="J265">
        <f t="shared" si="14"/>
        <v>222</v>
      </c>
      <c r="K265" t="s">
        <v>35</v>
      </c>
      <c r="L265" t="s">
        <v>25</v>
      </c>
      <c r="M265" t="s">
        <v>26</v>
      </c>
      <c r="N265" t="s">
        <v>38</v>
      </c>
      <c r="O265">
        <v>759</v>
      </c>
      <c r="P265">
        <v>222</v>
      </c>
      <c r="Q265" t="s">
        <v>110</v>
      </c>
      <c r="R265" t="s">
        <v>111</v>
      </c>
      <c r="S265" t="s">
        <v>112</v>
      </c>
      <c r="T265">
        <v>2023</v>
      </c>
      <c r="U265" t="s">
        <v>105</v>
      </c>
    </row>
    <row r="266" spans="1:21" x14ac:dyDescent="0.35">
      <c r="A266" s="1">
        <v>44856</v>
      </c>
      <c r="B266" t="s">
        <v>98</v>
      </c>
      <c r="C266" t="s">
        <v>99</v>
      </c>
      <c r="D266" t="s">
        <v>100</v>
      </c>
      <c r="E266">
        <v>229</v>
      </c>
      <c r="F266">
        <v>6</v>
      </c>
      <c r="G266">
        <f t="shared" si="12"/>
        <v>1374</v>
      </c>
      <c r="H266">
        <v>4</v>
      </c>
      <c r="I266">
        <f t="shared" si="13"/>
        <v>916</v>
      </c>
      <c r="J266">
        <f t="shared" si="14"/>
        <v>458</v>
      </c>
      <c r="K266" t="s">
        <v>42</v>
      </c>
      <c r="L266" t="s">
        <v>36</v>
      </c>
      <c r="M266" t="s">
        <v>37</v>
      </c>
      <c r="N266" t="s">
        <v>38</v>
      </c>
      <c r="O266">
        <v>882</v>
      </c>
      <c r="P266">
        <v>229</v>
      </c>
      <c r="Q266" t="s">
        <v>51</v>
      </c>
      <c r="R266" t="s">
        <v>45</v>
      </c>
      <c r="S266" t="s">
        <v>52</v>
      </c>
      <c r="T266">
        <v>2021</v>
      </c>
      <c r="U266" t="s">
        <v>97</v>
      </c>
    </row>
    <row r="267" spans="1:21" x14ac:dyDescent="0.35">
      <c r="A267" s="1">
        <v>44857</v>
      </c>
      <c r="B267" t="s">
        <v>98</v>
      </c>
      <c r="C267" t="s">
        <v>99</v>
      </c>
      <c r="D267" t="s">
        <v>100</v>
      </c>
      <c r="E267">
        <v>198</v>
      </c>
      <c r="F267">
        <v>6</v>
      </c>
      <c r="G267">
        <f t="shared" si="12"/>
        <v>1188</v>
      </c>
      <c r="H267">
        <v>4</v>
      </c>
      <c r="I267">
        <f t="shared" si="13"/>
        <v>792</v>
      </c>
      <c r="J267">
        <f t="shared" si="14"/>
        <v>396</v>
      </c>
      <c r="K267" t="s">
        <v>42</v>
      </c>
      <c r="L267" t="s">
        <v>25</v>
      </c>
      <c r="M267" t="s">
        <v>37</v>
      </c>
      <c r="N267" t="s">
        <v>38</v>
      </c>
      <c r="O267">
        <v>917</v>
      </c>
      <c r="P267">
        <v>198</v>
      </c>
      <c r="Q267" t="s">
        <v>106</v>
      </c>
      <c r="R267" t="s">
        <v>107</v>
      </c>
      <c r="S267" t="s">
        <v>108</v>
      </c>
      <c r="T267">
        <v>2023</v>
      </c>
      <c r="U267" t="s">
        <v>47</v>
      </c>
    </row>
    <row r="268" spans="1:21" x14ac:dyDescent="0.35">
      <c r="A268" s="1">
        <v>44858</v>
      </c>
      <c r="B268" t="s">
        <v>21</v>
      </c>
      <c r="C268" t="s">
        <v>22</v>
      </c>
      <c r="D268" t="s">
        <v>23</v>
      </c>
      <c r="E268">
        <v>384</v>
      </c>
      <c r="F268">
        <v>8</v>
      </c>
      <c r="G268">
        <f t="shared" si="12"/>
        <v>3072</v>
      </c>
      <c r="H268">
        <v>5</v>
      </c>
      <c r="I268">
        <f t="shared" si="13"/>
        <v>1920</v>
      </c>
      <c r="J268">
        <f t="shared" si="14"/>
        <v>1152</v>
      </c>
      <c r="K268" t="s">
        <v>42</v>
      </c>
      <c r="L268" t="s">
        <v>25</v>
      </c>
      <c r="M268" t="s">
        <v>61</v>
      </c>
      <c r="N268" t="s">
        <v>38</v>
      </c>
      <c r="O268">
        <v>911</v>
      </c>
      <c r="P268">
        <v>384</v>
      </c>
      <c r="Q268" t="s">
        <v>110</v>
      </c>
      <c r="R268" t="s">
        <v>111</v>
      </c>
      <c r="S268" t="s">
        <v>112</v>
      </c>
      <c r="T268">
        <v>2023</v>
      </c>
      <c r="U268" t="s">
        <v>105</v>
      </c>
    </row>
    <row r="269" spans="1:21" x14ac:dyDescent="0.35">
      <c r="A269" s="1">
        <v>44859</v>
      </c>
      <c r="B269" t="s">
        <v>80</v>
      </c>
      <c r="C269" t="s">
        <v>81</v>
      </c>
      <c r="D269" t="s">
        <v>82</v>
      </c>
      <c r="E269">
        <v>407</v>
      </c>
      <c r="F269">
        <v>2.5</v>
      </c>
      <c r="G269">
        <f t="shared" si="12"/>
        <v>1017.5</v>
      </c>
      <c r="H269">
        <v>1.5</v>
      </c>
      <c r="I269">
        <f t="shared" si="13"/>
        <v>610.5</v>
      </c>
      <c r="J269">
        <f t="shared" si="14"/>
        <v>407</v>
      </c>
      <c r="K269" t="s">
        <v>42</v>
      </c>
      <c r="L269" t="s">
        <v>73</v>
      </c>
      <c r="M269" t="s">
        <v>61</v>
      </c>
      <c r="N269" t="s">
        <v>27</v>
      </c>
      <c r="O269">
        <v>875</v>
      </c>
      <c r="P269">
        <v>407</v>
      </c>
      <c r="Q269" t="s">
        <v>90</v>
      </c>
      <c r="R269" t="s">
        <v>55</v>
      </c>
      <c r="S269" t="s">
        <v>85</v>
      </c>
      <c r="T269">
        <v>2020</v>
      </c>
      <c r="U269" t="s">
        <v>31</v>
      </c>
    </row>
    <row r="270" spans="1:21" x14ac:dyDescent="0.35">
      <c r="A270" s="1">
        <v>44860</v>
      </c>
      <c r="B270" t="s">
        <v>80</v>
      </c>
      <c r="C270" t="s">
        <v>81</v>
      </c>
      <c r="D270" t="s">
        <v>82</v>
      </c>
      <c r="E270">
        <v>24</v>
      </c>
      <c r="F270">
        <v>2.5</v>
      </c>
      <c r="G270">
        <f t="shared" si="12"/>
        <v>60</v>
      </c>
      <c r="H270">
        <v>1.5</v>
      </c>
      <c r="I270">
        <f t="shared" si="13"/>
        <v>36</v>
      </c>
      <c r="J270">
        <f t="shared" si="14"/>
        <v>24</v>
      </c>
      <c r="K270" t="s">
        <v>35</v>
      </c>
      <c r="L270" t="s">
        <v>73</v>
      </c>
      <c r="M270" t="s">
        <v>26</v>
      </c>
      <c r="N270" t="s">
        <v>38</v>
      </c>
      <c r="O270">
        <v>587</v>
      </c>
      <c r="P270">
        <v>24</v>
      </c>
      <c r="Q270" t="s">
        <v>113</v>
      </c>
      <c r="R270" t="s">
        <v>114</v>
      </c>
      <c r="S270" t="s">
        <v>115</v>
      </c>
      <c r="T270">
        <v>2022</v>
      </c>
      <c r="U270" t="s">
        <v>105</v>
      </c>
    </row>
    <row r="271" spans="1:21" x14ac:dyDescent="0.35">
      <c r="A271" s="1">
        <v>44861</v>
      </c>
      <c r="B271" t="s">
        <v>32</v>
      </c>
      <c r="C271" t="s">
        <v>33</v>
      </c>
      <c r="D271" t="s">
        <v>34</v>
      </c>
      <c r="E271">
        <v>356</v>
      </c>
      <c r="F271">
        <v>20</v>
      </c>
      <c r="G271">
        <f t="shared" si="12"/>
        <v>7120</v>
      </c>
      <c r="H271">
        <v>12</v>
      </c>
      <c r="I271">
        <f t="shared" si="13"/>
        <v>4272</v>
      </c>
      <c r="J271">
        <f t="shared" si="14"/>
        <v>2848</v>
      </c>
      <c r="K271" t="s">
        <v>42</v>
      </c>
      <c r="L271" t="s">
        <v>63</v>
      </c>
      <c r="M271" t="s">
        <v>37</v>
      </c>
      <c r="N271" t="s">
        <v>38</v>
      </c>
      <c r="O271">
        <v>723</v>
      </c>
      <c r="P271">
        <v>356</v>
      </c>
      <c r="Q271" t="s">
        <v>110</v>
      </c>
      <c r="R271" t="s">
        <v>111</v>
      </c>
      <c r="S271" t="s">
        <v>112</v>
      </c>
      <c r="T271">
        <v>2020</v>
      </c>
      <c r="U271" t="s">
        <v>57</v>
      </c>
    </row>
    <row r="272" spans="1:21" x14ac:dyDescent="0.35">
      <c r="A272" s="1">
        <v>44862</v>
      </c>
      <c r="B272" t="s">
        <v>48</v>
      </c>
      <c r="C272" t="s">
        <v>49</v>
      </c>
      <c r="D272" t="s">
        <v>50</v>
      </c>
      <c r="E272">
        <v>165</v>
      </c>
      <c r="F272">
        <v>150</v>
      </c>
      <c r="G272">
        <f t="shared" si="12"/>
        <v>24750</v>
      </c>
      <c r="H272">
        <v>100</v>
      </c>
      <c r="I272">
        <f t="shared" si="13"/>
        <v>16500</v>
      </c>
      <c r="J272">
        <f t="shared" si="14"/>
        <v>8250</v>
      </c>
      <c r="K272" t="s">
        <v>35</v>
      </c>
      <c r="L272" t="s">
        <v>73</v>
      </c>
      <c r="M272" t="s">
        <v>37</v>
      </c>
      <c r="N272" t="s">
        <v>43</v>
      </c>
      <c r="O272">
        <v>580</v>
      </c>
      <c r="P272">
        <v>165</v>
      </c>
      <c r="Q272" t="s">
        <v>90</v>
      </c>
      <c r="R272" t="s">
        <v>55</v>
      </c>
      <c r="S272" t="s">
        <v>85</v>
      </c>
      <c r="T272">
        <v>2022</v>
      </c>
      <c r="U272" t="s">
        <v>57</v>
      </c>
    </row>
    <row r="273" spans="1:21" x14ac:dyDescent="0.35">
      <c r="A273" s="1">
        <v>44863</v>
      </c>
      <c r="B273" t="s">
        <v>80</v>
      </c>
      <c r="C273" t="s">
        <v>81</v>
      </c>
      <c r="D273" t="s">
        <v>82</v>
      </c>
      <c r="E273">
        <v>370</v>
      </c>
      <c r="F273">
        <v>2.5</v>
      </c>
      <c r="G273">
        <f t="shared" si="12"/>
        <v>925</v>
      </c>
      <c r="H273">
        <v>1.5</v>
      </c>
      <c r="I273">
        <f t="shared" si="13"/>
        <v>555</v>
      </c>
      <c r="J273">
        <f t="shared" si="14"/>
        <v>370</v>
      </c>
      <c r="K273" t="s">
        <v>42</v>
      </c>
      <c r="L273" t="s">
        <v>63</v>
      </c>
      <c r="M273" t="s">
        <v>37</v>
      </c>
      <c r="N273" t="s">
        <v>27</v>
      </c>
      <c r="O273">
        <v>946</v>
      </c>
      <c r="P273">
        <v>370</v>
      </c>
      <c r="Q273" t="s">
        <v>39</v>
      </c>
      <c r="R273" t="s">
        <v>40</v>
      </c>
      <c r="S273" t="s">
        <v>41</v>
      </c>
      <c r="T273">
        <v>2020</v>
      </c>
      <c r="U273" t="s">
        <v>57</v>
      </c>
    </row>
    <row r="274" spans="1:21" x14ac:dyDescent="0.35">
      <c r="A274" s="1">
        <v>44864</v>
      </c>
      <c r="B274" t="s">
        <v>48</v>
      </c>
      <c r="C274" t="s">
        <v>49</v>
      </c>
      <c r="D274" t="s">
        <v>50</v>
      </c>
      <c r="E274">
        <v>85</v>
      </c>
      <c r="F274">
        <v>150</v>
      </c>
      <c r="G274">
        <f t="shared" si="12"/>
        <v>12750</v>
      </c>
      <c r="H274">
        <v>100</v>
      </c>
      <c r="I274">
        <f t="shared" si="13"/>
        <v>8500</v>
      </c>
      <c r="J274">
        <f t="shared" si="14"/>
        <v>4250</v>
      </c>
      <c r="K274" t="s">
        <v>35</v>
      </c>
      <c r="L274" t="s">
        <v>63</v>
      </c>
      <c r="M274" t="s">
        <v>61</v>
      </c>
      <c r="N274" t="s">
        <v>43</v>
      </c>
      <c r="O274">
        <v>881</v>
      </c>
      <c r="P274">
        <v>85</v>
      </c>
      <c r="Q274" t="s">
        <v>54</v>
      </c>
      <c r="R274" t="s">
        <v>55</v>
      </c>
      <c r="S274" t="s">
        <v>56</v>
      </c>
      <c r="T274">
        <v>2021</v>
      </c>
      <c r="U274" t="s">
        <v>109</v>
      </c>
    </row>
    <row r="275" spans="1:21" x14ac:dyDescent="0.35">
      <c r="A275" s="1">
        <v>44865</v>
      </c>
      <c r="B275" t="s">
        <v>48</v>
      </c>
      <c r="C275" t="s">
        <v>49</v>
      </c>
      <c r="D275" t="s">
        <v>50</v>
      </c>
      <c r="E275">
        <v>432</v>
      </c>
      <c r="F275">
        <v>150</v>
      </c>
      <c r="G275">
        <f t="shared" si="12"/>
        <v>64800</v>
      </c>
      <c r="H275">
        <v>100</v>
      </c>
      <c r="I275">
        <f t="shared" si="13"/>
        <v>43200</v>
      </c>
      <c r="J275">
        <f t="shared" si="14"/>
        <v>21600</v>
      </c>
      <c r="K275" t="s">
        <v>24</v>
      </c>
      <c r="L275" t="s">
        <v>36</v>
      </c>
      <c r="M275" t="s">
        <v>61</v>
      </c>
      <c r="N275" t="s">
        <v>43</v>
      </c>
      <c r="O275">
        <v>788</v>
      </c>
      <c r="P275">
        <v>432</v>
      </c>
      <c r="Q275" t="s">
        <v>39</v>
      </c>
      <c r="R275" t="s">
        <v>40</v>
      </c>
      <c r="S275" t="s">
        <v>41</v>
      </c>
      <c r="T275">
        <v>2021</v>
      </c>
      <c r="U275" t="s">
        <v>62</v>
      </c>
    </row>
    <row r="276" spans="1:21" x14ac:dyDescent="0.35">
      <c r="A276" s="1">
        <v>44866</v>
      </c>
      <c r="B276" t="s">
        <v>48</v>
      </c>
      <c r="C276" t="s">
        <v>49</v>
      </c>
      <c r="D276" t="s">
        <v>50</v>
      </c>
      <c r="E276">
        <v>381</v>
      </c>
      <c r="F276">
        <v>150</v>
      </c>
      <c r="G276">
        <f t="shared" si="12"/>
        <v>57150</v>
      </c>
      <c r="H276">
        <v>100</v>
      </c>
      <c r="I276">
        <f t="shared" si="13"/>
        <v>38100</v>
      </c>
      <c r="J276">
        <f t="shared" si="14"/>
        <v>19050</v>
      </c>
      <c r="K276" t="s">
        <v>42</v>
      </c>
      <c r="L276" t="s">
        <v>25</v>
      </c>
      <c r="M276" t="s">
        <v>61</v>
      </c>
      <c r="N276" t="s">
        <v>43</v>
      </c>
      <c r="O276">
        <v>979</v>
      </c>
      <c r="P276">
        <v>381</v>
      </c>
      <c r="Q276" t="s">
        <v>77</v>
      </c>
      <c r="R276" t="s">
        <v>78</v>
      </c>
      <c r="S276" t="s">
        <v>79</v>
      </c>
      <c r="T276">
        <v>2020</v>
      </c>
      <c r="U276" t="s">
        <v>105</v>
      </c>
    </row>
    <row r="277" spans="1:21" x14ac:dyDescent="0.35">
      <c r="A277" s="1">
        <v>44867</v>
      </c>
      <c r="B277" t="s">
        <v>58</v>
      </c>
      <c r="C277" t="s">
        <v>59</v>
      </c>
      <c r="D277" t="s">
        <v>60</v>
      </c>
      <c r="E277">
        <v>331</v>
      </c>
      <c r="F277">
        <v>5</v>
      </c>
      <c r="G277">
        <f t="shared" si="12"/>
        <v>1655</v>
      </c>
      <c r="H277">
        <v>3</v>
      </c>
      <c r="I277">
        <f t="shared" si="13"/>
        <v>993</v>
      </c>
      <c r="J277">
        <f t="shared" si="14"/>
        <v>662</v>
      </c>
      <c r="K277" t="s">
        <v>42</v>
      </c>
      <c r="L277" t="s">
        <v>63</v>
      </c>
      <c r="M277" t="s">
        <v>37</v>
      </c>
      <c r="N277" t="s">
        <v>43</v>
      </c>
      <c r="O277">
        <v>692</v>
      </c>
      <c r="P277">
        <v>331</v>
      </c>
      <c r="Q277" t="s">
        <v>64</v>
      </c>
      <c r="R277" t="s">
        <v>29</v>
      </c>
      <c r="S277" t="s">
        <v>65</v>
      </c>
      <c r="T277">
        <v>2020</v>
      </c>
      <c r="U277" t="s">
        <v>47</v>
      </c>
    </row>
    <row r="278" spans="1:21" x14ac:dyDescent="0.35">
      <c r="A278" s="1">
        <v>44868</v>
      </c>
      <c r="B278" t="s">
        <v>98</v>
      </c>
      <c r="C278" t="s">
        <v>99</v>
      </c>
      <c r="D278" t="s">
        <v>100</v>
      </c>
      <c r="E278">
        <v>143</v>
      </c>
      <c r="F278">
        <v>6</v>
      </c>
      <c r="G278">
        <f t="shared" si="12"/>
        <v>858</v>
      </c>
      <c r="H278">
        <v>4</v>
      </c>
      <c r="I278">
        <f t="shared" si="13"/>
        <v>572</v>
      </c>
      <c r="J278">
        <f t="shared" si="14"/>
        <v>286</v>
      </c>
      <c r="K278" t="s">
        <v>42</v>
      </c>
      <c r="L278" t="s">
        <v>36</v>
      </c>
      <c r="M278" t="s">
        <v>37</v>
      </c>
      <c r="N278" t="s">
        <v>38</v>
      </c>
      <c r="O278">
        <v>959</v>
      </c>
      <c r="P278">
        <v>143</v>
      </c>
      <c r="Q278" t="s">
        <v>39</v>
      </c>
      <c r="R278" t="s">
        <v>40</v>
      </c>
      <c r="S278" t="s">
        <v>41</v>
      </c>
      <c r="T278">
        <v>2022</v>
      </c>
      <c r="U278" t="s">
        <v>109</v>
      </c>
    </row>
    <row r="279" spans="1:21" x14ac:dyDescent="0.35">
      <c r="A279" s="1">
        <v>44869</v>
      </c>
      <c r="B279" t="s">
        <v>32</v>
      </c>
      <c r="C279" t="s">
        <v>33</v>
      </c>
      <c r="D279" t="s">
        <v>34</v>
      </c>
      <c r="E279">
        <v>41</v>
      </c>
      <c r="F279">
        <v>20</v>
      </c>
      <c r="G279">
        <f t="shared" si="12"/>
        <v>820</v>
      </c>
      <c r="H279">
        <v>12</v>
      </c>
      <c r="I279">
        <f t="shared" si="13"/>
        <v>492</v>
      </c>
      <c r="J279">
        <f t="shared" si="14"/>
        <v>328</v>
      </c>
      <c r="K279" t="s">
        <v>42</v>
      </c>
      <c r="L279" t="s">
        <v>63</v>
      </c>
      <c r="M279" t="s">
        <v>61</v>
      </c>
      <c r="N279" t="s">
        <v>38</v>
      </c>
      <c r="O279">
        <v>723</v>
      </c>
      <c r="P279">
        <v>41</v>
      </c>
      <c r="Q279" t="s">
        <v>94</v>
      </c>
      <c r="R279" t="s">
        <v>75</v>
      </c>
      <c r="S279" t="s">
        <v>95</v>
      </c>
      <c r="T279">
        <v>2021</v>
      </c>
      <c r="U279" t="s">
        <v>53</v>
      </c>
    </row>
    <row r="280" spans="1:21" x14ac:dyDescent="0.35">
      <c r="A280" s="1">
        <v>44870</v>
      </c>
      <c r="B280" t="s">
        <v>48</v>
      </c>
      <c r="C280" t="s">
        <v>49</v>
      </c>
      <c r="D280" t="s">
        <v>50</v>
      </c>
      <c r="E280">
        <v>356</v>
      </c>
      <c r="F280">
        <v>150</v>
      </c>
      <c r="G280">
        <f t="shared" si="12"/>
        <v>53400</v>
      </c>
      <c r="H280">
        <v>100</v>
      </c>
      <c r="I280">
        <f t="shared" si="13"/>
        <v>35600</v>
      </c>
      <c r="J280">
        <f t="shared" si="14"/>
        <v>17800</v>
      </c>
      <c r="K280" t="s">
        <v>24</v>
      </c>
      <c r="L280" t="s">
        <v>73</v>
      </c>
      <c r="M280" t="s">
        <v>37</v>
      </c>
      <c r="N280" t="s">
        <v>43</v>
      </c>
      <c r="O280">
        <v>690</v>
      </c>
      <c r="P280">
        <v>356</v>
      </c>
      <c r="Q280" t="s">
        <v>44</v>
      </c>
      <c r="R280" t="s">
        <v>45</v>
      </c>
      <c r="S280" t="s">
        <v>46</v>
      </c>
      <c r="T280">
        <v>2021</v>
      </c>
      <c r="U280" t="s">
        <v>31</v>
      </c>
    </row>
    <row r="281" spans="1:21" x14ac:dyDescent="0.35">
      <c r="A281" s="1">
        <v>44871</v>
      </c>
      <c r="B281" t="s">
        <v>58</v>
      </c>
      <c r="C281" t="s">
        <v>59</v>
      </c>
      <c r="D281" t="s">
        <v>60</v>
      </c>
      <c r="E281">
        <v>490</v>
      </c>
      <c r="F281">
        <v>5</v>
      </c>
      <c r="G281">
        <f t="shared" si="12"/>
        <v>2450</v>
      </c>
      <c r="H281">
        <v>3</v>
      </c>
      <c r="I281">
        <f t="shared" si="13"/>
        <v>1470</v>
      </c>
      <c r="J281">
        <f t="shared" si="14"/>
        <v>980</v>
      </c>
      <c r="K281" t="s">
        <v>24</v>
      </c>
      <c r="L281" t="s">
        <v>25</v>
      </c>
      <c r="M281" t="s">
        <v>61</v>
      </c>
      <c r="N281" t="s">
        <v>38</v>
      </c>
      <c r="O281">
        <v>595</v>
      </c>
      <c r="P281">
        <v>490</v>
      </c>
      <c r="Q281" t="s">
        <v>94</v>
      </c>
      <c r="R281" t="s">
        <v>75</v>
      </c>
      <c r="S281" t="s">
        <v>95</v>
      </c>
      <c r="T281">
        <v>2022</v>
      </c>
      <c r="U281" t="s">
        <v>105</v>
      </c>
    </row>
    <row r="282" spans="1:21" x14ac:dyDescent="0.35">
      <c r="A282" s="1">
        <v>44872</v>
      </c>
      <c r="B282" t="s">
        <v>58</v>
      </c>
      <c r="C282" t="s">
        <v>59</v>
      </c>
      <c r="D282" t="s">
        <v>60</v>
      </c>
      <c r="E282">
        <v>173</v>
      </c>
      <c r="F282">
        <v>5</v>
      </c>
      <c r="G282">
        <f t="shared" si="12"/>
        <v>865</v>
      </c>
      <c r="H282">
        <v>3</v>
      </c>
      <c r="I282">
        <f t="shared" si="13"/>
        <v>519</v>
      </c>
      <c r="J282">
        <f t="shared" si="14"/>
        <v>346</v>
      </c>
      <c r="K282" t="s">
        <v>42</v>
      </c>
      <c r="L282" t="s">
        <v>25</v>
      </c>
      <c r="M282" t="s">
        <v>26</v>
      </c>
      <c r="N282" t="s">
        <v>38</v>
      </c>
      <c r="O282">
        <v>760</v>
      </c>
      <c r="P282">
        <v>173</v>
      </c>
      <c r="Q282" t="s">
        <v>113</v>
      </c>
      <c r="R282" t="s">
        <v>114</v>
      </c>
      <c r="S282" t="s">
        <v>115</v>
      </c>
      <c r="T282">
        <v>2022</v>
      </c>
      <c r="U282" t="s">
        <v>86</v>
      </c>
    </row>
    <row r="283" spans="1:21" x14ac:dyDescent="0.35">
      <c r="A283" s="1">
        <v>44873</v>
      </c>
      <c r="B283" t="s">
        <v>80</v>
      </c>
      <c r="C283" t="s">
        <v>81</v>
      </c>
      <c r="D283" t="s">
        <v>82</v>
      </c>
      <c r="E283">
        <v>441</v>
      </c>
      <c r="F283">
        <v>2.5</v>
      </c>
      <c r="G283">
        <f t="shared" si="12"/>
        <v>1102.5</v>
      </c>
      <c r="H283">
        <v>1.5</v>
      </c>
      <c r="I283">
        <f t="shared" si="13"/>
        <v>661.5</v>
      </c>
      <c r="J283">
        <f t="shared" si="14"/>
        <v>441</v>
      </c>
      <c r="K283" t="s">
        <v>42</v>
      </c>
      <c r="L283" t="s">
        <v>73</v>
      </c>
      <c r="M283" t="s">
        <v>26</v>
      </c>
      <c r="N283" t="s">
        <v>43</v>
      </c>
      <c r="O283">
        <v>509</v>
      </c>
      <c r="P283">
        <v>441</v>
      </c>
      <c r="Q283" t="s">
        <v>106</v>
      </c>
      <c r="R283" t="s">
        <v>107</v>
      </c>
      <c r="S283" t="s">
        <v>108</v>
      </c>
      <c r="T283">
        <v>2022</v>
      </c>
      <c r="U283" t="s">
        <v>97</v>
      </c>
    </row>
    <row r="284" spans="1:21" x14ac:dyDescent="0.35">
      <c r="A284" s="1">
        <v>44874</v>
      </c>
      <c r="B284" t="s">
        <v>98</v>
      </c>
      <c r="C284" t="s">
        <v>99</v>
      </c>
      <c r="D284" t="s">
        <v>100</v>
      </c>
      <c r="E284">
        <v>438</v>
      </c>
      <c r="F284">
        <v>6</v>
      </c>
      <c r="G284">
        <f t="shared" si="12"/>
        <v>2628</v>
      </c>
      <c r="H284">
        <v>4</v>
      </c>
      <c r="I284">
        <f t="shared" si="13"/>
        <v>1752</v>
      </c>
      <c r="J284">
        <f t="shared" si="14"/>
        <v>876</v>
      </c>
      <c r="K284" t="s">
        <v>35</v>
      </c>
      <c r="L284" t="s">
        <v>25</v>
      </c>
      <c r="M284" t="s">
        <v>61</v>
      </c>
      <c r="N284" t="s">
        <v>38</v>
      </c>
      <c r="O284">
        <v>869</v>
      </c>
      <c r="P284">
        <v>438</v>
      </c>
      <c r="Q284" t="s">
        <v>113</v>
      </c>
      <c r="R284" t="s">
        <v>114</v>
      </c>
      <c r="S284" t="s">
        <v>115</v>
      </c>
      <c r="T284">
        <v>2023</v>
      </c>
      <c r="U284" t="s">
        <v>66</v>
      </c>
    </row>
    <row r="285" spans="1:21" x14ac:dyDescent="0.35">
      <c r="A285" s="1">
        <v>44875</v>
      </c>
      <c r="B285" t="s">
        <v>80</v>
      </c>
      <c r="C285" t="s">
        <v>81</v>
      </c>
      <c r="D285" t="s">
        <v>82</v>
      </c>
      <c r="E285">
        <v>331</v>
      </c>
      <c r="F285">
        <v>2.5</v>
      </c>
      <c r="G285">
        <f t="shared" si="12"/>
        <v>827.5</v>
      </c>
      <c r="H285">
        <v>1.5</v>
      </c>
      <c r="I285">
        <f t="shared" si="13"/>
        <v>496.5</v>
      </c>
      <c r="J285">
        <f t="shared" si="14"/>
        <v>331</v>
      </c>
      <c r="K285" t="s">
        <v>35</v>
      </c>
      <c r="L285" t="s">
        <v>36</v>
      </c>
      <c r="M285" t="s">
        <v>26</v>
      </c>
      <c r="N285" t="s">
        <v>43</v>
      </c>
      <c r="O285">
        <v>934</v>
      </c>
      <c r="P285">
        <v>331</v>
      </c>
      <c r="Q285" t="s">
        <v>83</v>
      </c>
      <c r="R285" t="s">
        <v>84</v>
      </c>
      <c r="S285" t="s">
        <v>85</v>
      </c>
      <c r="T285">
        <v>2024</v>
      </c>
      <c r="U285" t="s">
        <v>53</v>
      </c>
    </row>
    <row r="286" spans="1:21" x14ac:dyDescent="0.35">
      <c r="A286" s="1">
        <v>44876</v>
      </c>
      <c r="B286" t="s">
        <v>48</v>
      </c>
      <c r="C286" t="s">
        <v>49</v>
      </c>
      <c r="D286" t="s">
        <v>50</v>
      </c>
      <c r="E286">
        <v>276</v>
      </c>
      <c r="F286">
        <v>150</v>
      </c>
      <c r="G286">
        <f t="shared" si="12"/>
        <v>41400</v>
      </c>
      <c r="H286">
        <v>100</v>
      </c>
      <c r="I286">
        <f t="shared" si="13"/>
        <v>27600</v>
      </c>
      <c r="J286">
        <f t="shared" si="14"/>
        <v>13800</v>
      </c>
      <c r="K286" t="s">
        <v>42</v>
      </c>
      <c r="L286" t="s">
        <v>36</v>
      </c>
      <c r="M286" t="s">
        <v>26</v>
      </c>
      <c r="N286" t="s">
        <v>27</v>
      </c>
      <c r="O286">
        <v>722</v>
      </c>
      <c r="P286">
        <v>276</v>
      </c>
      <c r="Q286" t="s">
        <v>70</v>
      </c>
      <c r="R286" t="s">
        <v>71</v>
      </c>
      <c r="S286" t="s">
        <v>72</v>
      </c>
      <c r="T286">
        <v>2020</v>
      </c>
      <c r="U286" t="s">
        <v>66</v>
      </c>
    </row>
    <row r="287" spans="1:21" x14ac:dyDescent="0.35">
      <c r="A287" s="1">
        <v>44877</v>
      </c>
      <c r="B287" t="s">
        <v>80</v>
      </c>
      <c r="C287" t="s">
        <v>81</v>
      </c>
      <c r="D287" t="s">
        <v>82</v>
      </c>
      <c r="E287">
        <v>223</v>
      </c>
      <c r="F287">
        <v>2.5</v>
      </c>
      <c r="G287">
        <f t="shared" si="12"/>
        <v>557.5</v>
      </c>
      <c r="H287">
        <v>1.5</v>
      </c>
      <c r="I287">
        <f t="shared" si="13"/>
        <v>334.5</v>
      </c>
      <c r="J287">
        <f t="shared" si="14"/>
        <v>223</v>
      </c>
      <c r="K287" t="s">
        <v>42</v>
      </c>
      <c r="L287" t="s">
        <v>73</v>
      </c>
      <c r="M287" t="s">
        <v>26</v>
      </c>
      <c r="N287" t="s">
        <v>38</v>
      </c>
      <c r="O287">
        <v>531</v>
      </c>
      <c r="P287">
        <v>223</v>
      </c>
      <c r="Q287" t="s">
        <v>90</v>
      </c>
      <c r="R287" t="s">
        <v>55</v>
      </c>
      <c r="S287" t="s">
        <v>85</v>
      </c>
      <c r="T287">
        <v>2024</v>
      </c>
      <c r="U287" t="s">
        <v>47</v>
      </c>
    </row>
    <row r="288" spans="1:21" x14ac:dyDescent="0.35">
      <c r="A288" s="1">
        <v>44878</v>
      </c>
      <c r="B288" t="s">
        <v>80</v>
      </c>
      <c r="C288" t="s">
        <v>81</v>
      </c>
      <c r="D288" t="s">
        <v>82</v>
      </c>
      <c r="E288">
        <v>31</v>
      </c>
      <c r="F288">
        <v>2.5</v>
      </c>
      <c r="G288">
        <f t="shared" si="12"/>
        <v>77.5</v>
      </c>
      <c r="H288">
        <v>1.5</v>
      </c>
      <c r="I288">
        <f t="shared" si="13"/>
        <v>46.5</v>
      </c>
      <c r="J288">
        <f t="shared" si="14"/>
        <v>31</v>
      </c>
      <c r="K288" t="s">
        <v>24</v>
      </c>
      <c r="L288" t="s">
        <v>25</v>
      </c>
      <c r="M288" t="s">
        <v>26</v>
      </c>
      <c r="N288" t="s">
        <v>43</v>
      </c>
      <c r="O288">
        <v>655</v>
      </c>
      <c r="P288">
        <v>31</v>
      </c>
      <c r="Q288" t="s">
        <v>28</v>
      </c>
      <c r="R288" t="s">
        <v>29</v>
      </c>
      <c r="S288" t="s">
        <v>30</v>
      </c>
      <c r="T288">
        <v>2024</v>
      </c>
      <c r="U288" t="s">
        <v>31</v>
      </c>
    </row>
    <row r="289" spans="1:21" x14ac:dyDescent="0.35">
      <c r="A289" s="1">
        <v>44879</v>
      </c>
      <c r="B289" t="s">
        <v>98</v>
      </c>
      <c r="C289" t="s">
        <v>99</v>
      </c>
      <c r="D289" t="s">
        <v>100</v>
      </c>
      <c r="E289">
        <v>194</v>
      </c>
      <c r="F289">
        <v>6</v>
      </c>
      <c r="G289">
        <f t="shared" si="12"/>
        <v>1164</v>
      </c>
      <c r="H289">
        <v>4</v>
      </c>
      <c r="I289">
        <f t="shared" si="13"/>
        <v>776</v>
      </c>
      <c r="J289">
        <f t="shared" si="14"/>
        <v>388</v>
      </c>
      <c r="K289" t="s">
        <v>42</v>
      </c>
      <c r="L289" t="s">
        <v>73</v>
      </c>
      <c r="M289" t="s">
        <v>26</v>
      </c>
      <c r="N289" t="s">
        <v>27</v>
      </c>
      <c r="O289">
        <v>813</v>
      </c>
      <c r="P289">
        <v>194</v>
      </c>
      <c r="Q289" t="s">
        <v>90</v>
      </c>
      <c r="R289" t="s">
        <v>55</v>
      </c>
      <c r="S289" t="s">
        <v>85</v>
      </c>
      <c r="T289">
        <v>2021</v>
      </c>
      <c r="U289" t="s">
        <v>57</v>
      </c>
    </row>
    <row r="290" spans="1:21" x14ac:dyDescent="0.35">
      <c r="A290" s="1">
        <v>44880</v>
      </c>
      <c r="B290" t="s">
        <v>48</v>
      </c>
      <c r="C290" t="s">
        <v>49</v>
      </c>
      <c r="D290" t="s">
        <v>50</v>
      </c>
      <c r="E290">
        <v>80</v>
      </c>
      <c r="F290">
        <v>150</v>
      </c>
      <c r="G290">
        <f t="shared" si="12"/>
        <v>12000</v>
      </c>
      <c r="H290">
        <v>100</v>
      </c>
      <c r="I290">
        <f t="shared" si="13"/>
        <v>8000</v>
      </c>
      <c r="J290">
        <f t="shared" si="14"/>
        <v>4000</v>
      </c>
      <c r="K290" t="s">
        <v>24</v>
      </c>
      <c r="L290" t="s">
        <v>63</v>
      </c>
      <c r="M290" t="s">
        <v>26</v>
      </c>
      <c r="N290" t="s">
        <v>38</v>
      </c>
      <c r="O290">
        <v>560</v>
      </c>
      <c r="P290">
        <v>80</v>
      </c>
      <c r="Q290" t="s">
        <v>44</v>
      </c>
      <c r="R290" t="s">
        <v>45</v>
      </c>
      <c r="S290" t="s">
        <v>46</v>
      </c>
      <c r="T290">
        <v>2021</v>
      </c>
      <c r="U290" t="s">
        <v>57</v>
      </c>
    </row>
    <row r="291" spans="1:21" x14ac:dyDescent="0.35">
      <c r="A291" s="1">
        <v>44881</v>
      </c>
      <c r="B291" t="s">
        <v>58</v>
      </c>
      <c r="C291" t="s">
        <v>59</v>
      </c>
      <c r="D291" t="s">
        <v>60</v>
      </c>
      <c r="E291">
        <v>182</v>
      </c>
      <c r="F291">
        <v>5</v>
      </c>
      <c r="G291">
        <f t="shared" si="12"/>
        <v>910</v>
      </c>
      <c r="H291">
        <v>3</v>
      </c>
      <c r="I291">
        <f t="shared" si="13"/>
        <v>546</v>
      </c>
      <c r="J291">
        <f t="shared" si="14"/>
        <v>364</v>
      </c>
      <c r="K291" t="s">
        <v>35</v>
      </c>
      <c r="L291" t="s">
        <v>36</v>
      </c>
      <c r="M291" t="s">
        <v>26</v>
      </c>
      <c r="N291" t="s">
        <v>27</v>
      </c>
      <c r="O291">
        <v>814</v>
      </c>
      <c r="P291">
        <v>182</v>
      </c>
      <c r="Q291" t="s">
        <v>51</v>
      </c>
      <c r="R291" t="s">
        <v>45</v>
      </c>
      <c r="S291" t="s">
        <v>52</v>
      </c>
      <c r="T291">
        <v>2023</v>
      </c>
      <c r="U291" t="s">
        <v>96</v>
      </c>
    </row>
    <row r="292" spans="1:21" x14ac:dyDescent="0.35">
      <c r="A292" s="1">
        <v>44882</v>
      </c>
      <c r="B292" t="s">
        <v>80</v>
      </c>
      <c r="C292" t="s">
        <v>81</v>
      </c>
      <c r="D292" t="s">
        <v>82</v>
      </c>
      <c r="E292">
        <v>438</v>
      </c>
      <c r="F292">
        <v>2.5</v>
      </c>
      <c r="G292">
        <f t="shared" si="12"/>
        <v>1095</v>
      </c>
      <c r="H292">
        <v>1.5</v>
      </c>
      <c r="I292">
        <f t="shared" si="13"/>
        <v>657</v>
      </c>
      <c r="J292">
        <f t="shared" si="14"/>
        <v>438</v>
      </c>
      <c r="K292" t="s">
        <v>35</v>
      </c>
      <c r="L292" t="s">
        <v>25</v>
      </c>
      <c r="M292" t="s">
        <v>26</v>
      </c>
      <c r="N292" t="s">
        <v>27</v>
      </c>
      <c r="O292">
        <v>573</v>
      </c>
      <c r="P292">
        <v>438</v>
      </c>
      <c r="Q292" t="s">
        <v>74</v>
      </c>
      <c r="R292" t="s">
        <v>75</v>
      </c>
      <c r="S292" t="s">
        <v>76</v>
      </c>
      <c r="T292">
        <v>2024</v>
      </c>
      <c r="U292" t="s">
        <v>47</v>
      </c>
    </row>
    <row r="293" spans="1:21" x14ac:dyDescent="0.35">
      <c r="A293" s="1">
        <v>44883</v>
      </c>
      <c r="B293" t="s">
        <v>21</v>
      </c>
      <c r="C293" t="s">
        <v>22</v>
      </c>
      <c r="D293" t="s">
        <v>23</v>
      </c>
      <c r="E293">
        <v>403</v>
      </c>
      <c r="F293">
        <v>8</v>
      </c>
      <c r="G293">
        <f t="shared" si="12"/>
        <v>3224</v>
      </c>
      <c r="H293">
        <v>5</v>
      </c>
      <c r="I293">
        <f t="shared" si="13"/>
        <v>2015</v>
      </c>
      <c r="J293">
        <f t="shared" si="14"/>
        <v>1209</v>
      </c>
      <c r="K293" t="s">
        <v>35</v>
      </c>
      <c r="L293" t="s">
        <v>25</v>
      </c>
      <c r="M293" t="s">
        <v>37</v>
      </c>
      <c r="N293" t="s">
        <v>38</v>
      </c>
      <c r="O293">
        <v>624</v>
      </c>
      <c r="P293">
        <v>403</v>
      </c>
      <c r="Q293" t="s">
        <v>94</v>
      </c>
      <c r="R293" t="s">
        <v>75</v>
      </c>
      <c r="S293" t="s">
        <v>95</v>
      </c>
      <c r="T293">
        <v>2024</v>
      </c>
      <c r="U293" t="s">
        <v>57</v>
      </c>
    </row>
    <row r="294" spans="1:21" x14ac:dyDescent="0.35">
      <c r="A294" s="1">
        <v>44884</v>
      </c>
      <c r="B294" t="s">
        <v>32</v>
      </c>
      <c r="C294" t="s">
        <v>33</v>
      </c>
      <c r="D294" t="s">
        <v>34</v>
      </c>
      <c r="E294">
        <v>397</v>
      </c>
      <c r="F294">
        <v>20</v>
      </c>
      <c r="G294">
        <f t="shared" si="12"/>
        <v>7940</v>
      </c>
      <c r="H294">
        <v>12</v>
      </c>
      <c r="I294">
        <f t="shared" si="13"/>
        <v>4764</v>
      </c>
      <c r="J294">
        <f t="shared" si="14"/>
        <v>3176</v>
      </c>
      <c r="K294" t="s">
        <v>42</v>
      </c>
      <c r="L294" t="s">
        <v>63</v>
      </c>
      <c r="M294" t="s">
        <v>61</v>
      </c>
      <c r="N294" t="s">
        <v>38</v>
      </c>
      <c r="O294">
        <v>646</v>
      </c>
      <c r="P294">
        <v>397</v>
      </c>
      <c r="Q294" t="s">
        <v>67</v>
      </c>
      <c r="R294" t="s">
        <v>68</v>
      </c>
      <c r="S294" t="s">
        <v>69</v>
      </c>
      <c r="T294">
        <v>2021</v>
      </c>
      <c r="U294" t="s">
        <v>96</v>
      </c>
    </row>
    <row r="295" spans="1:21" x14ac:dyDescent="0.35">
      <c r="A295" s="1">
        <v>44885</v>
      </c>
      <c r="B295" t="s">
        <v>21</v>
      </c>
      <c r="C295" t="s">
        <v>22</v>
      </c>
      <c r="D295" t="s">
        <v>23</v>
      </c>
      <c r="E295">
        <v>271</v>
      </c>
      <c r="F295">
        <v>8</v>
      </c>
      <c r="G295">
        <f t="shared" si="12"/>
        <v>2168</v>
      </c>
      <c r="H295">
        <v>5</v>
      </c>
      <c r="I295">
        <f t="shared" si="13"/>
        <v>1355</v>
      </c>
      <c r="J295">
        <f t="shared" si="14"/>
        <v>813</v>
      </c>
      <c r="K295" t="s">
        <v>42</v>
      </c>
      <c r="L295" t="s">
        <v>25</v>
      </c>
      <c r="M295" t="s">
        <v>61</v>
      </c>
      <c r="N295" t="s">
        <v>43</v>
      </c>
      <c r="O295">
        <v>796</v>
      </c>
      <c r="P295">
        <v>271</v>
      </c>
      <c r="Q295" t="s">
        <v>28</v>
      </c>
      <c r="R295" t="s">
        <v>29</v>
      </c>
      <c r="S295" t="s">
        <v>30</v>
      </c>
      <c r="T295">
        <v>2022</v>
      </c>
      <c r="U295" t="s">
        <v>53</v>
      </c>
    </row>
    <row r="296" spans="1:21" x14ac:dyDescent="0.35">
      <c r="A296" s="1">
        <v>44886</v>
      </c>
      <c r="B296" t="s">
        <v>48</v>
      </c>
      <c r="C296" t="s">
        <v>49</v>
      </c>
      <c r="D296" t="s">
        <v>50</v>
      </c>
      <c r="E296">
        <v>458</v>
      </c>
      <c r="F296">
        <v>150</v>
      </c>
      <c r="G296">
        <f t="shared" si="12"/>
        <v>68700</v>
      </c>
      <c r="H296">
        <v>100</v>
      </c>
      <c r="I296">
        <f t="shared" si="13"/>
        <v>45800</v>
      </c>
      <c r="J296">
        <f t="shared" si="14"/>
        <v>22900</v>
      </c>
      <c r="K296" t="s">
        <v>24</v>
      </c>
      <c r="L296" t="s">
        <v>63</v>
      </c>
      <c r="M296" t="s">
        <v>26</v>
      </c>
      <c r="N296" t="s">
        <v>27</v>
      </c>
      <c r="O296">
        <v>544</v>
      </c>
      <c r="P296">
        <v>458</v>
      </c>
      <c r="Q296" t="s">
        <v>74</v>
      </c>
      <c r="R296" t="s">
        <v>75</v>
      </c>
      <c r="S296" t="s">
        <v>76</v>
      </c>
      <c r="T296">
        <v>2024</v>
      </c>
      <c r="U296" t="s">
        <v>86</v>
      </c>
    </row>
    <row r="297" spans="1:21" x14ac:dyDescent="0.35">
      <c r="A297" s="1">
        <v>44887</v>
      </c>
      <c r="B297" t="s">
        <v>58</v>
      </c>
      <c r="C297" t="s">
        <v>59</v>
      </c>
      <c r="D297" t="s">
        <v>60</v>
      </c>
      <c r="E297">
        <v>111</v>
      </c>
      <c r="F297">
        <v>5</v>
      </c>
      <c r="G297">
        <f t="shared" si="12"/>
        <v>555</v>
      </c>
      <c r="H297">
        <v>3</v>
      </c>
      <c r="I297">
        <f t="shared" si="13"/>
        <v>333</v>
      </c>
      <c r="J297">
        <f t="shared" si="14"/>
        <v>222</v>
      </c>
      <c r="K297" t="s">
        <v>42</v>
      </c>
      <c r="L297" t="s">
        <v>25</v>
      </c>
      <c r="M297" t="s">
        <v>61</v>
      </c>
      <c r="N297" t="s">
        <v>43</v>
      </c>
      <c r="O297">
        <v>987</v>
      </c>
      <c r="P297">
        <v>111</v>
      </c>
      <c r="Q297" t="s">
        <v>77</v>
      </c>
      <c r="R297" t="s">
        <v>78</v>
      </c>
      <c r="S297" t="s">
        <v>79</v>
      </c>
      <c r="T297">
        <v>2020</v>
      </c>
      <c r="U297" t="s">
        <v>91</v>
      </c>
    </row>
    <row r="298" spans="1:21" x14ac:dyDescent="0.35">
      <c r="A298" s="1">
        <v>44888</v>
      </c>
      <c r="B298" t="s">
        <v>58</v>
      </c>
      <c r="C298" t="s">
        <v>59</v>
      </c>
      <c r="D298" t="s">
        <v>60</v>
      </c>
      <c r="E298">
        <v>396</v>
      </c>
      <c r="F298">
        <v>5</v>
      </c>
      <c r="G298">
        <f t="shared" si="12"/>
        <v>1980</v>
      </c>
      <c r="H298">
        <v>3</v>
      </c>
      <c r="I298">
        <f t="shared" si="13"/>
        <v>1188</v>
      </c>
      <c r="J298">
        <f t="shared" si="14"/>
        <v>792</v>
      </c>
      <c r="K298" t="s">
        <v>42</v>
      </c>
      <c r="L298" t="s">
        <v>73</v>
      </c>
      <c r="M298" t="s">
        <v>61</v>
      </c>
      <c r="N298" t="s">
        <v>38</v>
      </c>
      <c r="O298">
        <v>544</v>
      </c>
      <c r="P298">
        <v>396</v>
      </c>
      <c r="Q298" t="s">
        <v>77</v>
      </c>
      <c r="R298" t="s">
        <v>78</v>
      </c>
      <c r="S298" t="s">
        <v>79</v>
      </c>
      <c r="T298">
        <v>2023</v>
      </c>
      <c r="U298" t="s">
        <v>66</v>
      </c>
    </row>
    <row r="299" spans="1:21" x14ac:dyDescent="0.35">
      <c r="A299" s="1">
        <v>44889</v>
      </c>
      <c r="B299" t="s">
        <v>21</v>
      </c>
      <c r="C299" t="s">
        <v>22</v>
      </c>
      <c r="D299" t="s">
        <v>23</v>
      </c>
      <c r="E299">
        <v>496</v>
      </c>
      <c r="F299">
        <v>8</v>
      </c>
      <c r="G299">
        <f t="shared" si="12"/>
        <v>3968</v>
      </c>
      <c r="H299">
        <v>5</v>
      </c>
      <c r="I299">
        <f t="shared" si="13"/>
        <v>2480</v>
      </c>
      <c r="J299">
        <f t="shared" si="14"/>
        <v>1488</v>
      </c>
      <c r="K299" t="s">
        <v>42</v>
      </c>
      <c r="L299" t="s">
        <v>73</v>
      </c>
      <c r="M299" t="s">
        <v>61</v>
      </c>
      <c r="N299" t="s">
        <v>43</v>
      </c>
      <c r="O299">
        <v>933</v>
      </c>
      <c r="P299">
        <v>496</v>
      </c>
      <c r="Q299" t="s">
        <v>51</v>
      </c>
      <c r="R299" t="s">
        <v>45</v>
      </c>
      <c r="S299" t="s">
        <v>52</v>
      </c>
      <c r="T299">
        <v>2023</v>
      </c>
      <c r="U299" t="s">
        <v>31</v>
      </c>
    </row>
    <row r="300" spans="1:21" x14ac:dyDescent="0.35">
      <c r="A300" s="1">
        <v>44890</v>
      </c>
      <c r="B300" t="s">
        <v>98</v>
      </c>
      <c r="C300" t="s">
        <v>99</v>
      </c>
      <c r="D300" t="s">
        <v>100</v>
      </c>
      <c r="E300">
        <v>60</v>
      </c>
      <c r="F300">
        <v>6</v>
      </c>
      <c r="G300">
        <f t="shared" si="12"/>
        <v>360</v>
      </c>
      <c r="H300">
        <v>4</v>
      </c>
      <c r="I300">
        <f t="shared" si="13"/>
        <v>240</v>
      </c>
      <c r="J300">
        <f t="shared" si="14"/>
        <v>120</v>
      </c>
      <c r="K300" t="s">
        <v>42</v>
      </c>
      <c r="L300" t="s">
        <v>36</v>
      </c>
      <c r="M300" t="s">
        <v>37</v>
      </c>
      <c r="N300" t="s">
        <v>43</v>
      </c>
      <c r="O300">
        <v>544</v>
      </c>
      <c r="P300">
        <v>60</v>
      </c>
      <c r="Q300" t="s">
        <v>103</v>
      </c>
      <c r="R300" t="s">
        <v>68</v>
      </c>
      <c r="S300" t="s">
        <v>104</v>
      </c>
      <c r="T300">
        <v>2023</v>
      </c>
      <c r="U300" t="s">
        <v>105</v>
      </c>
    </row>
    <row r="301" spans="1:21" x14ac:dyDescent="0.35">
      <c r="A301" s="1">
        <v>44891</v>
      </c>
      <c r="B301" t="s">
        <v>48</v>
      </c>
      <c r="C301" t="s">
        <v>49</v>
      </c>
      <c r="D301" t="s">
        <v>50</v>
      </c>
      <c r="E301">
        <v>136</v>
      </c>
      <c r="F301">
        <v>150</v>
      </c>
      <c r="G301">
        <f t="shared" si="12"/>
        <v>20400</v>
      </c>
      <c r="H301">
        <v>100</v>
      </c>
      <c r="I301">
        <f t="shared" si="13"/>
        <v>13600</v>
      </c>
      <c r="J301">
        <f t="shared" si="14"/>
        <v>6800</v>
      </c>
      <c r="K301" t="s">
        <v>42</v>
      </c>
      <c r="L301" t="s">
        <v>25</v>
      </c>
      <c r="M301" t="s">
        <v>61</v>
      </c>
      <c r="N301" t="s">
        <v>38</v>
      </c>
      <c r="O301">
        <v>899</v>
      </c>
      <c r="P301">
        <v>136</v>
      </c>
      <c r="Q301" t="s">
        <v>64</v>
      </c>
      <c r="R301" t="s">
        <v>29</v>
      </c>
      <c r="S301" t="s">
        <v>65</v>
      </c>
      <c r="T301">
        <v>2020</v>
      </c>
      <c r="U301" t="s">
        <v>47</v>
      </c>
    </row>
    <row r="302" spans="1:21" x14ac:dyDescent="0.35">
      <c r="A302" s="1">
        <v>44892</v>
      </c>
      <c r="B302" t="s">
        <v>58</v>
      </c>
      <c r="C302" t="s">
        <v>59</v>
      </c>
      <c r="D302" t="s">
        <v>60</v>
      </c>
      <c r="E302">
        <v>324</v>
      </c>
      <c r="F302">
        <v>5</v>
      </c>
      <c r="G302">
        <f t="shared" si="12"/>
        <v>1620</v>
      </c>
      <c r="H302">
        <v>3</v>
      </c>
      <c r="I302">
        <f t="shared" si="13"/>
        <v>972</v>
      </c>
      <c r="J302">
        <f t="shared" si="14"/>
        <v>648</v>
      </c>
      <c r="K302" t="s">
        <v>42</v>
      </c>
      <c r="L302" t="s">
        <v>73</v>
      </c>
      <c r="M302" t="s">
        <v>26</v>
      </c>
      <c r="N302" t="s">
        <v>43</v>
      </c>
      <c r="O302">
        <v>692</v>
      </c>
      <c r="P302">
        <v>324</v>
      </c>
      <c r="Q302" t="s">
        <v>83</v>
      </c>
      <c r="R302" t="s">
        <v>84</v>
      </c>
      <c r="S302" t="s">
        <v>85</v>
      </c>
      <c r="T302">
        <v>2021</v>
      </c>
      <c r="U302" t="s">
        <v>47</v>
      </c>
    </row>
    <row r="303" spans="1:21" x14ac:dyDescent="0.35">
      <c r="A303" s="1">
        <v>44893</v>
      </c>
      <c r="B303" t="s">
        <v>98</v>
      </c>
      <c r="C303" t="s">
        <v>99</v>
      </c>
      <c r="D303" t="s">
        <v>100</v>
      </c>
      <c r="E303">
        <v>41</v>
      </c>
      <c r="F303">
        <v>6</v>
      </c>
      <c r="G303">
        <f t="shared" si="12"/>
        <v>246</v>
      </c>
      <c r="H303">
        <v>4</v>
      </c>
      <c r="I303">
        <f t="shared" si="13"/>
        <v>164</v>
      </c>
      <c r="J303">
        <f t="shared" si="14"/>
        <v>82</v>
      </c>
      <c r="K303" t="s">
        <v>35</v>
      </c>
      <c r="L303" t="s">
        <v>73</v>
      </c>
      <c r="M303" t="s">
        <v>37</v>
      </c>
      <c r="N303" t="s">
        <v>27</v>
      </c>
      <c r="O303">
        <v>568</v>
      </c>
      <c r="P303">
        <v>41</v>
      </c>
      <c r="Q303" t="s">
        <v>94</v>
      </c>
      <c r="R303" t="s">
        <v>75</v>
      </c>
      <c r="S303" t="s">
        <v>95</v>
      </c>
      <c r="T303">
        <v>2024</v>
      </c>
      <c r="U303" t="s">
        <v>86</v>
      </c>
    </row>
    <row r="304" spans="1:21" x14ac:dyDescent="0.35">
      <c r="A304" s="1">
        <v>44894</v>
      </c>
      <c r="B304" t="s">
        <v>80</v>
      </c>
      <c r="C304" t="s">
        <v>81</v>
      </c>
      <c r="D304" t="s">
        <v>82</v>
      </c>
      <c r="E304">
        <v>54</v>
      </c>
      <c r="F304">
        <v>2.5</v>
      </c>
      <c r="G304">
        <f t="shared" si="12"/>
        <v>135</v>
      </c>
      <c r="H304">
        <v>1.5</v>
      </c>
      <c r="I304">
        <f t="shared" si="13"/>
        <v>81</v>
      </c>
      <c r="J304">
        <f t="shared" si="14"/>
        <v>54</v>
      </c>
      <c r="K304" t="s">
        <v>24</v>
      </c>
      <c r="L304" t="s">
        <v>63</v>
      </c>
      <c r="M304" t="s">
        <v>61</v>
      </c>
      <c r="N304" t="s">
        <v>43</v>
      </c>
      <c r="O304">
        <v>527</v>
      </c>
      <c r="P304">
        <v>54</v>
      </c>
      <c r="Q304" t="s">
        <v>70</v>
      </c>
      <c r="R304" t="s">
        <v>71</v>
      </c>
      <c r="S304" t="s">
        <v>72</v>
      </c>
      <c r="T304">
        <v>2024</v>
      </c>
      <c r="U304" t="s">
        <v>31</v>
      </c>
    </row>
    <row r="305" spans="1:21" x14ac:dyDescent="0.35">
      <c r="A305" s="1">
        <v>44895</v>
      </c>
      <c r="B305" t="s">
        <v>48</v>
      </c>
      <c r="C305" t="s">
        <v>49</v>
      </c>
      <c r="D305" t="s">
        <v>50</v>
      </c>
      <c r="E305">
        <v>396</v>
      </c>
      <c r="F305">
        <v>150</v>
      </c>
      <c r="G305">
        <f t="shared" si="12"/>
        <v>59400</v>
      </c>
      <c r="H305">
        <v>100</v>
      </c>
      <c r="I305">
        <f t="shared" si="13"/>
        <v>39600</v>
      </c>
      <c r="J305">
        <f t="shared" si="14"/>
        <v>19800</v>
      </c>
      <c r="K305" t="s">
        <v>35</v>
      </c>
      <c r="L305" t="s">
        <v>25</v>
      </c>
      <c r="M305" t="s">
        <v>61</v>
      </c>
      <c r="N305" t="s">
        <v>27</v>
      </c>
      <c r="O305">
        <v>797</v>
      </c>
      <c r="P305">
        <v>396</v>
      </c>
      <c r="Q305" t="s">
        <v>67</v>
      </c>
      <c r="R305" t="s">
        <v>68</v>
      </c>
      <c r="S305" t="s">
        <v>69</v>
      </c>
      <c r="T305">
        <v>2021</v>
      </c>
      <c r="U305" t="s">
        <v>62</v>
      </c>
    </row>
    <row r="306" spans="1:21" x14ac:dyDescent="0.35">
      <c r="A306" s="1">
        <v>44896</v>
      </c>
      <c r="B306" t="s">
        <v>58</v>
      </c>
      <c r="C306" t="s">
        <v>59</v>
      </c>
      <c r="D306" t="s">
        <v>60</v>
      </c>
      <c r="E306">
        <v>331</v>
      </c>
      <c r="F306">
        <v>5</v>
      </c>
      <c r="G306">
        <f t="shared" si="12"/>
        <v>1655</v>
      </c>
      <c r="H306">
        <v>3</v>
      </c>
      <c r="I306">
        <f t="shared" si="13"/>
        <v>993</v>
      </c>
      <c r="J306">
        <f t="shared" si="14"/>
        <v>662</v>
      </c>
      <c r="K306" t="s">
        <v>24</v>
      </c>
      <c r="L306" t="s">
        <v>73</v>
      </c>
      <c r="M306" t="s">
        <v>26</v>
      </c>
      <c r="N306" t="s">
        <v>43</v>
      </c>
      <c r="O306">
        <v>915</v>
      </c>
      <c r="P306">
        <v>331</v>
      </c>
      <c r="Q306" t="s">
        <v>101</v>
      </c>
      <c r="R306" t="s">
        <v>101</v>
      </c>
      <c r="S306" t="s">
        <v>102</v>
      </c>
      <c r="T306">
        <v>2022</v>
      </c>
      <c r="U306" t="s">
        <v>86</v>
      </c>
    </row>
    <row r="307" spans="1:21" x14ac:dyDescent="0.35">
      <c r="A307" s="1">
        <v>44897</v>
      </c>
      <c r="B307" t="s">
        <v>98</v>
      </c>
      <c r="C307" t="s">
        <v>99</v>
      </c>
      <c r="D307" t="s">
        <v>100</v>
      </c>
      <c r="E307">
        <v>63</v>
      </c>
      <c r="F307">
        <v>6</v>
      </c>
      <c r="G307">
        <f t="shared" si="12"/>
        <v>378</v>
      </c>
      <c r="H307">
        <v>4</v>
      </c>
      <c r="I307">
        <f t="shared" si="13"/>
        <v>252</v>
      </c>
      <c r="J307">
        <f t="shared" si="14"/>
        <v>126</v>
      </c>
      <c r="K307" t="s">
        <v>35</v>
      </c>
      <c r="L307" t="s">
        <v>63</v>
      </c>
      <c r="M307" t="s">
        <v>61</v>
      </c>
      <c r="N307" t="s">
        <v>38</v>
      </c>
      <c r="O307">
        <v>860</v>
      </c>
      <c r="P307">
        <v>63</v>
      </c>
      <c r="Q307" t="s">
        <v>54</v>
      </c>
      <c r="R307" t="s">
        <v>55</v>
      </c>
      <c r="S307" t="s">
        <v>56</v>
      </c>
      <c r="T307">
        <v>2020</v>
      </c>
      <c r="U307" t="s">
        <v>86</v>
      </c>
    </row>
    <row r="308" spans="1:21" x14ac:dyDescent="0.35">
      <c r="A308" s="1">
        <v>44898</v>
      </c>
      <c r="B308" t="s">
        <v>80</v>
      </c>
      <c r="C308" t="s">
        <v>81</v>
      </c>
      <c r="D308" t="s">
        <v>82</v>
      </c>
      <c r="E308">
        <v>63</v>
      </c>
      <c r="F308">
        <v>2.5</v>
      </c>
      <c r="G308">
        <f t="shared" si="12"/>
        <v>157.5</v>
      </c>
      <c r="H308">
        <v>1.5</v>
      </c>
      <c r="I308">
        <f t="shared" si="13"/>
        <v>94.5</v>
      </c>
      <c r="J308">
        <f t="shared" si="14"/>
        <v>63</v>
      </c>
      <c r="K308" t="s">
        <v>24</v>
      </c>
      <c r="L308" t="s">
        <v>63</v>
      </c>
      <c r="M308" t="s">
        <v>37</v>
      </c>
      <c r="N308" t="s">
        <v>43</v>
      </c>
      <c r="O308">
        <v>647</v>
      </c>
      <c r="P308">
        <v>63</v>
      </c>
      <c r="Q308" t="s">
        <v>103</v>
      </c>
      <c r="R308" t="s">
        <v>68</v>
      </c>
      <c r="S308" t="s">
        <v>104</v>
      </c>
      <c r="T308">
        <v>2023</v>
      </c>
      <c r="U308" t="s">
        <v>96</v>
      </c>
    </row>
    <row r="309" spans="1:21" x14ac:dyDescent="0.35">
      <c r="A309" s="1">
        <v>44899</v>
      </c>
      <c r="B309" t="s">
        <v>21</v>
      </c>
      <c r="C309" t="s">
        <v>22</v>
      </c>
      <c r="D309" t="s">
        <v>23</v>
      </c>
      <c r="E309">
        <v>429</v>
      </c>
      <c r="F309">
        <v>8</v>
      </c>
      <c r="G309">
        <f t="shared" si="12"/>
        <v>3432</v>
      </c>
      <c r="H309">
        <v>5</v>
      </c>
      <c r="I309">
        <f t="shared" si="13"/>
        <v>2145</v>
      </c>
      <c r="J309">
        <f t="shared" si="14"/>
        <v>1287</v>
      </c>
      <c r="K309" t="s">
        <v>42</v>
      </c>
      <c r="L309" t="s">
        <v>73</v>
      </c>
      <c r="M309" t="s">
        <v>61</v>
      </c>
      <c r="N309" t="s">
        <v>38</v>
      </c>
      <c r="O309">
        <v>835</v>
      </c>
      <c r="P309">
        <v>429</v>
      </c>
      <c r="Q309" t="s">
        <v>51</v>
      </c>
      <c r="R309" t="s">
        <v>45</v>
      </c>
      <c r="S309" t="s">
        <v>52</v>
      </c>
      <c r="T309">
        <v>2024</v>
      </c>
      <c r="U309" t="s">
        <v>105</v>
      </c>
    </row>
    <row r="310" spans="1:21" x14ac:dyDescent="0.35">
      <c r="A310" s="1">
        <v>44900</v>
      </c>
      <c r="B310" t="s">
        <v>80</v>
      </c>
      <c r="C310" t="s">
        <v>81</v>
      </c>
      <c r="D310" t="s">
        <v>82</v>
      </c>
      <c r="E310">
        <v>242</v>
      </c>
      <c r="F310">
        <v>2.5</v>
      </c>
      <c r="G310">
        <f t="shared" si="12"/>
        <v>605</v>
      </c>
      <c r="H310">
        <v>1.5</v>
      </c>
      <c r="I310">
        <f t="shared" si="13"/>
        <v>363</v>
      </c>
      <c r="J310">
        <f t="shared" si="14"/>
        <v>242</v>
      </c>
      <c r="K310" t="s">
        <v>35</v>
      </c>
      <c r="L310" t="s">
        <v>25</v>
      </c>
      <c r="M310" t="s">
        <v>61</v>
      </c>
      <c r="N310" t="s">
        <v>43</v>
      </c>
      <c r="O310">
        <v>817</v>
      </c>
      <c r="P310">
        <v>242</v>
      </c>
      <c r="Q310" t="s">
        <v>44</v>
      </c>
      <c r="R310" t="s">
        <v>45</v>
      </c>
      <c r="S310" t="s">
        <v>46</v>
      </c>
      <c r="T310">
        <v>2024</v>
      </c>
      <c r="U310" t="s">
        <v>53</v>
      </c>
    </row>
    <row r="311" spans="1:21" x14ac:dyDescent="0.35">
      <c r="A311" s="1">
        <v>44901</v>
      </c>
      <c r="B311" t="s">
        <v>48</v>
      </c>
      <c r="C311" t="s">
        <v>49</v>
      </c>
      <c r="D311" t="s">
        <v>50</v>
      </c>
      <c r="E311">
        <v>177</v>
      </c>
      <c r="F311">
        <v>150</v>
      </c>
      <c r="G311">
        <f t="shared" si="12"/>
        <v>26550</v>
      </c>
      <c r="H311">
        <v>100</v>
      </c>
      <c r="I311">
        <f t="shared" si="13"/>
        <v>17700</v>
      </c>
      <c r="J311">
        <f t="shared" si="14"/>
        <v>8850</v>
      </c>
      <c r="K311" t="s">
        <v>42</v>
      </c>
      <c r="L311" t="s">
        <v>36</v>
      </c>
      <c r="M311" t="s">
        <v>37</v>
      </c>
      <c r="N311" t="s">
        <v>43</v>
      </c>
      <c r="O311">
        <v>735</v>
      </c>
      <c r="P311">
        <v>177</v>
      </c>
      <c r="Q311" t="s">
        <v>44</v>
      </c>
      <c r="R311" t="s">
        <v>45</v>
      </c>
      <c r="S311" t="s">
        <v>46</v>
      </c>
      <c r="T311">
        <v>2022</v>
      </c>
      <c r="U311" t="s">
        <v>62</v>
      </c>
    </row>
    <row r="312" spans="1:21" x14ac:dyDescent="0.35">
      <c r="A312" s="1">
        <v>44902</v>
      </c>
      <c r="B312" t="s">
        <v>21</v>
      </c>
      <c r="C312" t="s">
        <v>22</v>
      </c>
      <c r="D312" t="s">
        <v>23</v>
      </c>
      <c r="E312">
        <v>87</v>
      </c>
      <c r="F312">
        <v>8</v>
      </c>
      <c r="G312">
        <f t="shared" si="12"/>
        <v>696</v>
      </c>
      <c r="H312">
        <v>5</v>
      </c>
      <c r="I312">
        <f t="shared" si="13"/>
        <v>435</v>
      </c>
      <c r="J312">
        <f t="shared" si="14"/>
        <v>261</v>
      </c>
      <c r="K312" t="s">
        <v>24</v>
      </c>
      <c r="L312" t="s">
        <v>25</v>
      </c>
      <c r="M312" t="s">
        <v>61</v>
      </c>
      <c r="N312" t="s">
        <v>43</v>
      </c>
      <c r="O312">
        <v>679</v>
      </c>
      <c r="P312">
        <v>87</v>
      </c>
      <c r="Q312" t="s">
        <v>106</v>
      </c>
      <c r="R312" t="s">
        <v>107</v>
      </c>
      <c r="S312" t="s">
        <v>108</v>
      </c>
      <c r="T312">
        <v>2023</v>
      </c>
      <c r="U312" t="s">
        <v>91</v>
      </c>
    </row>
    <row r="313" spans="1:21" x14ac:dyDescent="0.35">
      <c r="A313" s="1">
        <v>44903</v>
      </c>
      <c r="B313" t="s">
        <v>21</v>
      </c>
      <c r="C313" t="s">
        <v>22</v>
      </c>
      <c r="D313" t="s">
        <v>23</v>
      </c>
      <c r="E313">
        <v>439</v>
      </c>
      <c r="F313">
        <v>8</v>
      </c>
      <c r="G313">
        <f t="shared" si="12"/>
        <v>3512</v>
      </c>
      <c r="H313">
        <v>5</v>
      </c>
      <c r="I313">
        <f t="shared" si="13"/>
        <v>2195</v>
      </c>
      <c r="J313">
        <f t="shared" si="14"/>
        <v>1317</v>
      </c>
      <c r="K313" t="s">
        <v>42</v>
      </c>
      <c r="L313" t="s">
        <v>73</v>
      </c>
      <c r="M313" t="s">
        <v>37</v>
      </c>
      <c r="N313" t="s">
        <v>27</v>
      </c>
      <c r="O313">
        <v>973</v>
      </c>
      <c r="P313">
        <v>439</v>
      </c>
      <c r="Q313" t="s">
        <v>77</v>
      </c>
      <c r="R313" t="s">
        <v>78</v>
      </c>
      <c r="S313" t="s">
        <v>79</v>
      </c>
      <c r="T313">
        <v>2024</v>
      </c>
      <c r="U313" t="s">
        <v>66</v>
      </c>
    </row>
    <row r="314" spans="1:21" x14ac:dyDescent="0.35">
      <c r="A314" s="1">
        <v>44904</v>
      </c>
      <c r="B314" t="s">
        <v>58</v>
      </c>
      <c r="C314" t="s">
        <v>59</v>
      </c>
      <c r="D314" t="s">
        <v>60</v>
      </c>
      <c r="E314">
        <v>417</v>
      </c>
      <c r="F314">
        <v>5</v>
      </c>
      <c r="G314">
        <f t="shared" si="12"/>
        <v>2085</v>
      </c>
      <c r="H314">
        <v>3</v>
      </c>
      <c r="I314">
        <f t="shared" si="13"/>
        <v>1251</v>
      </c>
      <c r="J314">
        <f t="shared" si="14"/>
        <v>834</v>
      </c>
      <c r="K314" t="s">
        <v>42</v>
      </c>
      <c r="L314" t="s">
        <v>25</v>
      </c>
      <c r="M314" t="s">
        <v>26</v>
      </c>
      <c r="N314" t="s">
        <v>38</v>
      </c>
      <c r="O314">
        <v>673</v>
      </c>
      <c r="P314">
        <v>417</v>
      </c>
      <c r="Q314" t="s">
        <v>103</v>
      </c>
      <c r="R314" t="s">
        <v>68</v>
      </c>
      <c r="S314" t="s">
        <v>104</v>
      </c>
      <c r="T314">
        <v>2020</v>
      </c>
      <c r="U314" t="s">
        <v>47</v>
      </c>
    </row>
    <row r="315" spans="1:21" x14ac:dyDescent="0.35">
      <c r="A315" s="1">
        <v>44905</v>
      </c>
      <c r="B315" t="s">
        <v>32</v>
      </c>
      <c r="C315" t="s">
        <v>33</v>
      </c>
      <c r="D315" t="s">
        <v>34</v>
      </c>
      <c r="E315">
        <v>409</v>
      </c>
      <c r="F315">
        <v>20</v>
      </c>
      <c r="G315">
        <f t="shared" si="12"/>
        <v>8180</v>
      </c>
      <c r="H315">
        <v>12</v>
      </c>
      <c r="I315">
        <f t="shared" si="13"/>
        <v>4908</v>
      </c>
      <c r="J315">
        <f t="shared" si="14"/>
        <v>3272</v>
      </c>
      <c r="K315" t="s">
        <v>24</v>
      </c>
      <c r="L315" t="s">
        <v>73</v>
      </c>
      <c r="M315" t="s">
        <v>37</v>
      </c>
      <c r="N315" t="s">
        <v>38</v>
      </c>
      <c r="O315">
        <v>597</v>
      </c>
      <c r="P315">
        <v>409</v>
      </c>
      <c r="Q315" t="s">
        <v>39</v>
      </c>
      <c r="R315" t="s">
        <v>40</v>
      </c>
      <c r="S315" t="s">
        <v>41</v>
      </c>
      <c r="T315">
        <v>2023</v>
      </c>
      <c r="U315" t="s">
        <v>91</v>
      </c>
    </row>
    <row r="316" spans="1:21" x14ac:dyDescent="0.35">
      <c r="A316" s="1">
        <v>44906</v>
      </c>
      <c r="B316" t="s">
        <v>58</v>
      </c>
      <c r="C316" t="s">
        <v>59</v>
      </c>
      <c r="D316" t="s">
        <v>60</v>
      </c>
      <c r="E316">
        <v>395</v>
      </c>
      <c r="F316">
        <v>5</v>
      </c>
      <c r="G316">
        <f t="shared" si="12"/>
        <v>1975</v>
      </c>
      <c r="H316">
        <v>3</v>
      </c>
      <c r="I316">
        <f t="shared" si="13"/>
        <v>1185</v>
      </c>
      <c r="J316">
        <f t="shared" si="14"/>
        <v>790</v>
      </c>
      <c r="K316" t="s">
        <v>35</v>
      </c>
      <c r="L316" t="s">
        <v>63</v>
      </c>
      <c r="M316" t="s">
        <v>37</v>
      </c>
      <c r="N316" t="s">
        <v>38</v>
      </c>
      <c r="O316">
        <v>506</v>
      </c>
      <c r="P316">
        <v>395</v>
      </c>
      <c r="Q316" t="s">
        <v>87</v>
      </c>
      <c r="R316" t="s">
        <v>88</v>
      </c>
      <c r="S316" t="s">
        <v>89</v>
      </c>
      <c r="T316">
        <v>2023</v>
      </c>
      <c r="U316" t="s">
        <v>105</v>
      </c>
    </row>
    <row r="317" spans="1:21" x14ac:dyDescent="0.35">
      <c r="A317" s="1">
        <v>44907</v>
      </c>
      <c r="B317" t="s">
        <v>21</v>
      </c>
      <c r="C317" t="s">
        <v>22</v>
      </c>
      <c r="D317" t="s">
        <v>23</v>
      </c>
      <c r="E317">
        <v>25</v>
      </c>
      <c r="F317">
        <v>8</v>
      </c>
      <c r="G317">
        <f t="shared" si="12"/>
        <v>200</v>
      </c>
      <c r="H317">
        <v>5</v>
      </c>
      <c r="I317">
        <f t="shared" si="13"/>
        <v>125</v>
      </c>
      <c r="J317">
        <f t="shared" si="14"/>
        <v>75</v>
      </c>
      <c r="K317" t="s">
        <v>35</v>
      </c>
      <c r="L317" t="s">
        <v>36</v>
      </c>
      <c r="M317" t="s">
        <v>37</v>
      </c>
      <c r="N317" t="s">
        <v>27</v>
      </c>
      <c r="O317">
        <v>819</v>
      </c>
      <c r="P317">
        <v>25</v>
      </c>
      <c r="Q317" t="s">
        <v>92</v>
      </c>
      <c r="R317" t="s">
        <v>45</v>
      </c>
      <c r="S317" t="s">
        <v>93</v>
      </c>
      <c r="T317">
        <v>2021</v>
      </c>
      <c r="U317" t="s">
        <v>53</v>
      </c>
    </row>
    <row r="318" spans="1:21" x14ac:dyDescent="0.35">
      <c r="A318" s="1">
        <v>44908</v>
      </c>
      <c r="B318" t="s">
        <v>48</v>
      </c>
      <c r="C318" t="s">
        <v>49</v>
      </c>
      <c r="D318" t="s">
        <v>50</v>
      </c>
      <c r="E318">
        <v>418</v>
      </c>
      <c r="F318">
        <v>150</v>
      </c>
      <c r="G318">
        <f t="shared" si="12"/>
        <v>62700</v>
      </c>
      <c r="H318">
        <v>100</v>
      </c>
      <c r="I318">
        <f t="shared" si="13"/>
        <v>41800</v>
      </c>
      <c r="J318">
        <f t="shared" si="14"/>
        <v>20900</v>
      </c>
      <c r="K318" t="s">
        <v>42</v>
      </c>
      <c r="L318" t="s">
        <v>63</v>
      </c>
      <c r="M318" t="s">
        <v>61</v>
      </c>
      <c r="N318" t="s">
        <v>38</v>
      </c>
      <c r="O318">
        <v>690</v>
      </c>
      <c r="P318">
        <v>418</v>
      </c>
      <c r="Q318" t="s">
        <v>28</v>
      </c>
      <c r="R318" t="s">
        <v>29</v>
      </c>
      <c r="S318" t="s">
        <v>30</v>
      </c>
      <c r="T318">
        <v>2020</v>
      </c>
      <c r="U318" t="s">
        <v>53</v>
      </c>
    </row>
    <row r="319" spans="1:21" x14ac:dyDescent="0.35">
      <c r="A319" s="1">
        <v>44909</v>
      </c>
      <c r="B319" t="s">
        <v>58</v>
      </c>
      <c r="C319" t="s">
        <v>59</v>
      </c>
      <c r="D319" t="s">
        <v>60</v>
      </c>
      <c r="E319">
        <v>341</v>
      </c>
      <c r="F319">
        <v>5</v>
      </c>
      <c r="G319">
        <f t="shared" si="12"/>
        <v>1705</v>
      </c>
      <c r="H319">
        <v>3</v>
      </c>
      <c r="I319">
        <f t="shared" si="13"/>
        <v>1023</v>
      </c>
      <c r="J319">
        <f t="shared" si="14"/>
        <v>682</v>
      </c>
      <c r="K319" t="s">
        <v>35</v>
      </c>
      <c r="L319" t="s">
        <v>36</v>
      </c>
      <c r="M319" t="s">
        <v>61</v>
      </c>
      <c r="N319" t="s">
        <v>27</v>
      </c>
      <c r="O319">
        <v>993</v>
      </c>
      <c r="P319">
        <v>341</v>
      </c>
      <c r="Q319" t="s">
        <v>44</v>
      </c>
      <c r="R319" t="s">
        <v>45</v>
      </c>
      <c r="S319" t="s">
        <v>46</v>
      </c>
      <c r="T319">
        <v>2021</v>
      </c>
      <c r="U319" t="s">
        <v>96</v>
      </c>
    </row>
    <row r="320" spans="1:21" x14ac:dyDescent="0.35">
      <c r="A320" s="1">
        <v>44910</v>
      </c>
      <c r="B320" t="s">
        <v>32</v>
      </c>
      <c r="C320" t="s">
        <v>33</v>
      </c>
      <c r="D320" t="s">
        <v>34</v>
      </c>
      <c r="E320">
        <v>76</v>
      </c>
      <c r="F320">
        <v>20</v>
      </c>
      <c r="G320">
        <f t="shared" si="12"/>
        <v>1520</v>
      </c>
      <c r="H320">
        <v>12</v>
      </c>
      <c r="I320">
        <f t="shared" si="13"/>
        <v>912</v>
      </c>
      <c r="J320">
        <f t="shared" si="14"/>
        <v>608</v>
      </c>
      <c r="K320" t="s">
        <v>42</v>
      </c>
      <c r="L320" t="s">
        <v>63</v>
      </c>
      <c r="M320" t="s">
        <v>61</v>
      </c>
      <c r="N320" t="s">
        <v>27</v>
      </c>
      <c r="O320">
        <v>640</v>
      </c>
      <c r="P320">
        <v>76</v>
      </c>
      <c r="Q320" t="s">
        <v>83</v>
      </c>
      <c r="R320" t="s">
        <v>84</v>
      </c>
      <c r="S320" t="s">
        <v>85</v>
      </c>
      <c r="T320">
        <v>2024</v>
      </c>
      <c r="U320" t="s">
        <v>91</v>
      </c>
    </row>
    <row r="321" spans="1:21" x14ac:dyDescent="0.35">
      <c r="A321" s="1">
        <v>44911</v>
      </c>
      <c r="B321" t="s">
        <v>32</v>
      </c>
      <c r="C321" t="s">
        <v>33</v>
      </c>
      <c r="D321" t="s">
        <v>34</v>
      </c>
      <c r="E321">
        <v>124</v>
      </c>
      <c r="F321">
        <v>20</v>
      </c>
      <c r="G321">
        <f t="shared" si="12"/>
        <v>2480</v>
      </c>
      <c r="H321">
        <v>12</v>
      </c>
      <c r="I321">
        <f t="shared" si="13"/>
        <v>1488</v>
      </c>
      <c r="J321">
        <f t="shared" si="14"/>
        <v>992</v>
      </c>
      <c r="K321" t="s">
        <v>35</v>
      </c>
      <c r="L321" t="s">
        <v>36</v>
      </c>
      <c r="M321" t="s">
        <v>37</v>
      </c>
      <c r="N321" t="s">
        <v>27</v>
      </c>
      <c r="O321">
        <v>822</v>
      </c>
      <c r="P321">
        <v>124</v>
      </c>
      <c r="Q321" t="s">
        <v>70</v>
      </c>
      <c r="R321" t="s">
        <v>71</v>
      </c>
      <c r="S321" t="s">
        <v>72</v>
      </c>
      <c r="T321">
        <v>2021</v>
      </c>
      <c r="U321" t="s">
        <v>91</v>
      </c>
    </row>
    <row r="322" spans="1:21" x14ac:dyDescent="0.35">
      <c r="A322" s="1">
        <v>44912</v>
      </c>
      <c r="B322" t="s">
        <v>48</v>
      </c>
      <c r="C322" t="s">
        <v>49</v>
      </c>
      <c r="D322" t="s">
        <v>50</v>
      </c>
      <c r="E322">
        <v>53</v>
      </c>
      <c r="F322">
        <v>150</v>
      </c>
      <c r="G322">
        <f t="shared" si="12"/>
        <v>7950</v>
      </c>
      <c r="H322">
        <v>100</v>
      </c>
      <c r="I322">
        <f t="shared" si="13"/>
        <v>5300</v>
      </c>
      <c r="J322">
        <f t="shared" si="14"/>
        <v>2650</v>
      </c>
      <c r="K322" t="s">
        <v>42</v>
      </c>
      <c r="L322" t="s">
        <v>73</v>
      </c>
      <c r="M322" t="s">
        <v>37</v>
      </c>
      <c r="N322" t="s">
        <v>38</v>
      </c>
      <c r="O322">
        <v>845</v>
      </c>
      <c r="P322">
        <v>53</v>
      </c>
      <c r="Q322" t="s">
        <v>70</v>
      </c>
      <c r="R322" t="s">
        <v>71</v>
      </c>
      <c r="S322" t="s">
        <v>72</v>
      </c>
      <c r="T322">
        <v>2020</v>
      </c>
      <c r="U322" t="s">
        <v>66</v>
      </c>
    </row>
    <row r="323" spans="1:21" x14ac:dyDescent="0.35">
      <c r="A323" s="1">
        <v>44913</v>
      </c>
      <c r="B323" t="s">
        <v>58</v>
      </c>
      <c r="C323" t="s">
        <v>59</v>
      </c>
      <c r="D323" t="s">
        <v>60</v>
      </c>
      <c r="E323">
        <v>412</v>
      </c>
      <c r="F323">
        <v>5</v>
      </c>
      <c r="G323">
        <f t="shared" ref="G323:G386" si="15">E323*F323</f>
        <v>2060</v>
      </c>
      <c r="H323">
        <v>3</v>
      </c>
      <c r="I323">
        <f t="shared" ref="I323:I386" si="16">E323*H323</f>
        <v>1236</v>
      </c>
      <c r="J323">
        <f t="shared" ref="J323:J386" si="17">G323-I323</f>
        <v>824</v>
      </c>
      <c r="K323" t="s">
        <v>35</v>
      </c>
      <c r="L323" t="s">
        <v>36</v>
      </c>
      <c r="M323" t="s">
        <v>61</v>
      </c>
      <c r="N323" t="s">
        <v>43</v>
      </c>
      <c r="O323">
        <v>671</v>
      </c>
      <c r="P323">
        <v>412</v>
      </c>
      <c r="Q323" t="s">
        <v>74</v>
      </c>
      <c r="R323" t="s">
        <v>75</v>
      </c>
      <c r="S323" t="s">
        <v>76</v>
      </c>
      <c r="T323">
        <v>2023</v>
      </c>
      <c r="U323" t="s">
        <v>91</v>
      </c>
    </row>
    <row r="324" spans="1:21" x14ac:dyDescent="0.35">
      <c r="A324" s="1">
        <v>44914</v>
      </c>
      <c r="B324" t="s">
        <v>80</v>
      </c>
      <c r="C324" t="s">
        <v>81</v>
      </c>
      <c r="D324" t="s">
        <v>82</v>
      </c>
      <c r="E324">
        <v>404</v>
      </c>
      <c r="F324">
        <v>2.5</v>
      </c>
      <c r="G324">
        <f t="shared" si="15"/>
        <v>1010</v>
      </c>
      <c r="H324">
        <v>1.5</v>
      </c>
      <c r="I324">
        <f t="shared" si="16"/>
        <v>606</v>
      </c>
      <c r="J324">
        <f t="shared" si="17"/>
        <v>404</v>
      </c>
      <c r="K324" t="s">
        <v>24</v>
      </c>
      <c r="L324" t="s">
        <v>73</v>
      </c>
      <c r="M324" t="s">
        <v>26</v>
      </c>
      <c r="N324" t="s">
        <v>43</v>
      </c>
      <c r="O324">
        <v>710</v>
      </c>
      <c r="P324">
        <v>404</v>
      </c>
      <c r="Q324" t="s">
        <v>39</v>
      </c>
      <c r="R324" t="s">
        <v>40</v>
      </c>
      <c r="S324" t="s">
        <v>41</v>
      </c>
      <c r="T324">
        <v>2024</v>
      </c>
      <c r="U324" t="s">
        <v>105</v>
      </c>
    </row>
    <row r="325" spans="1:21" x14ac:dyDescent="0.35">
      <c r="A325" s="1">
        <v>44915</v>
      </c>
      <c r="B325" t="s">
        <v>98</v>
      </c>
      <c r="C325" t="s">
        <v>99</v>
      </c>
      <c r="D325" t="s">
        <v>100</v>
      </c>
      <c r="E325">
        <v>69</v>
      </c>
      <c r="F325">
        <v>6</v>
      </c>
      <c r="G325">
        <f t="shared" si="15"/>
        <v>414</v>
      </c>
      <c r="H325">
        <v>4</v>
      </c>
      <c r="I325">
        <f t="shared" si="16"/>
        <v>276</v>
      </c>
      <c r="J325">
        <f t="shared" si="17"/>
        <v>138</v>
      </c>
      <c r="K325" t="s">
        <v>35</v>
      </c>
      <c r="L325" t="s">
        <v>73</v>
      </c>
      <c r="M325" t="s">
        <v>61</v>
      </c>
      <c r="N325" t="s">
        <v>38</v>
      </c>
      <c r="O325">
        <v>885</v>
      </c>
      <c r="P325">
        <v>69</v>
      </c>
      <c r="Q325" t="s">
        <v>74</v>
      </c>
      <c r="R325" t="s">
        <v>75</v>
      </c>
      <c r="S325" t="s">
        <v>76</v>
      </c>
      <c r="T325">
        <v>2024</v>
      </c>
      <c r="U325" t="s">
        <v>31</v>
      </c>
    </row>
    <row r="326" spans="1:21" x14ac:dyDescent="0.35">
      <c r="A326" s="1">
        <v>44916</v>
      </c>
      <c r="B326" t="s">
        <v>98</v>
      </c>
      <c r="C326" t="s">
        <v>99</v>
      </c>
      <c r="D326" t="s">
        <v>100</v>
      </c>
      <c r="E326">
        <v>458</v>
      </c>
      <c r="F326">
        <v>6</v>
      </c>
      <c r="G326">
        <f t="shared" si="15"/>
        <v>2748</v>
      </c>
      <c r="H326">
        <v>4</v>
      </c>
      <c r="I326">
        <f t="shared" si="16"/>
        <v>1832</v>
      </c>
      <c r="J326">
        <f t="shared" si="17"/>
        <v>916</v>
      </c>
      <c r="K326" t="s">
        <v>24</v>
      </c>
      <c r="L326" t="s">
        <v>36</v>
      </c>
      <c r="M326" t="s">
        <v>37</v>
      </c>
      <c r="N326" t="s">
        <v>27</v>
      </c>
      <c r="O326">
        <v>833</v>
      </c>
      <c r="P326">
        <v>458</v>
      </c>
      <c r="Q326" t="s">
        <v>77</v>
      </c>
      <c r="R326" t="s">
        <v>78</v>
      </c>
      <c r="S326" t="s">
        <v>79</v>
      </c>
      <c r="T326">
        <v>2022</v>
      </c>
      <c r="U326" t="s">
        <v>109</v>
      </c>
    </row>
    <row r="327" spans="1:21" x14ac:dyDescent="0.35">
      <c r="A327" s="1">
        <v>44917</v>
      </c>
      <c r="B327" t="s">
        <v>48</v>
      </c>
      <c r="C327" t="s">
        <v>49</v>
      </c>
      <c r="D327" t="s">
        <v>50</v>
      </c>
      <c r="E327">
        <v>57</v>
      </c>
      <c r="F327">
        <v>150</v>
      </c>
      <c r="G327">
        <f t="shared" si="15"/>
        <v>8550</v>
      </c>
      <c r="H327">
        <v>100</v>
      </c>
      <c r="I327">
        <f t="shared" si="16"/>
        <v>5700</v>
      </c>
      <c r="J327">
        <f t="shared" si="17"/>
        <v>2850</v>
      </c>
      <c r="K327" t="s">
        <v>24</v>
      </c>
      <c r="L327" t="s">
        <v>25</v>
      </c>
      <c r="M327" t="s">
        <v>61</v>
      </c>
      <c r="N327" t="s">
        <v>43</v>
      </c>
      <c r="O327">
        <v>708</v>
      </c>
      <c r="P327">
        <v>57</v>
      </c>
      <c r="Q327" t="s">
        <v>64</v>
      </c>
      <c r="R327" t="s">
        <v>29</v>
      </c>
      <c r="S327" t="s">
        <v>65</v>
      </c>
      <c r="T327">
        <v>2020</v>
      </c>
      <c r="U327" t="s">
        <v>53</v>
      </c>
    </row>
    <row r="328" spans="1:21" x14ac:dyDescent="0.35">
      <c r="A328" s="1">
        <v>44918</v>
      </c>
      <c r="B328" t="s">
        <v>58</v>
      </c>
      <c r="C328" t="s">
        <v>59</v>
      </c>
      <c r="D328" t="s">
        <v>60</v>
      </c>
      <c r="E328">
        <v>274</v>
      </c>
      <c r="F328">
        <v>5</v>
      </c>
      <c r="G328">
        <f t="shared" si="15"/>
        <v>1370</v>
      </c>
      <c r="H328">
        <v>3</v>
      </c>
      <c r="I328">
        <f t="shared" si="16"/>
        <v>822</v>
      </c>
      <c r="J328">
        <f t="shared" si="17"/>
        <v>548</v>
      </c>
      <c r="K328" t="s">
        <v>24</v>
      </c>
      <c r="L328" t="s">
        <v>63</v>
      </c>
      <c r="M328" t="s">
        <v>37</v>
      </c>
      <c r="N328" t="s">
        <v>43</v>
      </c>
      <c r="O328">
        <v>680</v>
      </c>
      <c r="P328">
        <v>274</v>
      </c>
      <c r="Q328" t="s">
        <v>87</v>
      </c>
      <c r="R328" t="s">
        <v>88</v>
      </c>
      <c r="S328" t="s">
        <v>89</v>
      </c>
      <c r="T328">
        <v>2020</v>
      </c>
      <c r="U328" t="s">
        <v>53</v>
      </c>
    </row>
    <row r="329" spans="1:21" x14ac:dyDescent="0.35">
      <c r="A329" s="1">
        <v>44919</v>
      </c>
      <c r="B329" t="s">
        <v>58</v>
      </c>
      <c r="C329" t="s">
        <v>59</v>
      </c>
      <c r="D329" t="s">
        <v>60</v>
      </c>
      <c r="E329">
        <v>136</v>
      </c>
      <c r="F329">
        <v>5</v>
      </c>
      <c r="G329">
        <f t="shared" si="15"/>
        <v>680</v>
      </c>
      <c r="H329">
        <v>3</v>
      </c>
      <c r="I329">
        <f t="shared" si="16"/>
        <v>408</v>
      </c>
      <c r="J329">
        <f t="shared" si="17"/>
        <v>272</v>
      </c>
      <c r="K329" t="s">
        <v>35</v>
      </c>
      <c r="L329" t="s">
        <v>36</v>
      </c>
      <c r="M329" t="s">
        <v>26</v>
      </c>
      <c r="N329" t="s">
        <v>43</v>
      </c>
      <c r="O329">
        <v>963</v>
      </c>
      <c r="P329">
        <v>136</v>
      </c>
      <c r="Q329" t="s">
        <v>67</v>
      </c>
      <c r="R329" t="s">
        <v>68</v>
      </c>
      <c r="S329" t="s">
        <v>69</v>
      </c>
      <c r="T329">
        <v>2021</v>
      </c>
      <c r="U329" t="s">
        <v>31</v>
      </c>
    </row>
    <row r="330" spans="1:21" x14ac:dyDescent="0.35">
      <c r="A330" s="1">
        <v>44920</v>
      </c>
      <c r="B330" t="s">
        <v>58</v>
      </c>
      <c r="C330" t="s">
        <v>59</v>
      </c>
      <c r="D330" t="s">
        <v>60</v>
      </c>
      <c r="E330">
        <v>221</v>
      </c>
      <c r="F330">
        <v>5</v>
      </c>
      <c r="G330">
        <f t="shared" si="15"/>
        <v>1105</v>
      </c>
      <c r="H330">
        <v>3</v>
      </c>
      <c r="I330">
        <f t="shared" si="16"/>
        <v>663</v>
      </c>
      <c r="J330">
        <f t="shared" si="17"/>
        <v>442</v>
      </c>
      <c r="K330" t="s">
        <v>42</v>
      </c>
      <c r="L330" t="s">
        <v>73</v>
      </c>
      <c r="M330" t="s">
        <v>26</v>
      </c>
      <c r="N330" t="s">
        <v>27</v>
      </c>
      <c r="O330">
        <v>680</v>
      </c>
      <c r="P330">
        <v>221</v>
      </c>
      <c r="Q330" t="s">
        <v>94</v>
      </c>
      <c r="R330" t="s">
        <v>75</v>
      </c>
      <c r="S330" t="s">
        <v>95</v>
      </c>
      <c r="T330">
        <v>2024</v>
      </c>
      <c r="U330" t="s">
        <v>62</v>
      </c>
    </row>
    <row r="331" spans="1:21" x14ac:dyDescent="0.35">
      <c r="A331" s="1">
        <v>44921</v>
      </c>
      <c r="B331" t="s">
        <v>98</v>
      </c>
      <c r="C331" t="s">
        <v>99</v>
      </c>
      <c r="D331" t="s">
        <v>100</v>
      </c>
      <c r="E331">
        <v>253</v>
      </c>
      <c r="F331">
        <v>6</v>
      </c>
      <c r="G331">
        <f t="shared" si="15"/>
        <v>1518</v>
      </c>
      <c r="H331">
        <v>4</v>
      </c>
      <c r="I331">
        <f t="shared" si="16"/>
        <v>1012</v>
      </c>
      <c r="J331">
        <f t="shared" si="17"/>
        <v>506</v>
      </c>
      <c r="K331" t="s">
        <v>24</v>
      </c>
      <c r="L331" t="s">
        <v>63</v>
      </c>
      <c r="M331" t="s">
        <v>26</v>
      </c>
      <c r="N331" t="s">
        <v>27</v>
      </c>
      <c r="O331">
        <v>510</v>
      </c>
      <c r="P331">
        <v>253</v>
      </c>
      <c r="Q331" t="s">
        <v>64</v>
      </c>
      <c r="R331" t="s">
        <v>29</v>
      </c>
      <c r="S331" t="s">
        <v>65</v>
      </c>
      <c r="T331">
        <v>2024</v>
      </c>
      <c r="U331" t="s">
        <v>53</v>
      </c>
    </row>
    <row r="332" spans="1:21" x14ac:dyDescent="0.35">
      <c r="A332" s="1">
        <v>44922</v>
      </c>
      <c r="B332" t="s">
        <v>80</v>
      </c>
      <c r="C332" t="s">
        <v>81</v>
      </c>
      <c r="D332" t="s">
        <v>82</v>
      </c>
      <c r="E332">
        <v>262</v>
      </c>
      <c r="F332">
        <v>2.5</v>
      </c>
      <c r="G332">
        <f t="shared" si="15"/>
        <v>655</v>
      </c>
      <c r="H332">
        <v>1.5</v>
      </c>
      <c r="I332">
        <f t="shared" si="16"/>
        <v>393</v>
      </c>
      <c r="J332">
        <f t="shared" si="17"/>
        <v>262</v>
      </c>
      <c r="K332" t="s">
        <v>24</v>
      </c>
      <c r="L332" t="s">
        <v>25</v>
      </c>
      <c r="M332" t="s">
        <v>61</v>
      </c>
      <c r="N332" t="s">
        <v>38</v>
      </c>
      <c r="O332">
        <v>671</v>
      </c>
      <c r="P332">
        <v>262</v>
      </c>
      <c r="Q332" t="s">
        <v>39</v>
      </c>
      <c r="R332" t="s">
        <v>40</v>
      </c>
      <c r="S332" t="s">
        <v>41</v>
      </c>
      <c r="T332">
        <v>2023</v>
      </c>
      <c r="U332" t="s">
        <v>47</v>
      </c>
    </row>
    <row r="333" spans="1:21" x14ac:dyDescent="0.35">
      <c r="A333" s="1">
        <v>44923</v>
      </c>
      <c r="B333" t="s">
        <v>80</v>
      </c>
      <c r="C333" t="s">
        <v>81</v>
      </c>
      <c r="D333" t="s">
        <v>82</v>
      </c>
      <c r="E333">
        <v>97</v>
      </c>
      <c r="F333">
        <v>2.5</v>
      </c>
      <c r="G333">
        <f t="shared" si="15"/>
        <v>242.5</v>
      </c>
      <c r="H333">
        <v>1.5</v>
      </c>
      <c r="I333">
        <f t="shared" si="16"/>
        <v>145.5</v>
      </c>
      <c r="J333">
        <f t="shared" si="17"/>
        <v>97</v>
      </c>
      <c r="K333" t="s">
        <v>35</v>
      </c>
      <c r="L333" t="s">
        <v>36</v>
      </c>
      <c r="M333" t="s">
        <v>61</v>
      </c>
      <c r="N333" t="s">
        <v>38</v>
      </c>
      <c r="O333">
        <v>775</v>
      </c>
      <c r="P333">
        <v>97</v>
      </c>
      <c r="Q333" t="s">
        <v>113</v>
      </c>
      <c r="R333" t="s">
        <v>114</v>
      </c>
      <c r="S333" t="s">
        <v>115</v>
      </c>
      <c r="T333">
        <v>2021</v>
      </c>
      <c r="U333" t="s">
        <v>62</v>
      </c>
    </row>
    <row r="334" spans="1:21" x14ac:dyDescent="0.35">
      <c r="A334" s="1">
        <v>44924</v>
      </c>
      <c r="B334" t="s">
        <v>21</v>
      </c>
      <c r="C334" t="s">
        <v>22</v>
      </c>
      <c r="D334" t="s">
        <v>23</v>
      </c>
      <c r="E334">
        <v>60</v>
      </c>
      <c r="F334">
        <v>8</v>
      </c>
      <c r="G334">
        <f t="shared" si="15"/>
        <v>480</v>
      </c>
      <c r="H334">
        <v>5</v>
      </c>
      <c r="I334">
        <f t="shared" si="16"/>
        <v>300</v>
      </c>
      <c r="J334">
        <f t="shared" si="17"/>
        <v>180</v>
      </c>
      <c r="K334" t="s">
        <v>42</v>
      </c>
      <c r="L334" t="s">
        <v>73</v>
      </c>
      <c r="M334" t="s">
        <v>61</v>
      </c>
      <c r="N334" t="s">
        <v>38</v>
      </c>
      <c r="O334">
        <v>937</v>
      </c>
      <c r="P334">
        <v>60</v>
      </c>
      <c r="Q334" t="s">
        <v>54</v>
      </c>
      <c r="R334" t="s">
        <v>55</v>
      </c>
      <c r="S334" t="s">
        <v>56</v>
      </c>
      <c r="T334">
        <v>2024</v>
      </c>
      <c r="U334" t="s">
        <v>47</v>
      </c>
    </row>
    <row r="335" spans="1:21" x14ac:dyDescent="0.35">
      <c r="A335" s="1">
        <v>44925</v>
      </c>
      <c r="B335" t="s">
        <v>80</v>
      </c>
      <c r="C335" t="s">
        <v>81</v>
      </c>
      <c r="D335" t="s">
        <v>82</v>
      </c>
      <c r="E335">
        <v>117</v>
      </c>
      <c r="F335">
        <v>2.5</v>
      </c>
      <c r="G335">
        <f t="shared" si="15"/>
        <v>292.5</v>
      </c>
      <c r="H335">
        <v>1.5</v>
      </c>
      <c r="I335">
        <f t="shared" si="16"/>
        <v>175.5</v>
      </c>
      <c r="J335">
        <f t="shared" si="17"/>
        <v>117</v>
      </c>
      <c r="K335" t="s">
        <v>35</v>
      </c>
      <c r="L335" t="s">
        <v>63</v>
      </c>
      <c r="M335" t="s">
        <v>26</v>
      </c>
      <c r="N335" t="s">
        <v>38</v>
      </c>
      <c r="O335">
        <v>675</v>
      </c>
      <c r="P335">
        <v>117</v>
      </c>
      <c r="Q335" t="s">
        <v>90</v>
      </c>
      <c r="R335" t="s">
        <v>55</v>
      </c>
      <c r="S335" t="s">
        <v>85</v>
      </c>
      <c r="T335">
        <v>2021</v>
      </c>
      <c r="U335" t="s">
        <v>86</v>
      </c>
    </row>
    <row r="336" spans="1:21" x14ac:dyDescent="0.35">
      <c r="A336" s="1">
        <v>44926</v>
      </c>
      <c r="B336" t="s">
        <v>98</v>
      </c>
      <c r="C336" t="s">
        <v>99</v>
      </c>
      <c r="D336" t="s">
        <v>100</v>
      </c>
      <c r="E336">
        <v>168</v>
      </c>
      <c r="F336">
        <v>6</v>
      </c>
      <c r="G336">
        <f t="shared" si="15"/>
        <v>1008</v>
      </c>
      <c r="H336">
        <v>4</v>
      </c>
      <c r="I336">
        <f t="shared" si="16"/>
        <v>672</v>
      </c>
      <c r="J336">
        <f t="shared" si="17"/>
        <v>336</v>
      </c>
      <c r="K336" t="s">
        <v>35</v>
      </c>
      <c r="L336" t="s">
        <v>25</v>
      </c>
      <c r="M336" t="s">
        <v>37</v>
      </c>
      <c r="N336" t="s">
        <v>38</v>
      </c>
      <c r="O336">
        <v>529</v>
      </c>
      <c r="P336">
        <v>168</v>
      </c>
      <c r="Q336" t="s">
        <v>77</v>
      </c>
      <c r="R336" t="s">
        <v>78</v>
      </c>
      <c r="S336" t="s">
        <v>79</v>
      </c>
      <c r="T336">
        <v>2024</v>
      </c>
      <c r="U336" t="s">
        <v>62</v>
      </c>
    </row>
    <row r="337" spans="1:21" x14ac:dyDescent="0.35">
      <c r="A337" s="1">
        <v>44927</v>
      </c>
      <c r="B337" t="s">
        <v>48</v>
      </c>
      <c r="C337" t="s">
        <v>49</v>
      </c>
      <c r="D337" t="s">
        <v>50</v>
      </c>
      <c r="E337">
        <v>69</v>
      </c>
      <c r="F337">
        <v>150</v>
      </c>
      <c r="G337">
        <f t="shared" si="15"/>
        <v>10350</v>
      </c>
      <c r="H337">
        <v>100</v>
      </c>
      <c r="I337">
        <f t="shared" si="16"/>
        <v>6900</v>
      </c>
      <c r="J337">
        <f t="shared" si="17"/>
        <v>3450</v>
      </c>
      <c r="K337" t="s">
        <v>42</v>
      </c>
      <c r="L337" t="s">
        <v>25</v>
      </c>
      <c r="M337" t="s">
        <v>26</v>
      </c>
      <c r="N337" t="s">
        <v>38</v>
      </c>
      <c r="O337">
        <v>753</v>
      </c>
      <c r="P337">
        <v>69</v>
      </c>
      <c r="Q337" t="s">
        <v>77</v>
      </c>
      <c r="R337" t="s">
        <v>78</v>
      </c>
      <c r="S337" t="s">
        <v>79</v>
      </c>
      <c r="T337">
        <v>2024</v>
      </c>
      <c r="U337" t="s">
        <v>105</v>
      </c>
    </row>
    <row r="338" spans="1:21" x14ac:dyDescent="0.35">
      <c r="A338" s="1">
        <v>44928</v>
      </c>
      <c r="B338" t="s">
        <v>58</v>
      </c>
      <c r="C338" t="s">
        <v>59</v>
      </c>
      <c r="D338" t="s">
        <v>60</v>
      </c>
      <c r="E338">
        <v>256</v>
      </c>
      <c r="F338">
        <v>5</v>
      </c>
      <c r="G338">
        <f t="shared" si="15"/>
        <v>1280</v>
      </c>
      <c r="H338">
        <v>3</v>
      </c>
      <c r="I338">
        <f t="shared" si="16"/>
        <v>768</v>
      </c>
      <c r="J338">
        <f t="shared" si="17"/>
        <v>512</v>
      </c>
      <c r="K338" t="s">
        <v>24</v>
      </c>
      <c r="L338" t="s">
        <v>73</v>
      </c>
      <c r="M338" t="s">
        <v>26</v>
      </c>
      <c r="N338" t="s">
        <v>43</v>
      </c>
      <c r="O338">
        <v>863</v>
      </c>
      <c r="P338">
        <v>256</v>
      </c>
      <c r="Q338" t="s">
        <v>39</v>
      </c>
      <c r="R338" t="s">
        <v>40</v>
      </c>
      <c r="S338" t="s">
        <v>41</v>
      </c>
      <c r="T338">
        <v>2023</v>
      </c>
      <c r="U338" t="s">
        <v>109</v>
      </c>
    </row>
    <row r="339" spans="1:21" x14ac:dyDescent="0.35">
      <c r="A339" s="1">
        <v>44929</v>
      </c>
      <c r="B339" t="s">
        <v>58</v>
      </c>
      <c r="C339" t="s">
        <v>59</v>
      </c>
      <c r="D339" t="s">
        <v>60</v>
      </c>
      <c r="E339">
        <v>158</v>
      </c>
      <c r="F339">
        <v>5</v>
      </c>
      <c r="G339">
        <f t="shared" si="15"/>
        <v>790</v>
      </c>
      <c r="H339">
        <v>3</v>
      </c>
      <c r="I339">
        <f t="shared" si="16"/>
        <v>474</v>
      </c>
      <c r="J339">
        <f t="shared" si="17"/>
        <v>316</v>
      </c>
      <c r="K339" t="s">
        <v>24</v>
      </c>
      <c r="L339" t="s">
        <v>36</v>
      </c>
      <c r="M339" t="s">
        <v>37</v>
      </c>
      <c r="N339" t="s">
        <v>38</v>
      </c>
      <c r="O339">
        <v>721</v>
      </c>
      <c r="P339">
        <v>158</v>
      </c>
      <c r="Q339" t="s">
        <v>77</v>
      </c>
      <c r="R339" t="s">
        <v>78</v>
      </c>
      <c r="S339" t="s">
        <v>79</v>
      </c>
      <c r="T339">
        <v>2022</v>
      </c>
      <c r="U339" t="s">
        <v>91</v>
      </c>
    </row>
    <row r="340" spans="1:21" x14ac:dyDescent="0.35">
      <c r="A340" s="1">
        <v>44930</v>
      </c>
      <c r="B340" t="s">
        <v>32</v>
      </c>
      <c r="C340" t="s">
        <v>33</v>
      </c>
      <c r="D340" t="s">
        <v>34</v>
      </c>
      <c r="E340">
        <v>382</v>
      </c>
      <c r="F340">
        <v>20</v>
      </c>
      <c r="G340">
        <f t="shared" si="15"/>
        <v>7640</v>
      </c>
      <c r="H340">
        <v>12</v>
      </c>
      <c r="I340">
        <f t="shared" si="16"/>
        <v>4584</v>
      </c>
      <c r="J340">
        <f t="shared" si="17"/>
        <v>3056</v>
      </c>
      <c r="K340" t="s">
        <v>24</v>
      </c>
      <c r="L340" t="s">
        <v>63</v>
      </c>
      <c r="M340" t="s">
        <v>61</v>
      </c>
      <c r="N340" t="s">
        <v>43</v>
      </c>
      <c r="O340">
        <v>572</v>
      </c>
      <c r="P340">
        <v>382</v>
      </c>
      <c r="Q340" t="s">
        <v>92</v>
      </c>
      <c r="R340" t="s">
        <v>45</v>
      </c>
      <c r="S340" t="s">
        <v>93</v>
      </c>
      <c r="T340">
        <v>2024</v>
      </c>
      <c r="U340" t="s">
        <v>57</v>
      </c>
    </row>
    <row r="341" spans="1:21" x14ac:dyDescent="0.35">
      <c r="A341" s="1">
        <v>44931</v>
      </c>
      <c r="B341" t="s">
        <v>32</v>
      </c>
      <c r="C341" t="s">
        <v>33</v>
      </c>
      <c r="D341" t="s">
        <v>34</v>
      </c>
      <c r="E341">
        <v>427</v>
      </c>
      <c r="F341">
        <v>20</v>
      </c>
      <c r="G341">
        <f t="shared" si="15"/>
        <v>8540</v>
      </c>
      <c r="H341">
        <v>12</v>
      </c>
      <c r="I341">
        <f t="shared" si="16"/>
        <v>5124</v>
      </c>
      <c r="J341">
        <f t="shared" si="17"/>
        <v>3416</v>
      </c>
      <c r="K341" t="s">
        <v>42</v>
      </c>
      <c r="L341" t="s">
        <v>73</v>
      </c>
      <c r="M341" t="s">
        <v>37</v>
      </c>
      <c r="N341" t="s">
        <v>43</v>
      </c>
      <c r="O341">
        <v>965</v>
      </c>
      <c r="P341">
        <v>427</v>
      </c>
      <c r="Q341" t="s">
        <v>83</v>
      </c>
      <c r="R341" t="s">
        <v>84</v>
      </c>
      <c r="S341" t="s">
        <v>85</v>
      </c>
      <c r="T341">
        <v>2021</v>
      </c>
      <c r="U341" t="s">
        <v>97</v>
      </c>
    </row>
    <row r="342" spans="1:21" x14ac:dyDescent="0.35">
      <c r="A342" s="1">
        <v>44932</v>
      </c>
      <c r="B342" t="s">
        <v>32</v>
      </c>
      <c r="C342" t="s">
        <v>33</v>
      </c>
      <c r="D342" t="s">
        <v>34</v>
      </c>
      <c r="E342">
        <v>291</v>
      </c>
      <c r="F342">
        <v>20</v>
      </c>
      <c r="G342">
        <f t="shared" si="15"/>
        <v>5820</v>
      </c>
      <c r="H342">
        <v>12</v>
      </c>
      <c r="I342">
        <f t="shared" si="16"/>
        <v>3492</v>
      </c>
      <c r="J342">
        <f t="shared" si="17"/>
        <v>2328</v>
      </c>
      <c r="K342" t="s">
        <v>35</v>
      </c>
      <c r="L342" t="s">
        <v>36</v>
      </c>
      <c r="M342" t="s">
        <v>26</v>
      </c>
      <c r="N342" t="s">
        <v>27</v>
      </c>
      <c r="O342">
        <v>850</v>
      </c>
      <c r="P342">
        <v>291</v>
      </c>
      <c r="Q342" t="s">
        <v>101</v>
      </c>
      <c r="R342" t="s">
        <v>101</v>
      </c>
      <c r="S342" t="s">
        <v>102</v>
      </c>
      <c r="T342">
        <v>2023</v>
      </c>
      <c r="U342" t="s">
        <v>97</v>
      </c>
    </row>
    <row r="343" spans="1:21" x14ac:dyDescent="0.35">
      <c r="A343" s="1">
        <v>44933</v>
      </c>
      <c r="B343" t="s">
        <v>80</v>
      </c>
      <c r="C343" t="s">
        <v>81</v>
      </c>
      <c r="D343" t="s">
        <v>82</v>
      </c>
      <c r="E343">
        <v>459</v>
      </c>
      <c r="F343">
        <v>2.5</v>
      </c>
      <c r="G343">
        <f t="shared" si="15"/>
        <v>1147.5</v>
      </c>
      <c r="H343">
        <v>1.5</v>
      </c>
      <c r="I343">
        <f t="shared" si="16"/>
        <v>688.5</v>
      </c>
      <c r="J343">
        <f t="shared" si="17"/>
        <v>459</v>
      </c>
      <c r="K343" t="s">
        <v>24</v>
      </c>
      <c r="L343" t="s">
        <v>73</v>
      </c>
      <c r="M343" t="s">
        <v>37</v>
      </c>
      <c r="N343" t="s">
        <v>43</v>
      </c>
      <c r="O343">
        <v>837</v>
      </c>
      <c r="P343">
        <v>459</v>
      </c>
      <c r="Q343" t="s">
        <v>44</v>
      </c>
      <c r="R343" t="s">
        <v>45</v>
      </c>
      <c r="S343" t="s">
        <v>46</v>
      </c>
      <c r="T343">
        <v>2022</v>
      </c>
      <c r="U343" t="s">
        <v>91</v>
      </c>
    </row>
    <row r="344" spans="1:21" x14ac:dyDescent="0.35">
      <c r="A344" s="1">
        <v>44934</v>
      </c>
      <c r="B344" t="s">
        <v>98</v>
      </c>
      <c r="C344" t="s">
        <v>99</v>
      </c>
      <c r="D344" t="s">
        <v>100</v>
      </c>
      <c r="E344">
        <v>497</v>
      </c>
      <c r="F344">
        <v>6</v>
      </c>
      <c r="G344">
        <f t="shared" si="15"/>
        <v>2982</v>
      </c>
      <c r="H344">
        <v>4</v>
      </c>
      <c r="I344">
        <f t="shared" si="16"/>
        <v>1988</v>
      </c>
      <c r="J344">
        <f t="shared" si="17"/>
        <v>994</v>
      </c>
      <c r="K344" t="s">
        <v>35</v>
      </c>
      <c r="L344" t="s">
        <v>36</v>
      </c>
      <c r="M344" t="s">
        <v>37</v>
      </c>
      <c r="N344" t="s">
        <v>43</v>
      </c>
      <c r="O344">
        <v>597</v>
      </c>
      <c r="P344">
        <v>497</v>
      </c>
      <c r="Q344" t="s">
        <v>103</v>
      </c>
      <c r="R344" t="s">
        <v>68</v>
      </c>
      <c r="S344" t="s">
        <v>104</v>
      </c>
      <c r="T344">
        <v>2022</v>
      </c>
      <c r="U344" t="s">
        <v>53</v>
      </c>
    </row>
    <row r="345" spans="1:21" x14ac:dyDescent="0.35">
      <c r="A345" s="1">
        <v>44935</v>
      </c>
      <c r="B345" t="s">
        <v>21</v>
      </c>
      <c r="C345" t="s">
        <v>22</v>
      </c>
      <c r="D345" t="s">
        <v>23</v>
      </c>
      <c r="E345">
        <v>487</v>
      </c>
      <c r="F345">
        <v>8</v>
      </c>
      <c r="G345">
        <f t="shared" si="15"/>
        <v>3896</v>
      </c>
      <c r="H345">
        <v>5</v>
      </c>
      <c r="I345">
        <f t="shared" si="16"/>
        <v>2435</v>
      </c>
      <c r="J345">
        <f t="shared" si="17"/>
        <v>1461</v>
      </c>
      <c r="K345" t="s">
        <v>35</v>
      </c>
      <c r="L345" t="s">
        <v>73</v>
      </c>
      <c r="M345" t="s">
        <v>26</v>
      </c>
      <c r="N345" t="s">
        <v>38</v>
      </c>
      <c r="O345">
        <v>758</v>
      </c>
      <c r="P345">
        <v>487</v>
      </c>
      <c r="Q345" t="s">
        <v>51</v>
      </c>
      <c r="R345" t="s">
        <v>45</v>
      </c>
      <c r="S345" t="s">
        <v>52</v>
      </c>
      <c r="T345">
        <v>2022</v>
      </c>
      <c r="U345" t="s">
        <v>96</v>
      </c>
    </row>
    <row r="346" spans="1:21" x14ac:dyDescent="0.35">
      <c r="A346" s="1">
        <v>44936</v>
      </c>
      <c r="B346" t="s">
        <v>58</v>
      </c>
      <c r="C346" t="s">
        <v>59</v>
      </c>
      <c r="D346" t="s">
        <v>60</v>
      </c>
      <c r="E346">
        <v>433</v>
      </c>
      <c r="F346">
        <v>5</v>
      </c>
      <c r="G346">
        <f t="shared" si="15"/>
        <v>2165</v>
      </c>
      <c r="H346">
        <v>3</v>
      </c>
      <c r="I346">
        <f t="shared" si="16"/>
        <v>1299</v>
      </c>
      <c r="J346">
        <f t="shared" si="17"/>
        <v>866</v>
      </c>
      <c r="K346" t="s">
        <v>35</v>
      </c>
      <c r="L346" t="s">
        <v>73</v>
      </c>
      <c r="M346" t="s">
        <v>26</v>
      </c>
      <c r="N346" t="s">
        <v>43</v>
      </c>
      <c r="O346">
        <v>516</v>
      </c>
      <c r="P346">
        <v>433</v>
      </c>
      <c r="Q346" t="s">
        <v>83</v>
      </c>
      <c r="R346" t="s">
        <v>84</v>
      </c>
      <c r="S346" t="s">
        <v>85</v>
      </c>
      <c r="T346">
        <v>2022</v>
      </c>
      <c r="U346" t="s">
        <v>86</v>
      </c>
    </row>
    <row r="347" spans="1:21" x14ac:dyDescent="0.35">
      <c r="A347" s="1">
        <v>44937</v>
      </c>
      <c r="B347" t="s">
        <v>98</v>
      </c>
      <c r="C347" t="s">
        <v>99</v>
      </c>
      <c r="D347" t="s">
        <v>100</v>
      </c>
      <c r="E347">
        <v>239</v>
      </c>
      <c r="F347">
        <v>6</v>
      </c>
      <c r="G347">
        <f t="shared" si="15"/>
        <v>1434</v>
      </c>
      <c r="H347">
        <v>4</v>
      </c>
      <c r="I347">
        <f t="shared" si="16"/>
        <v>956</v>
      </c>
      <c r="J347">
        <f t="shared" si="17"/>
        <v>478</v>
      </c>
      <c r="K347" t="s">
        <v>42</v>
      </c>
      <c r="L347" t="s">
        <v>25</v>
      </c>
      <c r="M347" t="s">
        <v>37</v>
      </c>
      <c r="N347" t="s">
        <v>38</v>
      </c>
      <c r="O347">
        <v>552</v>
      </c>
      <c r="P347">
        <v>239</v>
      </c>
      <c r="Q347" t="s">
        <v>70</v>
      </c>
      <c r="R347" t="s">
        <v>71</v>
      </c>
      <c r="S347" t="s">
        <v>72</v>
      </c>
      <c r="T347">
        <v>2024</v>
      </c>
      <c r="U347" t="s">
        <v>96</v>
      </c>
    </row>
    <row r="348" spans="1:21" x14ac:dyDescent="0.35">
      <c r="A348" s="1">
        <v>44938</v>
      </c>
      <c r="B348" t="s">
        <v>58</v>
      </c>
      <c r="C348" t="s">
        <v>59</v>
      </c>
      <c r="D348" t="s">
        <v>60</v>
      </c>
      <c r="E348">
        <v>430</v>
      </c>
      <c r="F348">
        <v>5</v>
      </c>
      <c r="G348">
        <f t="shared" si="15"/>
        <v>2150</v>
      </c>
      <c r="H348">
        <v>3</v>
      </c>
      <c r="I348">
        <f t="shared" si="16"/>
        <v>1290</v>
      </c>
      <c r="J348">
        <f t="shared" si="17"/>
        <v>860</v>
      </c>
      <c r="K348" t="s">
        <v>24</v>
      </c>
      <c r="L348" t="s">
        <v>63</v>
      </c>
      <c r="M348" t="s">
        <v>37</v>
      </c>
      <c r="N348" t="s">
        <v>38</v>
      </c>
      <c r="O348">
        <v>560</v>
      </c>
      <c r="P348">
        <v>430</v>
      </c>
      <c r="Q348" t="s">
        <v>101</v>
      </c>
      <c r="R348" t="s">
        <v>101</v>
      </c>
      <c r="S348" t="s">
        <v>102</v>
      </c>
      <c r="T348">
        <v>2023</v>
      </c>
      <c r="U348" t="s">
        <v>53</v>
      </c>
    </row>
    <row r="349" spans="1:21" x14ac:dyDescent="0.35">
      <c r="A349" s="1">
        <v>44939</v>
      </c>
      <c r="B349" t="s">
        <v>58</v>
      </c>
      <c r="C349" t="s">
        <v>59</v>
      </c>
      <c r="D349" t="s">
        <v>60</v>
      </c>
      <c r="E349">
        <v>329</v>
      </c>
      <c r="F349">
        <v>5</v>
      </c>
      <c r="G349">
        <f t="shared" si="15"/>
        <v>1645</v>
      </c>
      <c r="H349">
        <v>3</v>
      </c>
      <c r="I349">
        <f t="shared" si="16"/>
        <v>987</v>
      </c>
      <c r="J349">
        <f t="shared" si="17"/>
        <v>658</v>
      </c>
      <c r="K349" t="s">
        <v>35</v>
      </c>
      <c r="L349" t="s">
        <v>25</v>
      </c>
      <c r="M349" t="s">
        <v>37</v>
      </c>
      <c r="N349" t="s">
        <v>43</v>
      </c>
      <c r="O349">
        <v>579</v>
      </c>
      <c r="P349">
        <v>329</v>
      </c>
      <c r="Q349" t="s">
        <v>113</v>
      </c>
      <c r="R349" t="s">
        <v>114</v>
      </c>
      <c r="S349" t="s">
        <v>115</v>
      </c>
      <c r="T349">
        <v>2022</v>
      </c>
      <c r="U349" t="s">
        <v>86</v>
      </c>
    </row>
    <row r="350" spans="1:21" x14ac:dyDescent="0.35">
      <c r="A350" s="1">
        <v>44940</v>
      </c>
      <c r="B350" t="s">
        <v>98</v>
      </c>
      <c r="C350" t="s">
        <v>99</v>
      </c>
      <c r="D350" t="s">
        <v>100</v>
      </c>
      <c r="E350">
        <v>169</v>
      </c>
      <c r="F350">
        <v>6</v>
      </c>
      <c r="G350">
        <f t="shared" si="15"/>
        <v>1014</v>
      </c>
      <c r="H350">
        <v>4</v>
      </c>
      <c r="I350">
        <f t="shared" si="16"/>
        <v>676</v>
      </c>
      <c r="J350">
        <f t="shared" si="17"/>
        <v>338</v>
      </c>
      <c r="K350" t="s">
        <v>24</v>
      </c>
      <c r="L350" t="s">
        <v>36</v>
      </c>
      <c r="M350" t="s">
        <v>37</v>
      </c>
      <c r="N350" t="s">
        <v>27</v>
      </c>
      <c r="O350">
        <v>966</v>
      </c>
      <c r="P350">
        <v>169</v>
      </c>
      <c r="Q350" t="s">
        <v>90</v>
      </c>
      <c r="R350" t="s">
        <v>55</v>
      </c>
      <c r="S350" t="s">
        <v>85</v>
      </c>
      <c r="T350">
        <v>2023</v>
      </c>
      <c r="U350" t="s">
        <v>53</v>
      </c>
    </row>
    <row r="351" spans="1:21" x14ac:dyDescent="0.35">
      <c r="A351" s="1">
        <v>44941</v>
      </c>
      <c r="B351" t="s">
        <v>98</v>
      </c>
      <c r="C351" t="s">
        <v>99</v>
      </c>
      <c r="D351" t="s">
        <v>100</v>
      </c>
      <c r="E351">
        <v>395</v>
      </c>
      <c r="F351">
        <v>6</v>
      </c>
      <c r="G351">
        <f t="shared" si="15"/>
        <v>2370</v>
      </c>
      <c r="H351">
        <v>4</v>
      </c>
      <c r="I351">
        <f t="shared" si="16"/>
        <v>1580</v>
      </c>
      <c r="J351">
        <f t="shared" si="17"/>
        <v>790</v>
      </c>
      <c r="K351" t="s">
        <v>42</v>
      </c>
      <c r="L351" t="s">
        <v>63</v>
      </c>
      <c r="M351" t="s">
        <v>61</v>
      </c>
      <c r="N351" t="s">
        <v>27</v>
      </c>
      <c r="O351">
        <v>829</v>
      </c>
      <c r="P351">
        <v>395</v>
      </c>
      <c r="Q351" t="s">
        <v>106</v>
      </c>
      <c r="R351" t="s">
        <v>107</v>
      </c>
      <c r="S351" t="s">
        <v>108</v>
      </c>
      <c r="T351">
        <v>2024</v>
      </c>
      <c r="U351" t="s">
        <v>66</v>
      </c>
    </row>
    <row r="352" spans="1:21" x14ac:dyDescent="0.35">
      <c r="A352" s="1">
        <v>44942</v>
      </c>
      <c r="B352" t="s">
        <v>48</v>
      </c>
      <c r="C352" t="s">
        <v>49</v>
      </c>
      <c r="D352" t="s">
        <v>50</v>
      </c>
      <c r="E352">
        <v>411</v>
      </c>
      <c r="F352">
        <v>150</v>
      </c>
      <c r="G352">
        <f t="shared" si="15"/>
        <v>61650</v>
      </c>
      <c r="H352">
        <v>100</v>
      </c>
      <c r="I352">
        <f t="shared" si="16"/>
        <v>41100</v>
      </c>
      <c r="J352">
        <f t="shared" si="17"/>
        <v>20550</v>
      </c>
      <c r="K352" t="s">
        <v>24</v>
      </c>
      <c r="L352" t="s">
        <v>73</v>
      </c>
      <c r="M352" t="s">
        <v>37</v>
      </c>
      <c r="N352" t="s">
        <v>27</v>
      </c>
      <c r="O352">
        <v>733</v>
      </c>
      <c r="P352">
        <v>411</v>
      </c>
      <c r="Q352" t="s">
        <v>83</v>
      </c>
      <c r="R352" t="s">
        <v>84</v>
      </c>
      <c r="S352" t="s">
        <v>85</v>
      </c>
      <c r="T352">
        <v>2020</v>
      </c>
      <c r="U352" t="s">
        <v>66</v>
      </c>
    </row>
    <row r="353" spans="1:21" x14ac:dyDescent="0.35">
      <c r="A353" s="1">
        <v>44943</v>
      </c>
      <c r="B353" t="s">
        <v>48</v>
      </c>
      <c r="C353" t="s">
        <v>49</v>
      </c>
      <c r="D353" t="s">
        <v>50</v>
      </c>
      <c r="E353">
        <v>383</v>
      </c>
      <c r="F353">
        <v>150</v>
      </c>
      <c r="G353">
        <f t="shared" si="15"/>
        <v>57450</v>
      </c>
      <c r="H353">
        <v>100</v>
      </c>
      <c r="I353">
        <f t="shared" si="16"/>
        <v>38300</v>
      </c>
      <c r="J353">
        <f t="shared" si="17"/>
        <v>19150</v>
      </c>
      <c r="K353" t="s">
        <v>24</v>
      </c>
      <c r="L353" t="s">
        <v>63</v>
      </c>
      <c r="M353" t="s">
        <v>26</v>
      </c>
      <c r="N353" t="s">
        <v>38</v>
      </c>
      <c r="O353">
        <v>989</v>
      </c>
      <c r="P353">
        <v>383</v>
      </c>
      <c r="Q353" t="s">
        <v>103</v>
      </c>
      <c r="R353" t="s">
        <v>68</v>
      </c>
      <c r="S353" t="s">
        <v>104</v>
      </c>
      <c r="T353">
        <v>2021</v>
      </c>
      <c r="U353" t="s">
        <v>62</v>
      </c>
    </row>
    <row r="354" spans="1:21" x14ac:dyDescent="0.35">
      <c r="A354" s="1">
        <v>44944</v>
      </c>
      <c r="B354" t="s">
        <v>80</v>
      </c>
      <c r="C354" t="s">
        <v>81</v>
      </c>
      <c r="D354" t="s">
        <v>82</v>
      </c>
      <c r="E354">
        <v>426</v>
      </c>
      <c r="F354">
        <v>2.5</v>
      </c>
      <c r="G354">
        <f t="shared" si="15"/>
        <v>1065</v>
      </c>
      <c r="H354">
        <v>1.5</v>
      </c>
      <c r="I354">
        <f t="shared" si="16"/>
        <v>639</v>
      </c>
      <c r="J354">
        <f t="shared" si="17"/>
        <v>426</v>
      </c>
      <c r="K354" t="s">
        <v>24</v>
      </c>
      <c r="L354" t="s">
        <v>36</v>
      </c>
      <c r="M354" t="s">
        <v>37</v>
      </c>
      <c r="N354" t="s">
        <v>43</v>
      </c>
      <c r="O354">
        <v>601</v>
      </c>
      <c r="P354">
        <v>426</v>
      </c>
      <c r="Q354" t="s">
        <v>90</v>
      </c>
      <c r="R354" t="s">
        <v>55</v>
      </c>
      <c r="S354" t="s">
        <v>85</v>
      </c>
      <c r="T354">
        <v>2021</v>
      </c>
      <c r="U354" t="s">
        <v>47</v>
      </c>
    </row>
    <row r="355" spans="1:21" x14ac:dyDescent="0.35">
      <c r="A355" s="1">
        <v>44945</v>
      </c>
      <c r="B355" t="s">
        <v>98</v>
      </c>
      <c r="C355" t="s">
        <v>99</v>
      </c>
      <c r="D355" t="s">
        <v>100</v>
      </c>
      <c r="E355">
        <v>324</v>
      </c>
      <c r="F355">
        <v>6</v>
      </c>
      <c r="G355">
        <f t="shared" si="15"/>
        <v>1944</v>
      </c>
      <c r="H355">
        <v>4</v>
      </c>
      <c r="I355">
        <f t="shared" si="16"/>
        <v>1296</v>
      </c>
      <c r="J355">
        <f t="shared" si="17"/>
        <v>648</v>
      </c>
      <c r="K355" t="s">
        <v>35</v>
      </c>
      <c r="L355" t="s">
        <v>36</v>
      </c>
      <c r="M355" t="s">
        <v>26</v>
      </c>
      <c r="N355" t="s">
        <v>38</v>
      </c>
      <c r="O355">
        <v>936</v>
      </c>
      <c r="P355">
        <v>324</v>
      </c>
      <c r="Q355" t="s">
        <v>83</v>
      </c>
      <c r="R355" t="s">
        <v>84</v>
      </c>
      <c r="S355" t="s">
        <v>85</v>
      </c>
      <c r="T355">
        <v>2020</v>
      </c>
      <c r="U355" t="s">
        <v>57</v>
      </c>
    </row>
    <row r="356" spans="1:21" x14ac:dyDescent="0.35">
      <c r="A356" s="1">
        <v>44946</v>
      </c>
      <c r="B356" t="s">
        <v>32</v>
      </c>
      <c r="C356" t="s">
        <v>33</v>
      </c>
      <c r="D356" t="s">
        <v>34</v>
      </c>
      <c r="E356">
        <v>124</v>
      </c>
      <c r="F356">
        <v>20</v>
      </c>
      <c r="G356">
        <f t="shared" si="15"/>
        <v>2480</v>
      </c>
      <c r="H356">
        <v>12</v>
      </c>
      <c r="I356">
        <f t="shared" si="16"/>
        <v>1488</v>
      </c>
      <c r="J356">
        <f t="shared" si="17"/>
        <v>992</v>
      </c>
      <c r="K356" t="s">
        <v>24</v>
      </c>
      <c r="L356" t="s">
        <v>63</v>
      </c>
      <c r="M356" t="s">
        <v>37</v>
      </c>
      <c r="N356" t="s">
        <v>38</v>
      </c>
      <c r="O356">
        <v>955</v>
      </c>
      <c r="P356">
        <v>124</v>
      </c>
      <c r="Q356" t="s">
        <v>106</v>
      </c>
      <c r="R356" t="s">
        <v>107</v>
      </c>
      <c r="S356" t="s">
        <v>108</v>
      </c>
      <c r="T356">
        <v>2020</v>
      </c>
      <c r="U356" t="s">
        <v>53</v>
      </c>
    </row>
    <row r="357" spans="1:21" x14ac:dyDescent="0.35">
      <c r="A357" s="1">
        <v>44947</v>
      </c>
      <c r="B357" t="s">
        <v>21</v>
      </c>
      <c r="C357" t="s">
        <v>22</v>
      </c>
      <c r="D357" t="s">
        <v>23</v>
      </c>
      <c r="E357">
        <v>268</v>
      </c>
      <c r="F357">
        <v>8</v>
      </c>
      <c r="G357">
        <f t="shared" si="15"/>
        <v>2144</v>
      </c>
      <c r="H357">
        <v>5</v>
      </c>
      <c r="I357">
        <f t="shared" si="16"/>
        <v>1340</v>
      </c>
      <c r="J357">
        <f t="shared" si="17"/>
        <v>804</v>
      </c>
      <c r="K357" t="s">
        <v>42</v>
      </c>
      <c r="L357" t="s">
        <v>73</v>
      </c>
      <c r="M357" t="s">
        <v>61</v>
      </c>
      <c r="N357" t="s">
        <v>43</v>
      </c>
      <c r="O357">
        <v>729</v>
      </c>
      <c r="P357">
        <v>268</v>
      </c>
      <c r="Q357" t="s">
        <v>92</v>
      </c>
      <c r="R357" t="s">
        <v>45</v>
      </c>
      <c r="S357" t="s">
        <v>93</v>
      </c>
      <c r="T357">
        <v>2021</v>
      </c>
      <c r="U357" t="s">
        <v>62</v>
      </c>
    </row>
    <row r="358" spans="1:21" x14ac:dyDescent="0.35">
      <c r="A358" s="1">
        <v>44948</v>
      </c>
      <c r="B358" t="s">
        <v>32</v>
      </c>
      <c r="C358" t="s">
        <v>33</v>
      </c>
      <c r="D358" t="s">
        <v>34</v>
      </c>
      <c r="E358">
        <v>437</v>
      </c>
      <c r="F358">
        <v>20</v>
      </c>
      <c r="G358">
        <f t="shared" si="15"/>
        <v>8740</v>
      </c>
      <c r="H358">
        <v>12</v>
      </c>
      <c r="I358">
        <f t="shared" si="16"/>
        <v>5244</v>
      </c>
      <c r="J358">
        <f t="shared" si="17"/>
        <v>3496</v>
      </c>
      <c r="K358" t="s">
        <v>24</v>
      </c>
      <c r="L358" t="s">
        <v>25</v>
      </c>
      <c r="M358" t="s">
        <v>61</v>
      </c>
      <c r="N358" t="s">
        <v>38</v>
      </c>
      <c r="O358">
        <v>679</v>
      </c>
      <c r="P358">
        <v>437</v>
      </c>
      <c r="Q358" t="s">
        <v>64</v>
      </c>
      <c r="R358" t="s">
        <v>29</v>
      </c>
      <c r="S358" t="s">
        <v>65</v>
      </c>
      <c r="T358">
        <v>2020</v>
      </c>
      <c r="U358" t="s">
        <v>57</v>
      </c>
    </row>
    <row r="359" spans="1:21" x14ac:dyDescent="0.35">
      <c r="A359" s="1">
        <v>44949</v>
      </c>
      <c r="B359" t="s">
        <v>80</v>
      </c>
      <c r="C359" t="s">
        <v>81</v>
      </c>
      <c r="D359" t="s">
        <v>82</v>
      </c>
      <c r="E359">
        <v>68</v>
      </c>
      <c r="F359">
        <v>2.5</v>
      </c>
      <c r="G359">
        <f t="shared" si="15"/>
        <v>170</v>
      </c>
      <c r="H359">
        <v>1.5</v>
      </c>
      <c r="I359">
        <f t="shared" si="16"/>
        <v>102</v>
      </c>
      <c r="J359">
        <f t="shared" si="17"/>
        <v>68</v>
      </c>
      <c r="K359" t="s">
        <v>35</v>
      </c>
      <c r="L359" t="s">
        <v>73</v>
      </c>
      <c r="M359" t="s">
        <v>37</v>
      </c>
      <c r="N359" t="s">
        <v>43</v>
      </c>
      <c r="O359">
        <v>995</v>
      </c>
      <c r="P359">
        <v>68</v>
      </c>
      <c r="Q359" t="s">
        <v>67</v>
      </c>
      <c r="R359" t="s">
        <v>68</v>
      </c>
      <c r="S359" t="s">
        <v>69</v>
      </c>
      <c r="T359">
        <v>2023</v>
      </c>
      <c r="U359" t="s">
        <v>105</v>
      </c>
    </row>
    <row r="360" spans="1:21" x14ac:dyDescent="0.35">
      <c r="A360" s="1">
        <v>44950</v>
      </c>
      <c r="B360" t="s">
        <v>58</v>
      </c>
      <c r="C360" t="s">
        <v>59</v>
      </c>
      <c r="D360" t="s">
        <v>60</v>
      </c>
      <c r="E360">
        <v>21</v>
      </c>
      <c r="F360">
        <v>5</v>
      </c>
      <c r="G360">
        <f t="shared" si="15"/>
        <v>105</v>
      </c>
      <c r="H360">
        <v>3</v>
      </c>
      <c r="I360">
        <f t="shared" si="16"/>
        <v>63</v>
      </c>
      <c r="J360">
        <f t="shared" si="17"/>
        <v>42</v>
      </c>
      <c r="K360" t="s">
        <v>42</v>
      </c>
      <c r="L360" t="s">
        <v>63</v>
      </c>
      <c r="M360" t="s">
        <v>37</v>
      </c>
      <c r="N360" t="s">
        <v>27</v>
      </c>
      <c r="O360">
        <v>537</v>
      </c>
      <c r="P360">
        <v>21</v>
      </c>
      <c r="Q360" t="s">
        <v>51</v>
      </c>
      <c r="R360" t="s">
        <v>45</v>
      </c>
      <c r="S360" t="s">
        <v>52</v>
      </c>
      <c r="T360">
        <v>2022</v>
      </c>
      <c r="U360" t="s">
        <v>31</v>
      </c>
    </row>
    <row r="361" spans="1:21" x14ac:dyDescent="0.35">
      <c r="A361" s="1">
        <v>44951</v>
      </c>
      <c r="B361" t="s">
        <v>80</v>
      </c>
      <c r="C361" t="s">
        <v>81</v>
      </c>
      <c r="D361" t="s">
        <v>82</v>
      </c>
      <c r="E361">
        <v>223</v>
      </c>
      <c r="F361">
        <v>2.5</v>
      </c>
      <c r="G361">
        <f t="shared" si="15"/>
        <v>557.5</v>
      </c>
      <c r="H361">
        <v>1.5</v>
      </c>
      <c r="I361">
        <f t="shared" si="16"/>
        <v>334.5</v>
      </c>
      <c r="J361">
        <f t="shared" si="17"/>
        <v>223</v>
      </c>
      <c r="K361" t="s">
        <v>35</v>
      </c>
      <c r="L361" t="s">
        <v>25</v>
      </c>
      <c r="M361" t="s">
        <v>61</v>
      </c>
      <c r="N361" t="s">
        <v>43</v>
      </c>
      <c r="O361">
        <v>890</v>
      </c>
      <c r="P361">
        <v>223</v>
      </c>
      <c r="Q361" t="s">
        <v>113</v>
      </c>
      <c r="R361" t="s">
        <v>114</v>
      </c>
      <c r="S361" t="s">
        <v>115</v>
      </c>
      <c r="T361">
        <v>2021</v>
      </c>
      <c r="U361" t="s">
        <v>53</v>
      </c>
    </row>
    <row r="362" spans="1:21" x14ac:dyDescent="0.35">
      <c r="A362" s="1">
        <v>44952</v>
      </c>
      <c r="B362" t="s">
        <v>58</v>
      </c>
      <c r="C362" t="s">
        <v>59</v>
      </c>
      <c r="D362" t="s">
        <v>60</v>
      </c>
      <c r="E362">
        <v>362</v>
      </c>
      <c r="F362">
        <v>5</v>
      </c>
      <c r="G362">
        <f t="shared" si="15"/>
        <v>1810</v>
      </c>
      <c r="H362">
        <v>3</v>
      </c>
      <c r="I362">
        <f t="shared" si="16"/>
        <v>1086</v>
      </c>
      <c r="J362">
        <f t="shared" si="17"/>
        <v>724</v>
      </c>
      <c r="K362" t="s">
        <v>42</v>
      </c>
      <c r="L362" t="s">
        <v>25</v>
      </c>
      <c r="M362" t="s">
        <v>37</v>
      </c>
      <c r="N362" t="s">
        <v>27</v>
      </c>
      <c r="O362">
        <v>655</v>
      </c>
      <c r="P362">
        <v>362</v>
      </c>
      <c r="Q362" t="s">
        <v>44</v>
      </c>
      <c r="R362" t="s">
        <v>45</v>
      </c>
      <c r="S362" t="s">
        <v>46</v>
      </c>
      <c r="T362">
        <v>2024</v>
      </c>
      <c r="U362" t="s">
        <v>105</v>
      </c>
    </row>
    <row r="363" spans="1:21" x14ac:dyDescent="0.35">
      <c r="A363" s="1">
        <v>44953</v>
      </c>
      <c r="B363" t="s">
        <v>48</v>
      </c>
      <c r="C363" t="s">
        <v>49</v>
      </c>
      <c r="D363" t="s">
        <v>50</v>
      </c>
      <c r="E363">
        <v>486</v>
      </c>
      <c r="F363">
        <v>150</v>
      </c>
      <c r="G363">
        <f t="shared" si="15"/>
        <v>72900</v>
      </c>
      <c r="H363">
        <v>100</v>
      </c>
      <c r="I363">
        <f t="shared" si="16"/>
        <v>48600</v>
      </c>
      <c r="J363">
        <f t="shared" si="17"/>
        <v>24300</v>
      </c>
      <c r="K363" t="s">
        <v>24</v>
      </c>
      <c r="L363" t="s">
        <v>36</v>
      </c>
      <c r="M363" t="s">
        <v>37</v>
      </c>
      <c r="N363" t="s">
        <v>38</v>
      </c>
      <c r="O363">
        <v>648</v>
      </c>
      <c r="P363">
        <v>486</v>
      </c>
      <c r="Q363" t="s">
        <v>113</v>
      </c>
      <c r="R363" t="s">
        <v>114</v>
      </c>
      <c r="S363" t="s">
        <v>115</v>
      </c>
      <c r="T363">
        <v>2023</v>
      </c>
      <c r="U363" t="s">
        <v>31</v>
      </c>
    </row>
    <row r="364" spans="1:21" x14ac:dyDescent="0.35">
      <c r="A364" s="1">
        <v>44954</v>
      </c>
      <c r="B364" t="s">
        <v>48</v>
      </c>
      <c r="C364" t="s">
        <v>49</v>
      </c>
      <c r="D364" t="s">
        <v>50</v>
      </c>
      <c r="E364">
        <v>204</v>
      </c>
      <c r="F364">
        <v>150</v>
      </c>
      <c r="G364">
        <f t="shared" si="15"/>
        <v>30600</v>
      </c>
      <c r="H364">
        <v>100</v>
      </c>
      <c r="I364">
        <f t="shared" si="16"/>
        <v>20400</v>
      </c>
      <c r="J364">
        <f t="shared" si="17"/>
        <v>10200</v>
      </c>
      <c r="K364" t="s">
        <v>42</v>
      </c>
      <c r="L364" t="s">
        <v>63</v>
      </c>
      <c r="M364" t="s">
        <v>61</v>
      </c>
      <c r="N364" t="s">
        <v>38</v>
      </c>
      <c r="O364">
        <v>916</v>
      </c>
      <c r="P364">
        <v>204</v>
      </c>
      <c r="Q364" t="s">
        <v>28</v>
      </c>
      <c r="R364" t="s">
        <v>29</v>
      </c>
      <c r="S364" t="s">
        <v>30</v>
      </c>
      <c r="T364">
        <v>2022</v>
      </c>
      <c r="U364" t="s">
        <v>105</v>
      </c>
    </row>
    <row r="365" spans="1:21" x14ac:dyDescent="0.35">
      <c r="A365" s="1">
        <v>44955</v>
      </c>
      <c r="B365" t="s">
        <v>48</v>
      </c>
      <c r="C365" t="s">
        <v>49</v>
      </c>
      <c r="D365" t="s">
        <v>50</v>
      </c>
      <c r="E365">
        <v>25</v>
      </c>
      <c r="F365">
        <v>150</v>
      </c>
      <c r="G365">
        <f t="shared" si="15"/>
        <v>3750</v>
      </c>
      <c r="H365">
        <v>100</v>
      </c>
      <c r="I365">
        <f t="shared" si="16"/>
        <v>2500</v>
      </c>
      <c r="J365">
        <f t="shared" si="17"/>
        <v>1250</v>
      </c>
      <c r="K365" t="s">
        <v>42</v>
      </c>
      <c r="L365" t="s">
        <v>63</v>
      </c>
      <c r="M365" t="s">
        <v>37</v>
      </c>
      <c r="N365" t="s">
        <v>27</v>
      </c>
      <c r="O365">
        <v>849</v>
      </c>
      <c r="P365">
        <v>25</v>
      </c>
      <c r="Q365" t="s">
        <v>83</v>
      </c>
      <c r="R365" t="s">
        <v>84</v>
      </c>
      <c r="S365" t="s">
        <v>85</v>
      </c>
      <c r="T365">
        <v>2020</v>
      </c>
      <c r="U365" t="s">
        <v>57</v>
      </c>
    </row>
    <row r="366" spans="1:21" x14ac:dyDescent="0.35">
      <c r="A366" s="1">
        <v>44956</v>
      </c>
      <c r="B366" t="s">
        <v>21</v>
      </c>
      <c r="C366" t="s">
        <v>22</v>
      </c>
      <c r="D366" t="s">
        <v>23</v>
      </c>
      <c r="E366">
        <v>231</v>
      </c>
      <c r="F366">
        <v>8</v>
      </c>
      <c r="G366">
        <f t="shared" si="15"/>
        <v>1848</v>
      </c>
      <c r="H366">
        <v>5</v>
      </c>
      <c r="I366">
        <f t="shared" si="16"/>
        <v>1155</v>
      </c>
      <c r="J366">
        <f t="shared" si="17"/>
        <v>693</v>
      </c>
      <c r="K366" t="s">
        <v>42</v>
      </c>
      <c r="L366" t="s">
        <v>25</v>
      </c>
      <c r="M366" t="s">
        <v>26</v>
      </c>
      <c r="N366" t="s">
        <v>43</v>
      </c>
      <c r="O366">
        <v>849</v>
      </c>
      <c r="P366">
        <v>231</v>
      </c>
      <c r="Q366" t="s">
        <v>87</v>
      </c>
      <c r="R366" t="s">
        <v>88</v>
      </c>
      <c r="S366" t="s">
        <v>89</v>
      </c>
      <c r="T366">
        <v>2020</v>
      </c>
      <c r="U366" t="s">
        <v>62</v>
      </c>
    </row>
    <row r="367" spans="1:21" x14ac:dyDescent="0.35">
      <c r="A367" s="1">
        <v>44957</v>
      </c>
      <c r="B367" t="s">
        <v>80</v>
      </c>
      <c r="C367" t="s">
        <v>81</v>
      </c>
      <c r="D367" t="s">
        <v>82</v>
      </c>
      <c r="E367">
        <v>324</v>
      </c>
      <c r="F367">
        <v>2.5</v>
      </c>
      <c r="G367">
        <f t="shared" si="15"/>
        <v>810</v>
      </c>
      <c r="H367">
        <v>1.5</v>
      </c>
      <c r="I367">
        <f t="shared" si="16"/>
        <v>486</v>
      </c>
      <c r="J367">
        <f t="shared" si="17"/>
        <v>324</v>
      </c>
      <c r="K367" t="s">
        <v>42</v>
      </c>
      <c r="L367" t="s">
        <v>36</v>
      </c>
      <c r="M367" t="s">
        <v>26</v>
      </c>
      <c r="N367" t="s">
        <v>43</v>
      </c>
      <c r="O367">
        <v>662</v>
      </c>
      <c r="P367">
        <v>324</v>
      </c>
      <c r="Q367" t="s">
        <v>74</v>
      </c>
      <c r="R367" t="s">
        <v>75</v>
      </c>
      <c r="S367" t="s">
        <v>76</v>
      </c>
      <c r="T367">
        <v>2020</v>
      </c>
      <c r="U367" t="s">
        <v>53</v>
      </c>
    </row>
    <row r="368" spans="1:21" x14ac:dyDescent="0.35">
      <c r="A368" s="1">
        <v>44958</v>
      </c>
      <c r="B368" t="s">
        <v>80</v>
      </c>
      <c r="C368" t="s">
        <v>81</v>
      </c>
      <c r="D368" t="s">
        <v>82</v>
      </c>
      <c r="E368">
        <v>103</v>
      </c>
      <c r="F368">
        <v>2.5</v>
      </c>
      <c r="G368">
        <f t="shared" si="15"/>
        <v>257.5</v>
      </c>
      <c r="H368">
        <v>1.5</v>
      </c>
      <c r="I368">
        <f t="shared" si="16"/>
        <v>154.5</v>
      </c>
      <c r="J368">
        <f t="shared" si="17"/>
        <v>103</v>
      </c>
      <c r="K368" t="s">
        <v>35</v>
      </c>
      <c r="L368" t="s">
        <v>73</v>
      </c>
      <c r="M368" t="s">
        <v>61</v>
      </c>
      <c r="N368" t="s">
        <v>43</v>
      </c>
      <c r="O368">
        <v>642</v>
      </c>
      <c r="P368">
        <v>103</v>
      </c>
      <c r="Q368" t="s">
        <v>64</v>
      </c>
      <c r="R368" t="s">
        <v>29</v>
      </c>
      <c r="S368" t="s">
        <v>65</v>
      </c>
      <c r="T368">
        <v>2020</v>
      </c>
      <c r="U368" t="s">
        <v>66</v>
      </c>
    </row>
    <row r="369" spans="1:21" x14ac:dyDescent="0.35">
      <c r="A369" s="1">
        <v>44959</v>
      </c>
      <c r="B369" t="s">
        <v>58</v>
      </c>
      <c r="C369" t="s">
        <v>59</v>
      </c>
      <c r="D369" t="s">
        <v>60</v>
      </c>
      <c r="E369">
        <v>377</v>
      </c>
      <c r="F369">
        <v>5</v>
      </c>
      <c r="G369">
        <f t="shared" si="15"/>
        <v>1885</v>
      </c>
      <c r="H369">
        <v>3</v>
      </c>
      <c r="I369">
        <f t="shared" si="16"/>
        <v>1131</v>
      </c>
      <c r="J369">
        <f t="shared" si="17"/>
        <v>754</v>
      </c>
      <c r="K369" t="s">
        <v>24</v>
      </c>
      <c r="L369" t="s">
        <v>73</v>
      </c>
      <c r="M369" t="s">
        <v>37</v>
      </c>
      <c r="N369" t="s">
        <v>27</v>
      </c>
      <c r="O369">
        <v>601</v>
      </c>
      <c r="P369">
        <v>377</v>
      </c>
      <c r="Q369" t="s">
        <v>74</v>
      </c>
      <c r="R369" t="s">
        <v>75</v>
      </c>
      <c r="S369" t="s">
        <v>76</v>
      </c>
      <c r="T369">
        <v>2021</v>
      </c>
      <c r="U369" t="s">
        <v>86</v>
      </c>
    </row>
    <row r="370" spans="1:21" x14ac:dyDescent="0.35">
      <c r="A370" s="1">
        <v>44960</v>
      </c>
      <c r="B370" t="s">
        <v>58</v>
      </c>
      <c r="C370" t="s">
        <v>59</v>
      </c>
      <c r="D370" t="s">
        <v>60</v>
      </c>
      <c r="E370">
        <v>57</v>
      </c>
      <c r="F370">
        <v>5</v>
      </c>
      <c r="G370">
        <f t="shared" si="15"/>
        <v>285</v>
      </c>
      <c r="H370">
        <v>3</v>
      </c>
      <c r="I370">
        <f t="shared" si="16"/>
        <v>171</v>
      </c>
      <c r="J370">
        <f t="shared" si="17"/>
        <v>114</v>
      </c>
      <c r="K370" t="s">
        <v>35</v>
      </c>
      <c r="L370" t="s">
        <v>73</v>
      </c>
      <c r="M370" t="s">
        <v>61</v>
      </c>
      <c r="N370" t="s">
        <v>38</v>
      </c>
      <c r="O370">
        <v>848</v>
      </c>
      <c r="P370">
        <v>57</v>
      </c>
      <c r="Q370" t="s">
        <v>70</v>
      </c>
      <c r="R370" t="s">
        <v>71</v>
      </c>
      <c r="S370" t="s">
        <v>72</v>
      </c>
      <c r="T370">
        <v>2021</v>
      </c>
      <c r="U370" t="s">
        <v>31</v>
      </c>
    </row>
    <row r="371" spans="1:21" x14ac:dyDescent="0.35">
      <c r="A371" s="1">
        <v>44961</v>
      </c>
      <c r="B371" t="s">
        <v>98</v>
      </c>
      <c r="C371" t="s">
        <v>99</v>
      </c>
      <c r="D371" t="s">
        <v>100</v>
      </c>
      <c r="E371">
        <v>90</v>
      </c>
      <c r="F371">
        <v>6</v>
      </c>
      <c r="G371">
        <f t="shared" si="15"/>
        <v>540</v>
      </c>
      <c r="H371">
        <v>4</v>
      </c>
      <c r="I371">
        <f t="shared" si="16"/>
        <v>360</v>
      </c>
      <c r="J371">
        <f t="shared" si="17"/>
        <v>180</v>
      </c>
      <c r="K371" t="s">
        <v>42</v>
      </c>
      <c r="L371" t="s">
        <v>36</v>
      </c>
      <c r="M371" t="s">
        <v>37</v>
      </c>
      <c r="N371" t="s">
        <v>38</v>
      </c>
      <c r="O371">
        <v>766</v>
      </c>
      <c r="P371">
        <v>90</v>
      </c>
      <c r="Q371" t="s">
        <v>44</v>
      </c>
      <c r="R371" t="s">
        <v>45</v>
      </c>
      <c r="S371" t="s">
        <v>46</v>
      </c>
      <c r="T371">
        <v>2022</v>
      </c>
      <c r="U371" t="s">
        <v>66</v>
      </c>
    </row>
    <row r="372" spans="1:21" x14ac:dyDescent="0.35">
      <c r="A372" s="1">
        <v>44962</v>
      </c>
      <c r="B372" t="s">
        <v>48</v>
      </c>
      <c r="C372" t="s">
        <v>49</v>
      </c>
      <c r="D372" t="s">
        <v>50</v>
      </c>
      <c r="E372">
        <v>472</v>
      </c>
      <c r="F372">
        <v>150</v>
      </c>
      <c r="G372">
        <f t="shared" si="15"/>
        <v>70800</v>
      </c>
      <c r="H372">
        <v>100</v>
      </c>
      <c r="I372">
        <f t="shared" si="16"/>
        <v>47200</v>
      </c>
      <c r="J372">
        <f t="shared" si="17"/>
        <v>23600</v>
      </c>
      <c r="K372" t="s">
        <v>24</v>
      </c>
      <c r="L372" t="s">
        <v>73</v>
      </c>
      <c r="M372" t="s">
        <v>26</v>
      </c>
      <c r="N372" t="s">
        <v>27</v>
      </c>
      <c r="O372">
        <v>862</v>
      </c>
      <c r="P372">
        <v>472</v>
      </c>
      <c r="Q372" t="s">
        <v>64</v>
      </c>
      <c r="R372" t="s">
        <v>29</v>
      </c>
      <c r="S372" t="s">
        <v>65</v>
      </c>
      <c r="T372">
        <v>2021</v>
      </c>
      <c r="U372" t="s">
        <v>62</v>
      </c>
    </row>
    <row r="373" spans="1:21" x14ac:dyDescent="0.35">
      <c r="A373" s="1">
        <v>44963</v>
      </c>
      <c r="B373" t="s">
        <v>21</v>
      </c>
      <c r="C373" t="s">
        <v>22</v>
      </c>
      <c r="D373" t="s">
        <v>23</v>
      </c>
      <c r="E373">
        <v>63</v>
      </c>
      <c r="F373">
        <v>8</v>
      </c>
      <c r="G373">
        <f t="shared" si="15"/>
        <v>504</v>
      </c>
      <c r="H373">
        <v>5</v>
      </c>
      <c r="I373">
        <f t="shared" si="16"/>
        <v>315</v>
      </c>
      <c r="J373">
        <f t="shared" si="17"/>
        <v>189</v>
      </c>
      <c r="K373" t="s">
        <v>24</v>
      </c>
      <c r="L373" t="s">
        <v>63</v>
      </c>
      <c r="M373" t="s">
        <v>37</v>
      </c>
      <c r="N373" t="s">
        <v>27</v>
      </c>
      <c r="O373">
        <v>848</v>
      </c>
      <c r="P373">
        <v>63</v>
      </c>
      <c r="Q373" t="s">
        <v>113</v>
      </c>
      <c r="R373" t="s">
        <v>114</v>
      </c>
      <c r="S373" t="s">
        <v>115</v>
      </c>
      <c r="T373">
        <v>2020</v>
      </c>
      <c r="U373" t="s">
        <v>62</v>
      </c>
    </row>
    <row r="374" spans="1:21" x14ac:dyDescent="0.35">
      <c r="A374" s="1">
        <v>44964</v>
      </c>
      <c r="B374" t="s">
        <v>21</v>
      </c>
      <c r="C374" t="s">
        <v>22</v>
      </c>
      <c r="D374" t="s">
        <v>23</v>
      </c>
      <c r="E374">
        <v>288</v>
      </c>
      <c r="F374">
        <v>8</v>
      </c>
      <c r="G374">
        <f t="shared" si="15"/>
        <v>2304</v>
      </c>
      <c r="H374">
        <v>5</v>
      </c>
      <c r="I374">
        <f t="shared" si="16"/>
        <v>1440</v>
      </c>
      <c r="J374">
        <f t="shared" si="17"/>
        <v>864</v>
      </c>
      <c r="K374" t="s">
        <v>42</v>
      </c>
      <c r="L374" t="s">
        <v>73</v>
      </c>
      <c r="M374" t="s">
        <v>37</v>
      </c>
      <c r="N374" t="s">
        <v>27</v>
      </c>
      <c r="O374">
        <v>654</v>
      </c>
      <c r="P374">
        <v>288</v>
      </c>
      <c r="Q374" t="s">
        <v>106</v>
      </c>
      <c r="R374" t="s">
        <v>107</v>
      </c>
      <c r="S374" t="s">
        <v>108</v>
      </c>
      <c r="T374">
        <v>2021</v>
      </c>
      <c r="U374" t="s">
        <v>105</v>
      </c>
    </row>
    <row r="375" spans="1:21" x14ac:dyDescent="0.35">
      <c r="A375" s="1">
        <v>44965</v>
      </c>
      <c r="B375" t="s">
        <v>48</v>
      </c>
      <c r="C375" t="s">
        <v>49</v>
      </c>
      <c r="D375" t="s">
        <v>50</v>
      </c>
      <c r="E375">
        <v>467</v>
      </c>
      <c r="F375">
        <v>150</v>
      </c>
      <c r="G375">
        <f t="shared" si="15"/>
        <v>70050</v>
      </c>
      <c r="H375">
        <v>100</v>
      </c>
      <c r="I375">
        <f t="shared" si="16"/>
        <v>46700</v>
      </c>
      <c r="J375">
        <f t="shared" si="17"/>
        <v>23350</v>
      </c>
      <c r="K375" t="s">
        <v>24</v>
      </c>
      <c r="L375" t="s">
        <v>25</v>
      </c>
      <c r="M375" t="s">
        <v>61</v>
      </c>
      <c r="N375" t="s">
        <v>27</v>
      </c>
      <c r="O375">
        <v>695</v>
      </c>
      <c r="P375">
        <v>467</v>
      </c>
      <c r="Q375" t="s">
        <v>64</v>
      </c>
      <c r="R375" t="s">
        <v>29</v>
      </c>
      <c r="S375" t="s">
        <v>65</v>
      </c>
      <c r="T375">
        <v>2022</v>
      </c>
      <c r="U375" t="s">
        <v>109</v>
      </c>
    </row>
    <row r="376" spans="1:21" x14ac:dyDescent="0.35">
      <c r="A376" s="1">
        <v>44966</v>
      </c>
      <c r="B376" t="s">
        <v>80</v>
      </c>
      <c r="C376" t="s">
        <v>81</v>
      </c>
      <c r="D376" t="s">
        <v>82</v>
      </c>
      <c r="E376">
        <v>54</v>
      </c>
      <c r="F376">
        <v>2.5</v>
      </c>
      <c r="G376">
        <f t="shared" si="15"/>
        <v>135</v>
      </c>
      <c r="H376">
        <v>1.5</v>
      </c>
      <c r="I376">
        <f t="shared" si="16"/>
        <v>81</v>
      </c>
      <c r="J376">
        <f t="shared" si="17"/>
        <v>54</v>
      </c>
      <c r="K376" t="s">
        <v>35</v>
      </c>
      <c r="L376" t="s">
        <v>25</v>
      </c>
      <c r="M376" t="s">
        <v>61</v>
      </c>
      <c r="N376" t="s">
        <v>43</v>
      </c>
      <c r="O376">
        <v>989</v>
      </c>
      <c r="P376">
        <v>54</v>
      </c>
      <c r="Q376" t="s">
        <v>74</v>
      </c>
      <c r="R376" t="s">
        <v>75</v>
      </c>
      <c r="S376" t="s">
        <v>76</v>
      </c>
      <c r="T376">
        <v>2022</v>
      </c>
      <c r="U376" t="s">
        <v>96</v>
      </c>
    </row>
    <row r="377" spans="1:21" x14ac:dyDescent="0.35">
      <c r="A377" s="1">
        <v>44967</v>
      </c>
      <c r="B377" t="s">
        <v>21</v>
      </c>
      <c r="C377" t="s">
        <v>22</v>
      </c>
      <c r="D377" t="s">
        <v>23</v>
      </c>
      <c r="E377">
        <v>404</v>
      </c>
      <c r="F377">
        <v>8</v>
      </c>
      <c r="G377">
        <f t="shared" si="15"/>
        <v>3232</v>
      </c>
      <c r="H377">
        <v>5</v>
      </c>
      <c r="I377">
        <f t="shared" si="16"/>
        <v>2020</v>
      </c>
      <c r="J377">
        <f t="shared" si="17"/>
        <v>1212</v>
      </c>
      <c r="K377" t="s">
        <v>42</v>
      </c>
      <c r="L377" t="s">
        <v>63</v>
      </c>
      <c r="M377" t="s">
        <v>61</v>
      </c>
      <c r="N377" t="s">
        <v>43</v>
      </c>
      <c r="O377">
        <v>1000</v>
      </c>
      <c r="P377">
        <v>404</v>
      </c>
      <c r="Q377" t="s">
        <v>106</v>
      </c>
      <c r="R377" t="s">
        <v>107</v>
      </c>
      <c r="S377" t="s">
        <v>108</v>
      </c>
      <c r="T377">
        <v>2022</v>
      </c>
      <c r="U377" t="s">
        <v>97</v>
      </c>
    </row>
    <row r="378" spans="1:21" x14ac:dyDescent="0.35">
      <c r="A378" s="1">
        <v>44968</v>
      </c>
      <c r="B378" t="s">
        <v>98</v>
      </c>
      <c r="C378" t="s">
        <v>99</v>
      </c>
      <c r="D378" t="s">
        <v>100</v>
      </c>
      <c r="E378">
        <v>410</v>
      </c>
      <c r="F378">
        <v>6</v>
      </c>
      <c r="G378">
        <f t="shared" si="15"/>
        <v>2460</v>
      </c>
      <c r="H378">
        <v>4</v>
      </c>
      <c r="I378">
        <f t="shared" si="16"/>
        <v>1640</v>
      </c>
      <c r="J378">
        <f t="shared" si="17"/>
        <v>820</v>
      </c>
      <c r="K378" t="s">
        <v>24</v>
      </c>
      <c r="L378" t="s">
        <v>73</v>
      </c>
      <c r="M378" t="s">
        <v>61</v>
      </c>
      <c r="N378" t="s">
        <v>38</v>
      </c>
      <c r="O378">
        <v>998</v>
      </c>
      <c r="P378">
        <v>410</v>
      </c>
      <c r="Q378" t="s">
        <v>103</v>
      </c>
      <c r="R378" t="s">
        <v>68</v>
      </c>
      <c r="S378" t="s">
        <v>104</v>
      </c>
      <c r="T378">
        <v>2023</v>
      </c>
      <c r="U378" t="s">
        <v>31</v>
      </c>
    </row>
    <row r="379" spans="1:21" x14ac:dyDescent="0.35">
      <c r="A379" s="1">
        <v>44969</v>
      </c>
      <c r="B379" t="s">
        <v>48</v>
      </c>
      <c r="C379" t="s">
        <v>49</v>
      </c>
      <c r="D379" t="s">
        <v>50</v>
      </c>
      <c r="E379">
        <v>187</v>
      </c>
      <c r="F379">
        <v>150</v>
      </c>
      <c r="G379">
        <f t="shared" si="15"/>
        <v>28050</v>
      </c>
      <c r="H379">
        <v>100</v>
      </c>
      <c r="I379">
        <f t="shared" si="16"/>
        <v>18700</v>
      </c>
      <c r="J379">
        <f t="shared" si="17"/>
        <v>9350</v>
      </c>
      <c r="K379" t="s">
        <v>35</v>
      </c>
      <c r="L379" t="s">
        <v>25</v>
      </c>
      <c r="M379" t="s">
        <v>37</v>
      </c>
      <c r="N379" t="s">
        <v>43</v>
      </c>
      <c r="O379">
        <v>716</v>
      </c>
      <c r="P379">
        <v>187</v>
      </c>
      <c r="Q379" t="s">
        <v>67</v>
      </c>
      <c r="R379" t="s">
        <v>68</v>
      </c>
      <c r="S379" t="s">
        <v>69</v>
      </c>
      <c r="T379">
        <v>2021</v>
      </c>
      <c r="U379" t="s">
        <v>31</v>
      </c>
    </row>
    <row r="380" spans="1:21" x14ac:dyDescent="0.35">
      <c r="A380" s="1">
        <v>44970</v>
      </c>
      <c r="B380" t="s">
        <v>98</v>
      </c>
      <c r="C380" t="s">
        <v>99</v>
      </c>
      <c r="D380" t="s">
        <v>100</v>
      </c>
      <c r="E380">
        <v>485</v>
      </c>
      <c r="F380">
        <v>6</v>
      </c>
      <c r="G380">
        <f t="shared" si="15"/>
        <v>2910</v>
      </c>
      <c r="H380">
        <v>4</v>
      </c>
      <c r="I380">
        <f t="shared" si="16"/>
        <v>1940</v>
      </c>
      <c r="J380">
        <f t="shared" si="17"/>
        <v>970</v>
      </c>
      <c r="K380" t="s">
        <v>24</v>
      </c>
      <c r="L380" t="s">
        <v>36</v>
      </c>
      <c r="M380" t="s">
        <v>37</v>
      </c>
      <c r="N380" t="s">
        <v>27</v>
      </c>
      <c r="O380">
        <v>660</v>
      </c>
      <c r="P380">
        <v>485</v>
      </c>
      <c r="Q380" t="s">
        <v>51</v>
      </c>
      <c r="R380" t="s">
        <v>45</v>
      </c>
      <c r="S380" t="s">
        <v>52</v>
      </c>
      <c r="T380">
        <v>2022</v>
      </c>
      <c r="U380" t="s">
        <v>66</v>
      </c>
    </row>
    <row r="381" spans="1:21" x14ac:dyDescent="0.35">
      <c r="A381" s="1">
        <v>44971</v>
      </c>
      <c r="B381" t="s">
        <v>98</v>
      </c>
      <c r="C381" t="s">
        <v>99</v>
      </c>
      <c r="D381" t="s">
        <v>100</v>
      </c>
      <c r="E381">
        <v>185</v>
      </c>
      <c r="F381">
        <v>6</v>
      </c>
      <c r="G381">
        <f t="shared" si="15"/>
        <v>1110</v>
      </c>
      <c r="H381">
        <v>4</v>
      </c>
      <c r="I381">
        <f t="shared" si="16"/>
        <v>740</v>
      </c>
      <c r="J381">
        <f t="shared" si="17"/>
        <v>370</v>
      </c>
      <c r="K381" t="s">
        <v>24</v>
      </c>
      <c r="L381" t="s">
        <v>63</v>
      </c>
      <c r="M381" t="s">
        <v>37</v>
      </c>
      <c r="N381" t="s">
        <v>43</v>
      </c>
      <c r="O381">
        <v>792</v>
      </c>
      <c r="P381">
        <v>185</v>
      </c>
      <c r="Q381" t="s">
        <v>110</v>
      </c>
      <c r="R381" t="s">
        <v>111</v>
      </c>
      <c r="S381" t="s">
        <v>112</v>
      </c>
      <c r="T381">
        <v>2021</v>
      </c>
      <c r="U381" t="s">
        <v>91</v>
      </c>
    </row>
    <row r="382" spans="1:21" x14ac:dyDescent="0.35">
      <c r="A382" s="1">
        <v>44972</v>
      </c>
      <c r="B382" t="s">
        <v>32</v>
      </c>
      <c r="C382" t="s">
        <v>33</v>
      </c>
      <c r="D382" t="s">
        <v>34</v>
      </c>
      <c r="E382">
        <v>351</v>
      </c>
      <c r="F382">
        <v>20</v>
      </c>
      <c r="G382">
        <f t="shared" si="15"/>
        <v>7020</v>
      </c>
      <c r="H382">
        <v>12</v>
      </c>
      <c r="I382">
        <f t="shared" si="16"/>
        <v>4212</v>
      </c>
      <c r="J382">
        <f t="shared" si="17"/>
        <v>2808</v>
      </c>
      <c r="K382" t="s">
        <v>35</v>
      </c>
      <c r="L382" t="s">
        <v>63</v>
      </c>
      <c r="M382" t="s">
        <v>26</v>
      </c>
      <c r="N382" t="s">
        <v>27</v>
      </c>
      <c r="O382">
        <v>975</v>
      </c>
      <c r="P382">
        <v>351</v>
      </c>
      <c r="Q382" t="s">
        <v>92</v>
      </c>
      <c r="R382" t="s">
        <v>45</v>
      </c>
      <c r="S382" t="s">
        <v>93</v>
      </c>
      <c r="T382">
        <v>2023</v>
      </c>
      <c r="U382" t="s">
        <v>53</v>
      </c>
    </row>
    <row r="383" spans="1:21" x14ac:dyDescent="0.35">
      <c r="A383" s="1">
        <v>44973</v>
      </c>
      <c r="B383" t="s">
        <v>80</v>
      </c>
      <c r="C383" t="s">
        <v>81</v>
      </c>
      <c r="D383" t="s">
        <v>82</v>
      </c>
      <c r="E383">
        <v>459</v>
      </c>
      <c r="F383">
        <v>2.5</v>
      </c>
      <c r="G383">
        <f t="shared" si="15"/>
        <v>1147.5</v>
      </c>
      <c r="H383">
        <v>1.5</v>
      </c>
      <c r="I383">
        <f t="shared" si="16"/>
        <v>688.5</v>
      </c>
      <c r="J383">
        <f t="shared" si="17"/>
        <v>459</v>
      </c>
      <c r="K383" t="s">
        <v>35</v>
      </c>
      <c r="L383" t="s">
        <v>73</v>
      </c>
      <c r="M383" t="s">
        <v>26</v>
      </c>
      <c r="N383" t="s">
        <v>38</v>
      </c>
      <c r="O383">
        <v>866</v>
      </c>
      <c r="P383">
        <v>459</v>
      </c>
      <c r="Q383" t="s">
        <v>44</v>
      </c>
      <c r="R383" t="s">
        <v>45</v>
      </c>
      <c r="S383" t="s">
        <v>46</v>
      </c>
      <c r="T383">
        <v>2023</v>
      </c>
      <c r="U383" t="s">
        <v>109</v>
      </c>
    </row>
    <row r="384" spans="1:21" x14ac:dyDescent="0.35">
      <c r="A384" s="1">
        <v>44974</v>
      </c>
      <c r="B384" t="s">
        <v>98</v>
      </c>
      <c r="C384" t="s">
        <v>99</v>
      </c>
      <c r="D384" t="s">
        <v>100</v>
      </c>
      <c r="E384">
        <v>147</v>
      </c>
      <c r="F384">
        <v>6</v>
      </c>
      <c r="G384">
        <f t="shared" si="15"/>
        <v>882</v>
      </c>
      <c r="H384">
        <v>4</v>
      </c>
      <c r="I384">
        <f t="shared" si="16"/>
        <v>588</v>
      </c>
      <c r="J384">
        <f t="shared" si="17"/>
        <v>294</v>
      </c>
      <c r="K384" t="s">
        <v>24</v>
      </c>
      <c r="L384" t="s">
        <v>36</v>
      </c>
      <c r="M384" t="s">
        <v>37</v>
      </c>
      <c r="N384" t="s">
        <v>38</v>
      </c>
      <c r="O384">
        <v>715</v>
      </c>
      <c r="P384">
        <v>147</v>
      </c>
      <c r="Q384" t="s">
        <v>110</v>
      </c>
      <c r="R384" t="s">
        <v>111</v>
      </c>
      <c r="S384" t="s">
        <v>112</v>
      </c>
      <c r="T384">
        <v>2020</v>
      </c>
      <c r="U384" t="s">
        <v>57</v>
      </c>
    </row>
    <row r="385" spans="1:21" x14ac:dyDescent="0.35">
      <c r="A385" s="1">
        <v>44975</v>
      </c>
      <c r="B385" t="s">
        <v>58</v>
      </c>
      <c r="C385" t="s">
        <v>59</v>
      </c>
      <c r="D385" t="s">
        <v>60</v>
      </c>
      <c r="E385">
        <v>427</v>
      </c>
      <c r="F385">
        <v>5</v>
      </c>
      <c r="G385">
        <f t="shared" si="15"/>
        <v>2135</v>
      </c>
      <c r="H385">
        <v>3</v>
      </c>
      <c r="I385">
        <f t="shared" si="16"/>
        <v>1281</v>
      </c>
      <c r="J385">
        <f t="shared" si="17"/>
        <v>854</v>
      </c>
      <c r="K385" t="s">
        <v>35</v>
      </c>
      <c r="L385" t="s">
        <v>73</v>
      </c>
      <c r="M385" t="s">
        <v>26</v>
      </c>
      <c r="N385" t="s">
        <v>38</v>
      </c>
      <c r="O385">
        <v>733</v>
      </c>
      <c r="P385">
        <v>427</v>
      </c>
      <c r="Q385" t="s">
        <v>70</v>
      </c>
      <c r="R385" t="s">
        <v>71</v>
      </c>
      <c r="S385" t="s">
        <v>72</v>
      </c>
      <c r="T385">
        <v>2023</v>
      </c>
      <c r="U385" t="s">
        <v>31</v>
      </c>
    </row>
    <row r="386" spans="1:21" x14ac:dyDescent="0.35">
      <c r="A386" s="1">
        <v>44976</v>
      </c>
      <c r="B386" t="s">
        <v>21</v>
      </c>
      <c r="C386" t="s">
        <v>22</v>
      </c>
      <c r="D386" t="s">
        <v>23</v>
      </c>
      <c r="E386">
        <v>326</v>
      </c>
      <c r="F386">
        <v>8</v>
      </c>
      <c r="G386">
        <f t="shared" si="15"/>
        <v>2608</v>
      </c>
      <c r="H386">
        <v>5</v>
      </c>
      <c r="I386">
        <f t="shared" si="16"/>
        <v>1630</v>
      </c>
      <c r="J386">
        <f t="shared" si="17"/>
        <v>978</v>
      </c>
      <c r="K386" t="s">
        <v>35</v>
      </c>
      <c r="L386" t="s">
        <v>73</v>
      </c>
      <c r="M386" t="s">
        <v>26</v>
      </c>
      <c r="N386" t="s">
        <v>43</v>
      </c>
      <c r="O386">
        <v>573</v>
      </c>
      <c r="P386">
        <v>326</v>
      </c>
      <c r="Q386" t="s">
        <v>103</v>
      </c>
      <c r="R386" t="s">
        <v>68</v>
      </c>
      <c r="S386" t="s">
        <v>104</v>
      </c>
      <c r="T386">
        <v>2020</v>
      </c>
      <c r="U386" t="s">
        <v>31</v>
      </c>
    </row>
    <row r="387" spans="1:21" x14ac:dyDescent="0.35">
      <c r="A387" s="1">
        <v>44977</v>
      </c>
      <c r="B387" t="s">
        <v>48</v>
      </c>
      <c r="C387" t="s">
        <v>49</v>
      </c>
      <c r="D387" t="s">
        <v>50</v>
      </c>
      <c r="E387">
        <v>396</v>
      </c>
      <c r="F387">
        <v>150</v>
      </c>
      <c r="G387">
        <f t="shared" ref="G387:G450" si="18">E387*F387</f>
        <v>59400</v>
      </c>
      <c r="H387">
        <v>100</v>
      </c>
      <c r="I387">
        <f t="shared" ref="I387:I450" si="19">E387*H387</f>
        <v>39600</v>
      </c>
      <c r="J387">
        <f t="shared" ref="J387:J450" si="20">G387-I387</f>
        <v>19800</v>
      </c>
      <c r="K387" t="s">
        <v>42</v>
      </c>
      <c r="L387" t="s">
        <v>36</v>
      </c>
      <c r="M387" t="s">
        <v>37</v>
      </c>
      <c r="N387" t="s">
        <v>38</v>
      </c>
      <c r="O387">
        <v>516</v>
      </c>
      <c r="P387">
        <v>396</v>
      </c>
      <c r="Q387" t="s">
        <v>83</v>
      </c>
      <c r="R387" t="s">
        <v>84</v>
      </c>
      <c r="S387" t="s">
        <v>85</v>
      </c>
      <c r="T387">
        <v>2024</v>
      </c>
      <c r="U387" t="s">
        <v>105</v>
      </c>
    </row>
    <row r="388" spans="1:21" x14ac:dyDescent="0.35">
      <c r="A388" s="1">
        <v>44978</v>
      </c>
      <c r="B388" t="s">
        <v>80</v>
      </c>
      <c r="C388" t="s">
        <v>81</v>
      </c>
      <c r="D388" t="s">
        <v>82</v>
      </c>
      <c r="E388">
        <v>62</v>
      </c>
      <c r="F388">
        <v>2.5</v>
      </c>
      <c r="G388">
        <f t="shared" si="18"/>
        <v>155</v>
      </c>
      <c r="H388">
        <v>1.5</v>
      </c>
      <c r="I388">
        <f t="shared" si="19"/>
        <v>93</v>
      </c>
      <c r="J388">
        <f t="shared" si="20"/>
        <v>62</v>
      </c>
      <c r="K388" t="s">
        <v>35</v>
      </c>
      <c r="L388" t="s">
        <v>73</v>
      </c>
      <c r="M388" t="s">
        <v>37</v>
      </c>
      <c r="N388" t="s">
        <v>27</v>
      </c>
      <c r="O388">
        <v>871</v>
      </c>
      <c r="P388">
        <v>62</v>
      </c>
      <c r="Q388" t="s">
        <v>87</v>
      </c>
      <c r="R388" t="s">
        <v>88</v>
      </c>
      <c r="S388" t="s">
        <v>89</v>
      </c>
      <c r="T388">
        <v>2024</v>
      </c>
      <c r="U388" t="s">
        <v>66</v>
      </c>
    </row>
    <row r="389" spans="1:21" x14ac:dyDescent="0.35">
      <c r="A389" s="1">
        <v>44979</v>
      </c>
      <c r="B389" t="s">
        <v>48</v>
      </c>
      <c r="C389" t="s">
        <v>49</v>
      </c>
      <c r="D389" t="s">
        <v>50</v>
      </c>
      <c r="E389">
        <v>446</v>
      </c>
      <c r="F389">
        <v>150</v>
      </c>
      <c r="G389">
        <f t="shared" si="18"/>
        <v>66900</v>
      </c>
      <c r="H389">
        <v>100</v>
      </c>
      <c r="I389">
        <f t="shared" si="19"/>
        <v>44600</v>
      </c>
      <c r="J389">
        <f t="shared" si="20"/>
        <v>22300</v>
      </c>
      <c r="K389" t="s">
        <v>24</v>
      </c>
      <c r="L389" t="s">
        <v>73</v>
      </c>
      <c r="M389" t="s">
        <v>26</v>
      </c>
      <c r="N389" t="s">
        <v>27</v>
      </c>
      <c r="O389">
        <v>752</v>
      </c>
      <c r="P389">
        <v>446</v>
      </c>
      <c r="Q389" t="s">
        <v>83</v>
      </c>
      <c r="R389" t="s">
        <v>84</v>
      </c>
      <c r="S389" t="s">
        <v>85</v>
      </c>
      <c r="T389">
        <v>2021</v>
      </c>
      <c r="U389" t="s">
        <v>97</v>
      </c>
    </row>
    <row r="390" spans="1:21" x14ac:dyDescent="0.35">
      <c r="A390" s="1">
        <v>44980</v>
      </c>
      <c r="B390" t="s">
        <v>80</v>
      </c>
      <c r="C390" t="s">
        <v>81</v>
      </c>
      <c r="D390" t="s">
        <v>82</v>
      </c>
      <c r="E390">
        <v>193</v>
      </c>
      <c r="F390">
        <v>2.5</v>
      </c>
      <c r="G390">
        <f t="shared" si="18"/>
        <v>482.5</v>
      </c>
      <c r="H390">
        <v>1.5</v>
      </c>
      <c r="I390">
        <f t="shared" si="19"/>
        <v>289.5</v>
      </c>
      <c r="J390">
        <f t="shared" si="20"/>
        <v>193</v>
      </c>
      <c r="K390" t="s">
        <v>35</v>
      </c>
      <c r="L390" t="s">
        <v>36</v>
      </c>
      <c r="M390" t="s">
        <v>61</v>
      </c>
      <c r="N390" t="s">
        <v>38</v>
      </c>
      <c r="O390">
        <v>655</v>
      </c>
      <c r="P390">
        <v>193</v>
      </c>
      <c r="Q390" t="s">
        <v>64</v>
      </c>
      <c r="R390" t="s">
        <v>29</v>
      </c>
      <c r="S390" t="s">
        <v>65</v>
      </c>
      <c r="T390">
        <v>2023</v>
      </c>
      <c r="U390" t="s">
        <v>62</v>
      </c>
    </row>
    <row r="391" spans="1:21" x14ac:dyDescent="0.35">
      <c r="A391" s="1">
        <v>44981</v>
      </c>
      <c r="B391" t="s">
        <v>58</v>
      </c>
      <c r="C391" t="s">
        <v>59</v>
      </c>
      <c r="D391" t="s">
        <v>60</v>
      </c>
      <c r="E391">
        <v>490</v>
      </c>
      <c r="F391">
        <v>5</v>
      </c>
      <c r="G391">
        <f t="shared" si="18"/>
        <v>2450</v>
      </c>
      <c r="H391">
        <v>3</v>
      </c>
      <c r="I391">
        <f t="shared" si="19"/>
        <v>1470</v>
      </c>
      <c r="J391">
        <f t="shared" si="20"/>
        <v>980</v>
      </c>
      <c r="K391" t="s">
        <v>42</v>
      </c>
      <c r="L391" t="s">
        <v>36</v>
      </c>
      <c r="M391" t="s">
        <v>26</v>
      </c>
      <c r="N391" t="s">
        <v>38</v>
      </c>
      <c r="O391">
        <v>609</v>
      </c>
      <c r="P391">
        <v>490</v>
      </c>
      <c r="Q391" t="s">
        <v>77</v>
      </c>
      <c r="R391" t="s">
        <v>78</v>
      </c>
      <c r="S391" t="s">
        <v>79</v>
      </c>
      <c r="T391">
        <v>2023</v>
      </c>
      <c r="U391" t="s">
        <v>96</v>
      </c>
    </row>
    <row r="392" spans="1:21" x14ac:dyDescent="0.35">
      <c r="A392" s="1">
        <v>44982</v>
      </c>
      <c r="B392" t="s">
        <v>21</v>
      </c>
      <c r="C392" t="s">
        <v>22</v>
      </c>
      <c r="D392" t="s">
        <v>23</v>
      </c>
      <c r="E392">
        <v>419</v>
      </c>
      <c r="F392">
        <v>8</v>
      </c>
      <c r="G392">
        <f t="shared" si="18"/>
        <v>3352</v>
      </c>
      <c r="H392">
        <v>5</v>
      </c>
      <c r="I392">
        <f t="shared" si="19"/>
        <v>2095</v>
      </c>
      <c r="J392">
        <f t="shared" si="20"/>
        <v>1257</v>
      </c>
      <c r="K392" t="s">
        <v>35</v>
      </c>
      <c r="L392" t="s">
        <v>63</v>
      </c>
      <c r="M392" t="s">
        <v>37</v>
      </c>
      <c r="N392" t="s">
        <v>27</v>
      </c>
      <c r="O392">
        <v>609</v>
      </c>
      <c r="P392">
        <v>419</v>
      </c>
      <c r="Q392" t="s">
        <v>83</v>
      </c>
      <c r="R392" t="s">
        <v>84</v>
      </c>
      <c r="S392" t="s">
        <v>85</v>
      </c>
      <c r="T392">
        <v>2020</v>
      </c>
      <c r="U392" t="s">
        <v>91</v>
      </c>
    </row>
    <row r="393" spans="1:21" x14ac:dyDescent="0.35">
      <c r="A393" s="1">
        <v>44983</v>
      </c>
      <c r="B393" t="s">
        <v>21</v>
      </c>
      <c r="C393" t="s">
        <v>22</v>
      </c>
      <c r="D393" t="s">
        <v>23</v>
      </c>
      <c r="E393">
        <v>79</v>
      </c>
      <c r="F393">
        <v>8</v>
      </c>
      <c r="G393">
        <f t="shared" si="18"/>
        <v>632</v>
      </c>
      <c r="H393">
        <v>5</v>
      </c>
      <c r="I393">
        <f t="shared" si="19"/>
        <v>395</v>
      </c>
      <c r="J393">
        <f t="shared" si="20"/>
        <v>237</v>
      </c>
      <c r="K393" t="s">
        <v>24</v>
      </c>
      <c r="L393" t="s">
        <v>36</v>
      </c>
      <c r="M393" t="s">
        <v>37</v>
      </c>
      <c r="N393" t="s">
        <v>38</v>
      </c>
      <c r="O393">
        <v>824</v>
      </c>
      <c r="P393">
        <v>79</v>
      </c>
      <c r="Q393" t="s">
        <v>103</v>
      </c>
      <c r="R393" t="s">
        <v>68</v>
      </c>
      <c r="S393" t="s">
        <v>104</v>
      </c>
      <c r="T393">
        <v>2022</v>
      </c>
      <c r="U393" t="s">
        <v>31</v>
      </c>
    </row>
    <row r="394" spans="1:21" x14ac:dyDescent="0.35">
      <c r="A394" s="1">
        <v>44984</v>
      </c>
      <c r="B394" t="s">
        <v>32</v>
      </c>
      <c r="C394" t="s">
        <v>33</v>
      </c>
      <c r="D394" t="s">
        <v>34</v>
      </c>
      <c r="E394">
        <v>374</v>
      </c>
      <c r="F394">
        <v>20</v>
      </c>
      <c r="G394">
        <f t="shared" si="18"/>
        <v>7480</v>
      </c>
      <c r="H394">
        <v>12</v>
      </c>
      <c r="I394">
        <f t="shared" si="19"/>
        <v>4488</v>
      </c>
      <c r="J394">
        <f t="shared" si="20"/>
        <v>2992</v>
      </c>
      <c r="K394" t="s">
        <v>24</v>
      </c>
      <c r="L394" t="s">
        <v>36</v>
      </c>
      <c r="M394" t="s">
        <v>61</v>
      </c>
      <c r="N394" t="s">
        <v>27</v>
      </c>
      <c r="O394">
        <v>803</v>
      </c>
      <c r="P394">
        <v>374</v>
      </c>
      <c r="Q394" t="s">
        <v>90</v>
      </c>
      <c r="R394" t="s">
        <v>55</v>
      </c>
      <c r="S394" t="s">
        <v>85</v>
      </c>
      <c r="T394">
        <v>2020</v>
      </c>
      <c r="U394" t="s">
        <v>47</v>
      </c>
    </row>
    <row r="395" spans="1:21" x14ac:dyDescent="0.35">
      <c r="A395" s="1">
        <v>44985</v>
      </c>
      <c r="B395" t="s">
        <v>48</v>
      </c>
      <c r="C395" t="s">
        <v>49</v>
      </c>
      <c r="D395" t="s">
        <v>50</v>
      </c>
      <c r="E395">
        <v>165</v>
      </c>
      <c r="F395">
        <v>150</v>
      </c>
      <c r="G395">
        <f t="shared" si="18"/>
        <v>24750</v>
      </c>
      <c r="H395">
        <v>100</v>
      </c>
      <c r="I395">
        <f t="shared" si="19"/>
        <v>16500</v>
      </c>
      <c r="J395">
        <f t="shared" si="20"/>
        <v>8250</v>
      </c>
      <c r="K395" t="s">
        <v>42</v>
      </c>
      <c r="L395" t="s">
        <v>36</v>
      </c>
      <c r="M395" t="s">
        <v>26</v>
      </c>
      <c r="N395" t="s">
        <v>38</v>
      </c>
      <c r="O395">
        <v>591</v>
      </c>
      <c r="P395">
        <v>165</v>
      </c>
      <c r="Q395" t="s">
        <v>103</v>
      </c>
      <c r="R395" t="s">
        <v>68</v>
      </c>
      <c r="S395" t="s">
        <v>104</v>
      </c>
      <c r="T395">
        <v>2024</v>
      </c>
      <c r="U395" t="s">
        <v>91</v>
      </c>
    </row>
    <row r="396" spans="1:21" x14ac:dyDescent="0.35">
      <c r="A396" s="1">
        <v>44986</v>
      </c>
      <c r="B396" t="s">
        <v>32</v>
      </c>
      <c r="C396" t="s">
        <v>33</v>
      </c>
      <c r="D396" t="s">
        <v>34</v>
      </c>
      <c r="E396">
        <v>483</v>
      </c>
      <c r="F396">
        <v>20</v>
      </c>
      <c r="G396">
        <f t="shared" si="18"/>
        <v>9660</v>
      </c>
      <c r="H396">
        <v>12</v>
      </c>
      <c r="I396">
        <f t="shared" si="19"/>
        <v>5796</v>
      </c>
      <c r="J396">
        <f t="shared" si="20"/>
        <v>3864</v>
      </c>
      <c r="K396" t="s">
        <v>24</v>
      </c>
      <c r="L396" t="s">
        <v>36</v>
      </c>
      <c r="M396" t="s">
        <v>37</v>
      </c>
      <c r="N396" t="s">
        <v>38</v>
      </c>
      <c r="O396">
        <v>641</v>
      </c>
      <c r="P396">
        <v>483</v>
      </c>
      <c r="Q396" t="s">
        <v>83</v>
      </c>
      <c r="R396" t="s">
        <v>84</v>
      </c>
      <c r="S396" t="s">
        <v>85</v>
      </c>
      <c r="T396">
        <v>2024</v>
      </c>
      <c r="U396" t="s">
        <v>53</v>
      </c>
    </row>
    <row r="397" spans="1:21" x14ac:dyDescent="0.35">
      <c r="A397" s="1">
        <v>44987</v>
      </c>
      <c r="B397" t="s">
        <v>98</v>
      </c>
      <c r="C397" t="s">
        <v>99</v>
      </c>
      <c r="D397" t="s">
        <v>100</v>
      </c>
      <c r="E397">
        <v>310</v>
      </c>
      <c r="F397">
        <v>6</v>
      </c>
      <c r="G397">
        <f t="shared" si="18"/>
        <v>1860</v>
      </c>
      <c r="H397">
        <v>4</v>
      </c>
      <c r="I397">
        <f t="shared" si="19"/>
        <v>1240</v>
      </c>
      <c r="J397">
        <f t="shared" si="20"/>
        <v>620</v>
      </c>
      <c r="K397" t="s">
        <v>42</v>
      </c>
      <c r="L397" t="s">
        <v>73</v>
      </c>
      <c r="M397" t="s">
        <v>61</v>
      </c>
      <c r="N397" t="s">
        <v>27</v>
      </c>
      <c r="O397">
        <v>844</v>
      </c>
      <c r="P397">
        <v>310</v>
      </c>
      <c r="Q397" t="s">
        <v>106</v>
      </c>
      <c r="R397" t="s">
        <v>107</v>
      </c>
      <c r="S397" t="s">
        <v>108</v>
      </c>
      <c r="T397">
        <v>2020</v>
      </c>
      <c r="U397" t="s">
        <v>91</v>
      </c>
    </row>
    <row r="398" spans="1:21" x14ac:dyDescent="0.35">
      <c r="A398" s="1">
        <v>44988</v>
      </c>
      <c r="B398" t="s">
        <v>32</v>
      </c>
      <c r="C398" t="s">
        <v>33</v>
      </c>
      <c r="D398" t="s">
        <v>34</v>
      </c>
      <c r="E398">
        <v>214</v>
      </c>
      <c r="F398">
        <v>20</v>
      </c>
      <c r="G398">
        <f t="shared" si="18"/>
        <v>4280</v>
      </c>
      <c r="H398">
        <v>12</v>
      </c>
      <c r="I398">
        <f t="shared" si="19"/>
        <v>2568</v>
      </c>
      <c r="J398">
        <f t="shared" si="20"/>
        <v>1712</v>
      </c>
      <c r="K398" t="s">
        <v>42</v>
      </c>
      <c r="L398" t="s">
        <v>25</v>
      </c>
      <c r="M398" t="s">
        <v>61</v>
      </c>
      <c r="N398" t="s">
        <v>43</v>
      </c>
      <c r="O398">
        <v>774</v>
      </c>
      <c r="P398">
        <v>214</v>
      </c>
      <c r="Q398" t="s">
        <v>110</v>
      </c>
      <c r="R398" t="s">
        <v>111</v>
      </c>
      <c r="S398" t="s">
        <v>112</v>
      </c>
      <c r="T398">
        <v>2023</v>
      </c>
      <c r="U398" t="s">
        <v>86</v>
      </c>
    </row>
    <row r="399" spans="1:21" x14ac:dyDescent="0.35">
      <c r="A399" s="1">
        <v>44989</v>
      </c>
      <c r="B399" t="s">
        <v>58</v>
      </c>
      <c r="C399" t="s">
        <v>59</v>
      </c>
      <c r="D399" t="s">
        <v>60</v>
      </c>
      <c r="E399">
        <v>363</v>
      </c>
      <c r="F399">
        <v>5</v>
      </c>
      <c r="G399">
        <f t="shared" si="18"/>
        <v>1815</v>
      </c>
      <c r="H399">
        <v>3</v>
      </c>
      <c r="I399">
        <f t="shared" si="19"/>
        <v>1089</v>
      </c>
      <c r="J399">
        <f t="shared" si="20"/>
        <v>726</v>
      </c>
      <c r="K399" t="s">
        <v>42</v>
      </c>
      <c r="L399" t="s">
        <v>36</v>
      </c>
      <c r="M399" t="s">
        <v>61</v>
      </c>
      <c r="N399" t="s">
        <v>38</v>
      </c>
      <c r="O399">
        <v>810</v>
      </c>
      <c r="P399">
        <v>363</v>
      </c>
      <c r="Q399" t="s">
        <v>70</v>
      </c>
      <c r="R399" t="s">
        <v>71</v>
      </c>
      <c r="S399" t="s">
        <v>72</v>
      </c>
      <c r="T399">
        <v>2020</v>
      </c>
      <c r="U399" t="s">
        <v>109</v>
      </c>
    </row>
    <row r="400" spans="1:21" x14ac:dyDescent="0.35">
      <c r="A400" s="1">
        <v>44990</v>
      </c>
      <c r="B400" t="s">
        <v>98</v>
      </c>
      <c r="C400" t="s">
        <v>99</v>
      </c>
      <c r="D400" t="s">
        <v>100</v>
      </c>
      <c r="E400">
        <v>83</v>
      </c>
      <c r="F400">
        <v>6</v>
      </c>
      <c r="G400">
        <f t="shared" si="18"/>
        <v>498</v>
      </c>
      <c r="H400">
        <v>4</v>
      </c>
      <c r="I400">
        <f t="shared" si="19"/>
        <v>332</v>
      </c>
      <c r="J400">
        <f t="shared" si="20"/>
        <v>166</v>
      </c>
      <c r="K400" t="s">
        <v>24</v>
      </c>
      <c r="L400" t="s">
        <v>25</v>
      </c>
      <c r="M400" t="s">
        <v>61</v>
      </c>
      <c r="N400" t="s">
        <v>27</v>
      </c>
      <c r="O400">
        <v>582</v>
      </c>
      <c r="P400">
        <v>83</v>
      </c>
      <c r="Q400" t="s">
        <v>64</v>
      </c>
      <c r="R400" t="s">
        <v>29</v>
      </c>
      <c r="S400" t="s">
        <v>65</v>
      </c>
      <c r="T400">
        <v>2023</v>
      </c>
      <c r="U400" t="s">
        <v>53</v>
      </c>
    </row>
    <row r="401" spans="1:21" x14ac:dyDescent="0.35">
      <c r="A401" s="1">
        <v>44991</v>
      </c>
      <c r="B401" t="s">
        <v>48</v>
      </c>
      <c r="C401" t="s">
        <v>49</v>
      </c>
      <c r="D401" t="s">
        <v>50</v>
      </c>
      <c r="E401">
        <v>91</v>
      </c>
      <c r="F401">
        <v>150</v>
      </c>
      <c r="G401">
        <f t="shared" si="18"/>
        <v>13650</v>
      </c>
      <c r="H401">
        <v>100</v>
      </c>
      <c r="I401">
        <f t="shared" si="19"/>
        <v>9100</v>
      </c>
      <c r="J401">
        <f t="shared" si="20"/>
        <v>4550</v>
      </c>
      <c r="K401" t="s">
        <v>24</v>
      </c>
      <c r="L401" t="s">
        <v>63</v>
      </c>
      <c r="M401" t="s">
        <v>37</v>
      </c>
      <c r="N401" t="s">
        <v>38</v>
      </c>
      <c r="O401">
        <v>878</v>
      </c>
      <c r="P401">
        <v>91</v>
      </c>
      <c r="Q401" t="s">
        <v>110</v>
      </c>
      <c r="R401" t="s">
        <v>111</v>
      </c>
      <c r="S401" t="s">
        <v>112</v>
      </c>
      <c r="T401">
        <v>2024</v>
      </c>
      <c r="U401" t="s">
        <v>105</v>
      </c>
    </row>
    <row r="402" spans="1:21" x14ac:dyDescent="0.35">
      <c r="A402" s="1">
        <v>44992</v>
      </c>
      <c r="B402" t="s">
        <v>58</v>
      </c>
      <c r="C402" t="s">
        <v>59</v>
      </c>
      <c r="D402" t="s">
        <v>60</v>
      </c>
      <c r="E402">
        <v>184</v>
      </c>
      <c r="F402">
        <v>5</v>
      </c>
      <c r="G402">
        <f t="shared" si="18"/>
        <v>920</v>
      </c>
      <c r="H402">
        <v>3</v>
      </c>
      <c r="I402">
        <f t="shared" si="19"/>
        <v>552</v>
      </c>
      <c r="J402">
        <f t="shared" si="20"/>
        <v>368</v>
      </c>
      <c r="K402" t="s">
        <v>35</v>
      </c>
      <c r="L402" t="s">
        <v>73</v>
      </c>
      <c r="M402" t="s">
        <v>61</v>
      </c>
      <c r="N402" t="s">
        <v>43</v>
      </c>
      <c r="O402">
        <v>791</v>
      </c>
      <c r="P402">
        <v>184</v>
      </c>
      <c r="Q402" t="s">
        <v>64</v>
      </c>
      <c r="R402" t="s">
        <v>29</v>
      </c>
      <c r="S402" t="s">
        <v>65</v>
      </c>
      <c r="T402">
        <v>2020</v>
      </c>
      <c r="U402" t="s">
        <v>53</v>
      </c>
    </row>
    <row r="403" spans="1:21" x14ac:dyDescent="0.35">
      <c r="A403" s="1">
        <v>44993</v>
      </c>
      <c r="B403" t="s">
        <v>98</v>
      </c>
      <c r="C403" t="s">
        <v>99</v>
      </c>
      <c r="D403" t="s">
        <v>100</v>
      </c>
      <c r="E403">
        <v>11</v>
      </c>
      <c r="F403">
        <v>6</v>
      </c>
      <c r="G403">
        <f t="shared" si="18"/>
        <v>66</v>
      </c>
      <c r="H403">
        <v>4</v>
      </c>
      <c r="I403">
        <f t="shared" si="19"/>
        <v>44</v>
      </c>
      <c r="J403">
        <f t="shared" si="20"/>
        <v>22</v>
      </c>
      <c r="K403" t="s">
        <v>24</v>
      </c>
      <c r="L403" t="s">
        <v>36</v>
      </c>
      <c r="M403" t="s">
        <v>26</v>
      </c>
      <c r="N403" t="s">
        <v>43</v>
      </c>
      <c r="O403">
        <v>859</v>
      </c>
      <c r="P403">
        <v>11</v>
      </c>
      <c r="Q403" t="s">
        <v>101</v>
      </c>
      <c r="R403" t="s">
        <v>101</v>
      </c>
      <c r="S403" t="s">
        <v>102</v>
      </c>
      <c r="T403">
        <v>2023</v>
      </c>
      <c r="U403" t="s">
        <v>62</v>
      </c>
    </row>
    <row r="404" spans="1:21" x14ac:dyDescent="0.35">
      <c r="A404" s="1">
        <v>44994</v>
      </c>
      <c r="B404" t="s">
        <v>98</v>
      </c>
      <c r="C404" t="s">
        <v>99</v>
      </c>
      <c r="D404" t="s">
        <v>100</v>
      </c>
      <c r="E404">
        <v>119</v>
      </c>
      <c r="F404">
        <v>6</v>
      </c>
      <c r="G404">
        <f t="shared" si="18"/>
        <v>714</v>
      </c>
      <c r="H404">
        <v>4</v>
      </c>
      <c r="I404">
        <f t="shared" si="19"/>
        <v>476</v>
      </c>
      <c r="J404">
        <f t="shared" si="20"/>
        <v>238</v>
      </c>
      <c r="K404" t="s">
        <v>42</v>
      </c>
      <c r="L404" t="s">
        <v>73</v>
      </c>
      <c r="M404" t="s">
        <v>61</v>
      </c>
      <c r="N404" t="s">
        <v>38</v>
      </c>
      <c r="O404">
        <v>966</v>
      </c>
      <c r="P404">
        <v>119</v>
      </c>
      <c r="Q404" t="s">
        <v>67</v>
      </c>
      <c r="R404" t="s">
        <v>68</v>
      </c>
      <c r="S404" t="s">
        <v>69</v>
      </c>
      <c r="T404">
        <v>2020</v>
      </c>
      <c r="U404" t="s">
        <v>91</v>
      </c>
    </row>
    <row r="405" spans="1:21" x14ac:dyDescent="0.35">
      <c r="A405" s="1">
        <v>44995</v>
      </c>
      <c r="B405" t="s">
        <v>32</v>
      </c>
      <c r="C405" t="s">
        <v>33</v>
      </c>
      <c r="D405" t="s">
        <v>34</v>
      </c>
      <c r="E405">
        <v>401</v>
      </c>
      <c r="F405">
        <v>20</v>
      </c>
      <c r="G405">
        <f t="shared" si="18"/>
        <v>8020</v>
      </c>
      <c r="H405">
        <v>12</v>
      </c>
      <c r="I405">
        <f t="shared" si="19"/>
        <v>4812</v>
      </c>
      <c r="J405">
        <f t="shared" si="20"/>
        <v>3208</v>
      </c>
      <c r="K405" t="s">
        <v>42</v>
      </c>
      <c r="L405" t="s">
        <v>36</v>
      </c>
      <c r="M405" t="s">
        <v>26</v>
      </c>
      <c r="N405" t="s">
        <v>38</v>
      </c>
      <c r="O405">
        <v>835</v>
      </c>
      <c r="P405">
        <v>401</v>
      </c>
      <c r="Q405" t="s">
        <v>113</v>
      </c>
      <c r="R405" t="s">
        <v>114</v>
      </c>
      <c r="S405" t="s">
        <v>115</v>
      </c>
      <c r="T405">
        <v>2023</v>
      </c>
      <c r="U405" t="s">
        <v>47</v>
      </c>
    </row>
    <row r="406" spans="1:21" x14ac:dyDescent="0.35">
      <c r="A406" s="1">
        <v>44996</v>
      </c>
      <c r="B406" t="s">
        <v>48</v>
      </c>
      <c r="C406" t="s">
        <v>49</v>
      </c>
      <c r="D406" t="s">
        <v>50</v>
      </c>
      <c r="E406">
        <v>109</v>
      </c>
      <c r="F406">
        <v>150</v>
      </c>
      <c r="G406">
        <f t="shared" si="18"/>
        <v>16350</v>
      </c>
      <c r="H406">
        <v>100</v>
      </c>
      <c r="I406">
        <f t="shared" si="19"/>
        <v>10900</v>
      </c>
      <c r="J406">
        <f t="shared" si="20"/>
        <v>5450</v>
      </c>
      <c r="K406" t="s">
        <v>42</v>
      </c>
      <c r="L406" t="s">
        <v>63</v>
      </c>
      <c r="M406" t="s">
        <v>26</v>
      </c>
      <c r="N406" t="s">
        <v>27</v>
      </c>
      <c r="O406">
        <v>879</v>
      </c>
      <c r="P406">
        <v>109</v>
      </c>
      <c r="Q406" t="s">
        <v>110</v>
      </c>
      <c r="R406" t="s">
        <v>111</v>
      </c>
      <c r="S406" t="s">
        <v>112</v>
      </c>
      <c r="T406">
        <v>2023</v>
      </c>
      <c r="U406" t="s">
        <v>91</v>
      </c>
    </row>
    <row r="407" spans="1:21" x14ac:dyDescent="0.35">
      <c r="A407" s="1">
        <v>44997</v>
      </c>
      <c r="B407" t="s">
        <v>21</v>
      </c>
      <c r="C407" t="s">
        <v>22</v>
      </c>
      <c r="D407" t="s">
        <v>23</v>
      </c>
      <c r="E407">
        <v>421</v>
      </c>
      <c r="F407">
        <v>8</v>
      </c>
      <c r="G407">
        <f t="shared" si="18"/>
        <v>3368</v>
      </c>
      <c r="H407">
        <v>5</v>
      </c>
      <c r="I407">
        <f t="shared" si="19"/>
        <v>2105</v>
      </c>
      <c r="J407">
        <f t="shared" si="20"/>
        <v>1263</v>
      </c>
      <c r="K407" t="s">
        <v>24</v>
      </c>
      <c r="L407" t="s">
        <v>36</v>
      </c>
      <c r="M407" t="s">
        <v>61</v>
      </c>
      <c r="N407" t="s">
        <v>43</v>
      </c>
      <c r="O407">
        <v>728</v>
      </c>
      <c r="P407">
        <v>421</v>
      </c>
      <c r="Q407" t="s">
        <v>90</v>
      </c>
      <c r="R407" t="s">
        <v>55</v>
      </c>
      <c r="S407" t="s">
        <v>85</v>
      </c>
      <c r="T407">
        <v>2021</v>
      </c>
      <c r="U407" t="s">
        <v>53</v>
      </c>
    </row>
    <row r="408" spans="1:21" x14ac:dyDescent="0.35">
      <c r="A408" s="1">
        <v>44998</v>
      </c>
      <c r="B408" t="s">
        <v>58</v>
      </c>
      <c r="C408" t="s">
        <v>59</v>
      </c>
      <c r="D408" t="s">
        <v>60</v>
      </c>
      <c r="E408">
        <v>140</v>
      </c>
      <c r="F408">
        <v>5</v>
      </c>
      <c r="G408">
        <f t="shared" si="18"/>
        <v>700</v>
      </c>
      <c r="H408">
        <v>3</v>
      </c>
      <c r="I408">
        <f t="shared" si="19"/>
        <v>420</v>
      </c>
      <c r="J408">
        <f t="shared" si="20"/>
        <v>280</v>
      </c>
      <c r="K408" t="s">
        <v>35</v>
      </c>
      <c r="L408" t="s">
        <v>25</v>
      </c>
      <c r="M408" t="s">
        <v>61</v>
      </c>
      <c r="N408" t="s">
        <v>27</v>
      </c>
      <c r="O408">
        <v>544</v>
      </c>
      <c r="P408">
        <v>140</v>
      </c>
      <c r="Q408" t="s">
        <v>110</v>
      </c>
      <c r="R408" t="s">
        <v>111</v>
      </c>
      <c r="S408" t="s">
        <v>112</v>
      </c>
      <c r="T408">
        <v>2024</v>
      </c>
      <c r="U408" t="s">
        <v>66</v>
      </c>
    </row>
    <row r="409" spans="1:21" x14ac:dyDescent="0.35">
      <c r="A409" s="1">
        <v>44999</v>
      </c>
      <c r="B409" t="s">
        <v>32</v>
      </c>
      <c r="C409" t="s">
        <v>33</v>
      </c>
      <c r="D409" t="s">
        <v>34</v>
      </c>
      <c r="E409">
        <v>272</v>
      </c>
      <c r="F409">
        <v>20</v>
      </c>
      <c r="G409">
        <f t="shared" si="18"/>
        <v>5440</v>
      </c>
      <c r="H409">
        <v>12</v>
      </c>
      <c r="I409">
        <f t="shared" si="19"/>
        <v>3264</v>
      </c>
      <c r="J409">
        <f t="shared" si="20"/>
        <v>2176</v>
      </c>
      <c r="K409" t="s">
        <v>35</v>
      </c>
      <c r="L409" t="s">
        <v>73</v>
      </c>
      <c r="M409" t="s">
        <v>37</v>
      </c>
      <c r="N409" t="s">
        <v>38</v>
      </c>
      <c r="O409">
        <v>710</v>
      </c>
      <c r="P409">
        <v>272</v>
      </c>
      <c r="Q409" t="s">
        <v>106</v>
      </c>
      <c r="R409" t="s">
        <v>107</v>
      </c>
      <c r="S409" t="s">
        <v>108</v>
      </c>
      <c r="T409">
        <v>2024</v>
      </c>
      <c r="U409" t="s">
        <v>96</v>
      </c>
    </row>
    <row r="410" spans="1:21" x14ac:dyDescent="0.35">
      <c r="A410" s="1">
        <v>45000</v>
      </c>
      <c r="B410" t="s">
        <v>98</v>
      </c>
      <c r="C410" t="s">
        <v>99</v>
      </c>
      <c r="D410" t="s">
        <v>100</v>
      </c>
      <c r="E410">
        <v>121</v>
      </c>
      <c r="F410">
        <v>6</v>
      </c>
      <c r="G410">
        <f t="shared" si="18"/>
        <v>726</v>
      </c>
      <c r="H410">
        <v>4</v>
      </c>
      <c r="I410">
        <f t="shared" si="19"/>
        <v>484</v>
      </c>
      <c r="J410">
        <f t="shared" si="20"/>
        <v>242</v>
      </c>
      <c r="K410" t="s">
        <v>42</v>
      </c>
      <c r="L410" t="s">
        <v>25</v>
      </c>
      <c r="M410" t="s">
        <v>26</v>
      </c>
      <c r="N410" t="s">
        <v>38</v>
      </c>
      <c r="O410">
        <v>511</v>
      </c>
      <c r="P410">
        <v>121</v>
      </c>
      <c r="Q410" t="s">
        <v>54</v>
      </c>
      <c r="R410" t="s">
        <v>55</v>
      </c>
      <c r="S410" t="s">
        <v>56</v>
      </c>
      <c r="T410">
        <v>2020</v>
      </c>
      <c r="U410" t="s">
        <v>91</v>
      </c>
    </row>
    <row r="411" spans="1:21" x14ac:dyDescent="0.35">
      <c r="A411" s="1">
        <v>45001</v>
      </c>
      <c r="B411" t="s">
        <v>80</v>
      </c>
      <c r="C411" t="s">
        <v>81</v>
      </c>
      <c r="D411" t="s">
        <v>82</v>
      </c>
      <c r="E411">
        <v>174</v>
      </c>
      <c r="F411">
        <v>2.5</v>
      </c>
      <c r="G411">
        <f t="shared" si="18"/>
        <v>435</v>
      </c>
      <c r="H411">
        <v>1.5</v>
      </c>
      <c r="I411">
        <f t="shared" si="19"/>
        <v>261</v>
      </c>
      <c r="J411">
        <f t="shared" si="20"/>
        <v>174</v>
      </c>
      <c r="K411" t="s">
        <v>24</v>
      </c>
      <c r="L411" t="s">
        <v>25</v>
      </c>
      <c r="M411" t="s">
        <v>26</v>
      </c>
      <c r="N411" t="s">
        <v>43</v>
      </c>
      <c r="O411">
        <v>979</v>
      </c>
      <c r="P411">
        <v>174</v>
      </c>
      <c r="Q411" t="s">
        <v>110</v>
      </c>
      <c r="R411" t="s">
        <v>111</v>
      </c>
      <c r="S411" t="s">
        <v>112</v>
      </c>
      <c r="T411">
        <v>2020</v>
      </c>
      <c r="U411" t="s">
        <v>109</v>
      </c>
    </row>
    <row r="412" spans="1:21" x14ac:dyDescent="0.35">
      <c r="A412" s="1">
        <v>45002</v>
      </c>
      <c r="B412" t="s">
        <v>48</v>
      </c>
      <c r="C412" t="s">
        <v>49</v>
      </c>
      <c r="D412" t="s">
        <v>50</v>
      </c>
      <c r="E412">
        <v>362</v>
      </c>
      <c r="F412">
        <v>150</v>
      </c>
      <c r="G412">
        <f t="shared" si="18"/>
        <v>54300</v>
      </c>
      <c r="H412">
        <v>100</v>
      </c>
      <c r="I412">
        <f t="shared" si="19"/>
        <v>36200</v>
      </c>
      <c r="J412">
        <f t="shared" si="20"/>
        <v>18100</v>
      </c>
      <c r="K412" t="s">
        <v>24</v>
      </c>
      <c r="L412" t="s">
        <v>36</v>
      </c>
      <c r="M412" t="s">
        <v>61</v>
      </c>
      <c r="N412" t="s">
        <v>38</v>
      </c>
      <c r="O412">
        <v>534</v>
      </c>
      <c r="P412">
        <v>362</v>
      </c>
      <c r="Q412" t="s">
        <v>92</v>
      </c>
      <c r="R412" t="s">
        <v>45</v>
      </c>
      <c r="S412" t="s">
        <v>93</v>
      </c>
      <c r="T412">
        <v>2023</v>
      </c>
      <c r="U412" t="s">
        <v>31</v>
      </c>
    </row>
    <row r="413" spans="1:21" x14ac:dyDescent="0.35">
      <c r="A413" s="1">
        <v>45003</v>
      </c>
      <c r="B413" t="s">
        <v>48</v>
      </c>
      <c r="C413" t="s">
        <v>49</v>
      </c>
      <c r="D413" t="s">
        <v>50</v>
      </c>
      <c r="E413">
        <v>361</v>
      </c>
      <c r="F413">
        <v>150</v>
      </c>
      <c r="G413">
        <f t="shared" si="18"/>
        <v>54150</v>
      </c>
      <c r="H413">
        <v>100</v>
      </c>
      <c r="I413">
        <f t="shared" si="19"/>
        <v>36100</v>
      </c>
      <c r="J413">
        <f t="shared" si="20"/>
        <v>18050</v>
      </c>
      <c r="K413" t="s">
        <v>42</v>
      </c>
      <c r="L413" t="s">
        <v>73</v>
      </c>
      <c r="M413" t="s">
        <v>61</v>
      </c>
      <c r="N413" t="s">
        <v>27</v>
      </c>
      <c r="O413">
        <v>616</v>
      </c>
      <c r="P413">
        <v>361</v>
      </c>
      <c r="Q413" t="s">
        <v>90</v>
      </c>
      <c r="R413" t="s">
        <v>55</v>
      </c>
      <c r="S413" t="s">
        <v>85</v>
      </c>
      <c r="T413">
        <v>2021</v>
      </c>
      <c r="U413" t="s">
        <v>53</v>
      </c>
    </row>
    <row r="414" spans="1:21" x14ac:dyDescent="0.35">
      <c r="A414" s="1">
        <v>45004</v>
      </c>
      <c r="B414" t="s">
        <v>21</v>
      </c>
      <c r="C414" t="s">
        <v>22</v>
      </c>
      <c r="D414" t="s">
        <v>23</v>
      </c>
      <c r="E414">
        <v>100</v>
      </c>
      <c r="F414">
        <v>8</v>
      </c>
      <c r="G414">
        <f t="shared" si="18"/>
        <v>800</v>
      </c>
      <c r="H414">
        <v>5</v>
      </c>
      <c r="I414">
        <f t="shared" si="19"/>
        <v>500</v>
      </c>
      <c r="J414">
        <f t="shared" si="20"/>
        <v>300</v>
      </c>
      <c r="K414" t="s">
        <v>35</v>
      </c>
      <c r="L414" t="s">
        <v>63</v>
      </c>
      <c r="M414" t="s">
        <v>37</v>
      </c>
      <c r="N414" t="s">
        <v>38</v>
      </c>
      <c r="O414">
        <v>534</v>
      </c>
      <c r="P414">
        <v>100</v>
      </c>
      <c r="Q414" t="s">
        <v>103</v>
      </c>
      <c r="R414" t="s">
        <v>68</v>
      </c>
      <c r="S414" t="s">
        <v>104</v>
      </c>
      <c r="T414">
        <v>2022</v>
      </c>
      <c r="U414" t="s">
        <v>47</v>
      </c>
    </row>
    <row r="415" spans="1:21" x14ac:dyDescent="0.35">
      <c r="A415" s="1">
        <v>45005</v>
      </c>
      <c r="B415" t="s">
        <v>98</v>
      </c>
      <c r="C415" t="s">
        <v>99</v>
      </c>
      <c r="D415" t="s">
        <v>100</v>
      </c>
      <c r="E415">
        <v>211</v>
      </c>
      <c r="F415">
        <v>6</v>
      </c>
      <c r="G415">
        <f t="shared" si="18"/>
        <v>1266</v>
      </c>
      <c r="H415">
        <v>4</v>
      </c>
      <c r="I415">
        <f t="shared" si="19"/>
        <v>844</v>
      </c>
      <c r="J415">
        <f t="shared" si="20"/>
        <v>422</v>
      </c>
      <c r="K415" t="s">
        <v>24</v>
      </c>
      <c r="L415" t="s">
        <v>73</v>
      </c>
      <c r="M415" t="s">
        <v>37</v>
      </c>
      <c r="N415" t="s">
        <v>43</v>
      </c>
      <c r="O415">
        <v>506</v>
      </c>
      <c r="P415">
        <v>211</v>
      </c>
      <c r="Q415" t="s">
        <v>92</v>
      </c>
      <c r="R415" t="s">
        <v>45</v>
      </c>
      <c r="S415" t="s">
        <v>93</v>
      </c>
      <c r="T415">
        <v>2022</v>
      </c>
      <c r="U415" t="s">
        <v>47</v>
      </c>
    </row>
    <row r="416" spans="1:21" x14ac:dyDescent="0.35">
      <c r="A416" s="1">
        <v>45006</v>
      </c>
      <c r="B416" t="s">
        <v>32</v>
      </c>
      <c r="C416" t="s">
        <v>33</v>
      </c>
      <c r="D416" t="s">
        <v>34</v>
      </c>
      <c r="E416">
        <v>200</v>
      </c>
      <c r="F416">
        <v>20</v>
      </c>
      <c r="G416">
        <f t="shared" si="18"/>
        <v>4000</v>
      </c>
      <c r="H416">
        <v>12</v>
      </c>
      <c r="I416">
        <f t="shared" si="19"/>
        <v>2400</v>
      </c>
      <c r="J416">
        <f t="shared" si="20"/>
        <v>1600</v>
      </c>
      <c r="K416" t="s">
        <v>24</v>
      </c>
      <c r="L416" t="s">
        <v>63</v>
      </c>
      <c r="M416" t="s">
        <v>26</v>
      </c>
      <c r="N416" t="s">
        <v>38</v>
      </c>
      <c r="O416">
        <v>665</v>
      </c>
      <c r="P416">
        <v>200</v>
      </c>
      <c r="Q416" t="s">
        <v>39</v>
      </c>
      <c r="R416" t="s">
        <v>40</v>
      </c>
      <c r="S416" t="s">
        <v>41</v>
      </c>
      <c r="T416">
        <v>2020</v>
      </c>
      <c r="U416" t="s">
        <v>31</v>
      </c>
    </row>
    <row r="417" spans="1:21" x14ac:dyDescent="0.35">
      <c r="A417" s="1">
        <v>45007</v>
      </c>
      <c r="B417" t="s">
        <v>32</v>
      </c>
      <c r="C417" t="s">
        <v>33</v>
      </c>
      <c r="D417" t="s">
        <v>34</v>
      </c>
      <c r="E417">
        <v>240</v>
      </c>
      <c r="F417">
        <v>20</v>
      </c>
      <c r="G417">
        <f t="shared" si="18"/>
        <v>4800</v>
      </c>
      <c r="H417">
        <v>12</v>
      </c>
      <c r="I417">
        <f t="shared" si="19"/>
        <v>2880</v>
      </c>
      <c r="J417">
        <f t="shared" si="20"/>
        <v>1920</v>
      </c>
      <c r="K417" t="s">
        <v>35</v>
      </c>
      <c r="L417" t="s">
        <v>36</v>
      </c>
      <c r="M417" t="s">
        <v>26</v>
      </c>
      <c r="N417" t="s">
        <v>27</v>
      </c>
      <c r="O417">
        <v>589</v>
      </c>
      <c r="P417">
        <v>240</v>
      </c>
      <c r="Q417" t="s">
        <v>64</v>
      </c>
      <c r="R417" t="s">
        <v>29</v>
      </c>
      <c r="S417" t="s">
        <v>65</v>
      </c>
      <c r="T417">
        <v>2021</v>
      </c>
      <c r="U417" t="s">
        <v>47</v>
      </c>
    </row>
    <row r="418" spans="1:21" x14ac:dyDescent="0.35">
      <c r="A418" s="1">
        <v>45008</v>
      </c>
      <c r="B418" t="s">
        <v>21</v>
      </c>
      <c r="C418" t="s">
        <v>22</v>
      </c>
      <c r="D418" t="s">
        <v>23</v>
      </c>
      <c r="E418">
        <v>173</v>
      </c>
      <c r="F418">
        <v>8</v>
      </c>
      <c r="G418">
        <f t="shared" si="18"/>
        <v>1384</v>
      </c>
      <c r="H418">
        <v>5</v>
      </c>
      <c r="I418">
        <f t="shared" si="19"/>
        <v>865</v>
      </c>
      <c r="J418">
        <f t="shared" si="20"/>
        <v>519</v>
      </c>
      <c r="K418" t="s">
        <v>24</v>
      </c>
      <c r="L418" t="s">
        <v>36</v>
      </c>
      <c r="M418" t="s">
        <v>61</v>
      </c>
      <c r="N418" t="s">
        <v>38</v>
      </c>
      <c r="O418">
        <v>944</v>
      </c>
      <c r="P418">
        <v>173</v>
      </c>
      <c r="Q418" t="s">
        <v>54</v>
      </c>
      <c r="R418" t="s">
        <v>55</v>
      </c>
      <c r="S418" t="s">
        <v>56</v>
      </c>
      <c r="T418">
        <v>2020</v>
      </c>
      <c r="U418" t="s">
        <v>31</v>
      </c>
    </row>
    <row r="419" spans="1:21" x14ac:dyDescent="0.35">
      <c r="A419" s="1">
        <v>45009</v>
      </c>
      <c r="B419" t="s">
        <v>48</v>
      </c>
      <c r="C419" t="s">
        <v>49</v>
      </c>
      <c r="D419" t="s">
        <v>50</v>
      </c>
      <c r="E419">
        <v>180</v>
      </c>
      <c r="F419">
        <v>150</v>
      </c>
      <c r="G419">
        <f t="shared" si="18"/>
        <v>27000</v>
      </c>
      <c r="H419">
        <v>100</v>
      </c>
      <c r="I419">
        <f t="shared" si="19"/>
        <v>18000</v>
      </c>
      <c r="J419">
        <f t="shared" si="20"/>
        <v>9000</v>
      </c>
      <c r="K419" t="s">
        <v>35</v>
      </c>
      <c r="L419" t="s">
        <v>63</v>
      </c>
      <c r="M419" t="s">
        <v>37</v>
      </c>
      <c r="N419" t="s">
        <v>43</v>
      </c>
      <c r="O419">
        <v>698</v>
      </c>
      <c r="P419">
        <v>180</v>
      </c>
      <c r="Q419" t="s">
        <v>74</v>
      </c>
      <c r="R419" t="s">
        <v>75</v>
      </c>
      <c r="S419" t="s">
        <v>76</v>
      </c>
      <c r="T419">
        <v>2024</v>
      </c>
      <c r="U419" t="s">
        <v>86</v>
      </c>
    </row>
    <row r="420" spans="1:21" x14ac:dyDescent="0.35">
      <c r="A420" s="1">
        <v>45010</v>
      </c>
      <c r="B420" t="s">
        <v>32</v>
      </c>
      <c r="C420" t="s">
        <v>33</v>
      </c>
      <c r="D420" t="s">
        <v>34</v>
      </c>
      <c r="E420">
        <v>187</v>
      </c>
      <c r="F420">
        <v>20</v>
      </c>
      <c r="G420">
        <f t="shared" si="18"/>
        <v>3740</v>
      </c>
      <c r="H420">
        <v>12</v>
      </c>
      <c r="I420">
        <f t="shared" si="19"/>
        <v>2244</v>
      </c>
      <c r="J420">
        <f t="shared" si="20"/>
        <v>1496</v>
      </c>
      <c r="K420" t="s">
        <v>42</v>
      </c>
      <c r="L420" t="s">
        <v>63</v>
      </c>
      <c r="M420" t="s">
        <v>37</v>
      </c>
      <c r="N420" t="s">
        <v>43</v>
      </c>
      <c r="O420">
        <v>975</v>
      </c>
      <c r="P420">
        <v>187</v>
      </c>
      <c r="Q420" t="s">
        <v>54</v>
      </c>
      <c r="R420" t="s">
        <v>55</v>
      </c>
      <c r="S420" t="s">
        <v>56</v>
      </c>
      <c r="T420">
        <v>2021</v>
      </c>
      <c r="U420" t="s">
        <v>97</v>
      </c>
    </row>
    <row r="421" spans="1:21" x14ac:dyDescent="0.35">
      <c r="A421" s="1">
        <v>45011</v>
      </c>
      <c r="B421" t="s">
        <v>98</v>
      </c>
      <c r="C421" t="s">
        <v>99</v>
      </c>
      <c r="D421" t="s">
        <v>100</v>
      </c>
      <c r="E421">
        <v>390</v>
      </c>
      <c r="F421">
        <v>6</v>
      </c>
      <c r="G421">
        <f t="shared" si="18"/>
        <v>2340</v>
      </c>
      <c r="H421">
        <v>4</v>
      </c>
      <c r="I421">
        <f t="shared" si="19"/>
        <v>1560</v>
      </c>
      <c r="J421">
        <f t="shared" si="20"/>
        <v>780</v>
      </c>
      <c r="K421" t="s">
        <v>24</v>
      </c>
      <c r="L421" t="s">
        <v>63</v>
      </c>
      <c r="M421" t="s">
        <v>26</v>
      </c>
      <c r="N421" t="s">
        <v>43</v>
      </c>
      <c r="O421">
        <v>873</v>
      </c>
      <c r="P421">
        <v>390</v>
      </c>
      <c r="Q421" t="s">
        <v>101</v>
      </c>
      <c r="R421" t="s">
        <v>101</v>
      </c>
      <c r="S421" t="s">
        <v>102</v>
      </c>
      <c r="T421">
        <v>2022</v>
      </c>
      <c r="U421" t="s">
        <v>66</v>
      </c>
    </row>
    <row r="422" spans="1:21" x14ac:dyDescent="0.35">
      <c r="A422" s="1">
        <v>45012</v>
      </c>
      <c r="B422" t="s">
        <v>48</v>
      </c>
      <c r="C422" t="s">
        <v>49</v>
      </c>
      <c r="D422" t="s">
        <v>50</v>
      </c>
      <c r="E422">
        <v>58</v>
      </c>
      <c r="F422">
        <v>150</v>
      </c>
      <c r="G422">
        <f t="shared" si="18"/>
        <v>8700</v>
      </c>
      <c r="H422">
        <v>100</v>
      </c>
      <c r="I422">
        <f t="shared" si="19"/>
        <v>5800</v>
      </c>
      <c r="J422">
        <f t="shared" si="20"/>
        <v>2900</v>
      </c>
      <c r="K422" t="s">
        <v>35</v>
      </c>
      <c r="L422" t="s">
        <v>36</v>
      </c>
      <c r="M422" t="s">
        <v>61</v>
      </c>
      <c r="N422" t="s">
        <v>38</v>
      </c>
      <c r="O422">
        <v>980</v>
      </c>
      <c r="P422">
        <v>58</v>
      </c>
      <c r="Q422" t="s">
        <v>110</v>
      </c>
      <c r="R422" t="s">
        <v>111</v>
      </c>
      <c r="S422" t="s">
        <v>112</v>
      </c>
      <c r="T422">
        <v>2021</v>
      </c>
      <c r="U422" t="s">
        <v>96</v>
      </c>
    </row>
    <row r="423" spans="1:21" x14ac:dyDescent="0.35">
      <c r="A423" s="1">
        <v>45013</v>
      </c>
      <c r="B423" t="s">
        <v>80</v>
      </c>
      <c r="C423" t="s">
        <v>81</v>
      </c>
      <c r="D423" t="s">
        <v>82</v>
      </c>
      <c r="E423">
        <v>163</v>
      </c>
      <c r="F423">
        <v>2.5</v>
      </c>
      <c r="G423">
        <f t="shared" si="18"/>
        <v>407.5</v>
      </c>
      <c r="H423">
        <v>1.5</v>
      </c>
      <c r="I423">
        <f t="shared" si="19"/>
        <v>244.5</v>
      </c>
      <c r="J423">
        <f t="shared" si="20"/>
        <v>163</v>
      </c>
      <c r="K423" t="s">
        <v>42</v>
      </c>
      <c r="L423" t="s">
        <v>36</v>
      </c>
      <c r="M423" t="s">
        <v>61</v>
      </c>
      <c r="N423" t="s">
        <v>27</v>
      </c>
      <c r="O423">
        <v>655</v>
      </c>
      <c r="P423">
        <v>163</v>
      </c>
      <c r="Q423" t="s">
        <v>101</v>
      </c>
      <c r="R423" t="s">
        <v>101</v>
      </c>
      <c r="S423" t="s">
        <v>102</v>
      </c>
      <c r="T423">
        <v>2022</v>
      </c>
      <c r="U423" t="s">
        <v>66</v>
      </c>
    </row>
    <row r="424" spans="1:21" x14ac:dyDescent="0.35">
      <c r="A424" s="1">
        <v>45014</v>
      </c>
      <c r="B424" t="s">
        <v>21</v>
      </c>
      <c r="C424" t="s">
        <v>22</v>
      </c>
      <c r="D424" t="s">
        <v>23</v>
      </c>
      <c r="E424">
        <v>13</v>
      </c>
      <c r="F424">
        <v>8</v>
      </c>
      <c r="G424">
        <f t="shared" si="18"/>
        <v>104</v>
      </c>
      <c r="H424">
        <v>5</v>
      </c>
      <c r="I424">
        <f t="shared" si="19"/>
        <v>65</v>
      </c>
      <c r="J424">
        <f t="shared" si="20"/>
        <v>39</v>
      </c>
      <c r="K424" t="s">
        <v>24</v>
      </c>
      <c r="L424" t="s">
        <v>73</v>
      </c>
      <c r="M424" t="s">
        <v>37</v>
      </c>
      <c r="N424" t="s">
        <v>38</v>
      </c>
      <c r="O424">
        <v>886</v>
      </c>
      <c r="P424">
        <v>13</v>
      </c>
      <c r="Q424" t="s">
        <v>94</v>
      </c>
      <c r="R424" t="s">
        <v>75</v>
      </c>
      <c r="S424" t="s">
        <v>95</v>
      </c>
      <c r="T424">
        <v>2024</v>
      </c>
      <c r="U424" t="s">
        <v>109</v>
      </c>
    </row>
    <row r="425" spans="1:21" x14ac:dyDescent="0.35">
      <c r="A425" s="1">
        <v>45015</v>
      </c>
      <c r="B425" t="s">
        <v>21</v>
      </c>
      <c r="C425" t="s">
        <v>22</v>
      </c>
      <c r="D425" t="s">
        <v>23</v>
      </c>
      <c r="E425">
        <v>127</v>
      </c>
      <c r="F425">
        <v>8</v>
      </c>
      <c r="G425">
        <f t="shared" si="18"/>
        <v>1016</v>
      </c>
      <c r="H425">
        <v>5</v>
      </c>
      <c r="I425">
        <f t="shared" si="19"/>
        <v>635</v>
      </c>
      <c r="J425">
        <f t="shared" si="20"/>
        <v>381</v>
      </c>
      <c r="K425" t="s">
        <v>24</v>
      </c>
      <c r="L425" t="s">
        <v>63</v>
      </c>
      <c r="M425" t="s">
        <v>37</v>
      </c>
      <c r="N425" t="s">
        <v>43</v>
      </c>
      <c r="O425">
        <v>992</v>
      </c>
      <c r="P425">
        <v>127</v>
      </c>
      <c r="Q425" t="s">
        <v>103</v>
      </c>
      <c r="R425" t="s">
        <v>68</v>
      </c>
      <c r="S425" t="s">
        <v>104</v>
      </c>
      <c r="T425">
        <v>2021</v>
      </c>
      <c r="U425" t="s">
        <v>47</v>
      </c>
    </row>
    <row r="426" spans="1:21" x14ac:dyDescent="0.35">
      <c r="A426" s="1">
        <v>45016</v>
      </c>
      <c r="B426" t="s">
        <v>58</v>
      </c>
      <c r="C426" t="s">
        <v>59</v>
      </c>
      <c r="D426" t="s">
        <v>60</v>
      </c>
      <c r="E426">
        <v>376</v>
      </c>
      <c r="F426">
        <v>5</v>
      </c>
      <c r="G426">
        <f t="shared" si="18"/>
        <v>1880</v>
      </c>
      <c r="H426">
        <v>3</v>
      </c>
      <c r="I426">
        <f t="shared" si="19"/>
        <v>1128</v>
      </c>
      <c r="J426">
        <f t="shared" si="20"/>
        <v>752</v>
      </c>
      <c r="K426" t="s">
        <v>35</v>
      </c>
      <c r="L426" t="s">
        <v>36</v>
      </c>
      <c r="M426" t="s">
        <v>37</v>
      </c>
      <c r="N426" t="s">
        <v>27</v>
      </c>
      <c r="O426">
        <v>742</v>
      </c>
      <c r="P426">
        <v>376</v>
      </c>
      <c r="Q426" t="s">
        <v>67</v>
      </c>
      <c r="R426" t="s">
        <v>68</v>
      </c>
      <c r="S426" t="s">
        <v>69</v>
      </c>
      <c r="T426">
        <v>2022</v>
      </c>
      <c r="U426" t="s">
        <v>105</v>
      </c>
    </row>
    <row r="427" spans="1:21" x14ac:dyDescent="0.35">
      <c r="A427" s="1">
        <v>45017</v>
      </c>
      <c r="B427" t="s">
        <v>80</v>
      </c>
      <c r="C427" t="s">
        <v>81</v>
      </c>
      <c r="D427" t="s">
        <v>82</v>
      </c>
      <c r="E427">
        <v>387</v>
      </c>
      <c r="F427">
        <v>2.5</v>
      </c>
      <c r="G427">
        <f t="shared" si="18"/>
        <v>967.5</v>
      </c>
      <c r="H427">
        <v>1.5</v>
      </c>
      <c r="I427">
        <f t="shared" si="19"/>
        <v>580.5</v>
      </c>
      <c r="J427">
        <f t="shared" si="20"/>
        <v>387</v>
      </c>
      <c r="K427" t="s">
        <v>42</v>
      </c>
      <c r="L427" t="s">
        <v>63</v>
      </c>
      <c r="M427" t="s">
        <v>26</v>
      </c>
      <c r="N427" t="s">
        <v>38</v>
      </c>
      <c r="O427">
        <v>922</v>
      </c>
      <c r="P427">
        <v>387</v>
      </c>
      <c r="Q427" t="s">
        <v>64</v>
      </c>
      <c r="R427" t="s">
        <v>29</v>
      </c>
      <c r="S427" t="s">
        <v>65</v>
      </c>
      <c r="T427">
        <v>2021</v>
      </c>
      <c r="U427" t="s">
        <v>53</v>
      </c>
    </row>
    <row r="428" spans="1:21" x14ac:dyDescent="0.35">
      <c r="A428" s="1">
        <v>45018</v>
      </c>
      <c r="B428" t="s">
        <v>58</v>
      </c>
      <c r="C428" t="s">
        <v>59</v>
      </c>
      <c r="D428" t="s">
        <v>60</v>
      </c>
      <c r="E428">
        <v>339</v>
      </c>
      <c r="F428">
        <v>5</v>
      </c>
      <c r="G428">
        <f t="shared" si="18"/>
        <v>1695</v>
      </c>
      <c r="H428">
        <v>3</v>
      </c>
      <c r="I428">
        <f t="shared" si="19"/>
        <v>1017</v>
      </c>
      <c r="J428">
        <f t="shared" si="20"/>
        <v>678</v>
      </c>
      <c r="K428" t="s">
        <v>35</v>
      </c>
      <c r="L428" t="s">
        <v>73</v>
      </c>
      <c r="M428" t="s">
        <v>26</v>
      </c>
      <c r="N428" t="s">
        <v>38</v>
      </c>
      <c r="O428">
        <v>651</v>
      </c>
      <c r="P428">
        <v>339</v>
      </c>
      <c r="Q428" t="s">
        <v>110</v>
      </c>
      <c r="R428" t="s">
        <v>111</v>
      </c>
      <c r="S428" t="s">
        <v>112</v>
      </c>
      <c r="T428">
        <v>2023</v>
      </c>
      <c r="U428" t="s">
        <v>47</v>
      </c>
    </row>
    <row r="429" spans="1:21" x14ac:dyDescent="0.35">
      <c r="A429" s="1">
        <v>45019</v>
      </c>
      <c r="B429" t="s">
        <v>32</v>
      </c>
      <c r="C429" t="s">
        <v>33</v>
      </c>
      <c r="D429" t="s">
        <v>34</v>
      </c>
      <c r="E429">
        <v>64</v>
      </c>
      <c r="F429">
        <v>20</v>
      </c>
      <c r="G429">
        <f t="shared" si="18"/>
        <v>1280</v>
      </c>
      <c r="H429">
        <v>12</v>
      </c>
      <c r="I429">
        <f t="shared" si="19"/>
        <v>768</v>
      </c>
      <c r="J429">
        <f t="shared" si="20"/>
        <v>512</v>
      </c>
      <c r="K429" t="s">
        <v>42</v>
      </c>
      <c r="L429" t="s">
        <v>63</v>
      </c>
      <c r="M429" t="s">
        <v>26</v>
      </c>
      <c r="N429" t="s">
        <v>38</v>
      </c>
      <c r="O429">
        <v>668</v>
      </c>
      <c r="P429">
        <v>64</v>
      </c>
      <c r="Q429" t="s">
        <v>90</v>
      </c>
      <c r="R429" t="s">
        <v>55</v>
      </c>
      <c r="S429" t="s">
        <v>85</v>
      </c>
      <c r="T429">
        <v>2020</v>
      </c>
      <c r="U429" t="s">
        <v>57</v>
      </c>
    </row>
    <row r="430" spans="1:21" x14ac:dyDescent="0.35">
      <c r="A430" s="1">
        <v>45020</v>
      </c>
      <c r="B430" t="s">
        <v>32</v>
      </c>
      <c r="C430" t="s">
        <v>33</v>
      </c>
      <c r="D430" t="s">
        <v>34</v>
      </c>
      <c r="E430">
        <v>439</v>
      </c>
      <c r="F430">
        <v>20</v>
      </c>
      <c r="G430">
        <f t="shared" si="18"/>
        <v>8780</v>
      </c>
      <c r="H430">
        <v>12</v>
      </c>
      <c r="I430">
        <f t="shared" si="19"/>
        <v>5268</v>
      </c>
      <c r="J430">
        <f t="shared" si="20"/>
        <v>3512</v>
      </c>
      <c r="K430" t="s">
        <v>35</v>
      </c>
      <c r="L430" t="s">
        <v>36</v>
      </c>
      <c r="M430" t="s">
        <v>61</v>
      </c>
      <c r="N430" t="s">
        <v>43</v>
      </c>
      <c r="O430">
        <v>634</v>
      </c>
      <c r="P430">
        <v>439</v>
      </c>
      <c r="Q430" t="s">
        <v>110</v>
      </c>
      <c r="R430" t="s">
        <v>111</v>
      </c>
      <c r="S430" t="s">
        <v>112</v>
      </c>
      <c r="T430">
        <v>2024</v>
      </c>
      <c r="U430" t="s">
        <v>31</v>
      </c>
    </row>
    <row r="431" spans="1:21" x14ac:dyDescent="0.35">
      <c r="A431" s="1">
        <v>45021</v>
      </c>
      <c r="B431" t="s">
        <v>48</v>
      </c>
      <c r="C431" t="s">
        <v>49</v>
      </c>
      <c r="D431" t="s">
        <v>50</v>
      </c>
      <c r="E431">
        <v>233</v>
      </c>
      <c r="F431">
        <v>150</v>
      </c>
      <c r="G431">
        <f t="shared" si="18"/>
        <v>34950</v>
      </c>
      <c r="H431">
        <v>100</v>
      </c>
      <c r="I431">
        <f t="shared" si="19"/>
        <v>23300</v>
      </c>
      <c r="J431">
        <f t="shared" si="20"/>
        <v>11650</v>
      </c>
      <c r="K431" t="s">
        <v>42</v>
      </c>
      <c r="L431" t="s">
        <v>25</v>
      </c>
      <c r="M431" t="s">
        <v>26</v>
      </c>
      <c r="N431" t="s">
        <v>27</v>
      </c>
      <c r="O431">
        <v>677</v>
      </c>
      <c r="P431">
        <v>233</v>
      </c>
      <c r="Q431" t="s">
        <v>94</v>
      </c>
      <c r="R431" t="s">
        <v>75</v>
      </c>
      <c r="S431" t="s">
        <v>95</v>
      </c>
      <c r="T431">
        <v>2024</v>
      </c>
      <c r="U431" t="s">
        <v>53</v>
      </c>
    </row>
    <row r="432" spans="1:21" x14ac:dyDescent="0.35">
      <c r="A432" s="1">
        <v>45022</v>
      </c>
      <c r="B432" t="s">
        <v>58</v>
      </c>
      <c r="C432" t="s">
        <v>59</v>
      </c>
      <c r="D432" t="s">
        <v>60</v>
      </c>
      <c r="E432">
        <v>475</v>
      </c>
      <c r="F432">
        <v>5</v>
      </c>
      <c r="G432">
        <f t="shared" si="18"/>
        <v>2375</v>
      </c>
      <c r="H432">
        <v>3</v>
      </c>
      <c r="I432">
        <f t="shared" si="19"/>
        <v>1425</v>
      </c>
      <c r="J432">
        <f t="shared" si="20"/>
        <v>950</v>
      </c>
      <c r="K432" t="s">
        <v>24</v>
      </c>
      <c r="L432" t="s">
        <v>25</v>
      </c>
      <c r="M432" t="s">
        <v>37</v>
      </c>
      <c r="N432" t="s">
        <v>27</v>
      </c>
      <c r="O432">
        <v>919</v>
      </c>
      <c r="P432">
        <v>475</v>
      </c>
      <c r="Q432" t="s">
        <v>113</v>
      </c>
      <c r="R432" t="s">
        <v>114</v>
      </c>
      <c r="S432" t="s">
        <v>115</v>
      </c>
      <c r="T432">
        <v>2020</v>
      </c>
      <c r="U432" t="s">
        <v>31</v>
      </c>
    </row>
    <row r="433" spans="1:21" x14ac:dyDescent="0.35">
      <c r="A433" s="1">
        <v>45023</v>
      </c>
      <c r="B433" t="s">
        <v>32</v>
      </c>
      <c r="C433" t="s">
        <v>33</v>
      </c>
      <c r="D433" t="s">
        <v>34</v>
      </c>
      <c r="E433">
        <v>257</v>
      </c>
      <c r="F433">
        <v>20</v>
      </c>
      <c r="G433">
        <f t="shared" si="18"/>
        <v>5140</v>
      </c>
      <c r="H433">
        <v>12</v>
      </c>
      <c r="I433">
        <f t="shared" si="19"/>
        <v>3084</v>
      </c>
      <c r="J433">
        <f t="shared" si="20"/>
        <v>2056</v>
      </c>
      <c r="K433" t="s">
        <v>24</v>
      </c>
      <c r="L433" t="s">
        <v>73</v>
      </c>
      <c r="M433" t="s">
        <v>37</v>
      </c>
      <c r="N433" t="s">
        <v>38</v>
      </c>
      <c r="O433">
        <v>717</v>
      </c>
      <c r="P433">
        <v>257</v>
      </c>
      <c r="Q433" t="s">
        <v>28</v>
      </c>
      <c r="R433" t="s">
        <v>29</v>
      </c>
      <c r="S433" t="s">
        <v>30</v>
      </c>
      <c r="T433">
        <v>2020</v>
      </c>
      <c r="U433" t="s">
        <v>62</v>
      </c>
    </row>
    <row r="434" spans="1:21" x14ac:dyDescent="0.35">
      <c r="A434" s="1">
        <v>45024</v>
      </c>
      <c r="B434" t="s">
        <v>32</v>
      </c>
      <c r="C434" t="s">
        <v>33</v>
      </c>
      <c r="D434" t="s">
        <v>34</v>
      </c>
      <c r="E434">
        <v>240</v>
      </c>
      <c r="F434">
        <v>20</v>
      </c>
      <c r="G434">
        <f t="shared" si="18"/>
        <v>4800</v>
      </c>
      <c r="H434">
        <v>12</v>
      </c>
      <c r="I434">
        <f t="shared" si="19"/>
        <v>2880</v>
      </c>
      <c r="J434">
        <f t="shared" si="20"/>
        <v>1920</v>
      </c>
      <c r="K434" t="s">
        <v>42</v>
      </c>
      <c r="L434" t="s">
        <v>73</v>
      </c>
      <c r="M434" t="s">
        <v>61</v>
      </c>
      <c r="N434" t="s">
        <v>38</v>
      </c>
      <c r="O434">
        <v>644</v>
      </c>
      <c r="P434">
        <v>240</v>
      </c>
      <c r="Q434" t="s">
        <v>90</v>
      </c>
      <c r="R434" t="s">
        <v>55</v>
      </c>
      <c r="S434" t="s">
        <v>85</v>
      </c>
      <c r="T434">
        <v>2023</v>
      </c>
      <c r="U434" t="s">
        <v>53</v>
      </c>
    </row>
    <row r="435" spans="1:21" x14ac:dyDescent="0.35">
      <c r="A435" s="1">
        <v>45025</v>
      </c>
      <c r="B435" t="s">
        <v>32</v>
      </c>
      <c r="C435" t="s">
        <v>33</v>
      </c>
      <c r="D435" t="s">
        <v>34</v>
      </c>
      <c r="E435">
        <v>51</v>
      </c>
      <c r="F435">
        <v>20</v>
      </c>
      <c r="G435">
        <f t="shared" si="18"/>
        <v>1020</v>
      </c>
      <c r="H435">
        <v>12</v>
      </c>
      <c r="I435">
        <f t="shared" si="19"/>
        <v>612</v>
      </c>
      <c r="J435">
        <f t="shared" si="20"/>
        <v>408</v>
      </c>
      <c r="K435" t="s">
        <v>24</v>
      </c>
      <c r="L435" t="s">
        <v>36</v>
      </c>
      <c r="M435" t="s">
        <v>26</v>
      </c>
      <c r="N435" t="s">
        <v>38</v>
      </c>
      <c r="O435">
        <v>620</v>
      </c>
      <c r="P435">
        <v>51</v>
      </c>
      <c r="Q435" t="s">
        <v>39</v>
      </c>
      <c r="R435" t="s">
        <v>40</v>
      </c>
      <c r="S435" t="s">
        <v>41</v>
      </c>
      <c r="T435">
        <v>2023</v>
      </c>
      <c r="U435" t="s">
        <v>31</v>
      </c>
    </row>
    <row r="436" spans="1:21" x14ac:dyDescent="0.35">
      <c r="A436" s="1">
        <v>45026</v>
      </c>
      <c r="B436" t="s">
        <v>80</v>
      </c>
      <c r="C436" t="s">
        <v>81</v>
      </c>
      <c r="D436" t="s">
        <v>82</v>
      </c>
      <c r="E436">
        <v>187</v>
      </c>
      <c r="F436">
        <v>2.5</v>
      </c>
      <c r="G436">
        <f t="shared" si="18"/>
        <v>467.5</v>
      </c>
      <c r="H436">
        <v>1.5</v>
      </c>
      <c r="I436">
        <f t="shared" si="19"/>
        <v>280.5</v>
      </c>
      <c r="J436">
        <f t="shared" si="20"/>
        <v>187</v>
      </c>
      <c r="K436" t="s">
        <v>35</v>
      </c>
      <c r="L436" t="s">
        <v>25</v>
      </c>
      <c r="M436" t="s">
        <v>26</v>
      </c>
      <c r="N436" t="s">
        <v>38</v>
      </c>
      <c r="O436">
        <v>656</v>
      </c>
      <c r="P436">
        <v>187</v>
      </c>
      <c r="Q436" t="s">
        <v>106</v>
      </c>
      <c r="R436" t="s">
        <v>107</v>
      </c>
      <c r="S436" t="s">
        <v>108</v>
      </c>
      <c r="T436">
        <v>2024</v>
      </c>
      <c r="U436" t="s">
        <v>47</v>
      </c>
    </row>
    <row r="437" spans="1:21" x14ac:dyDescent="0.35">
      <c r="A437" s="1">
        <v>45027</v>
      </c>
      <c r="B437" t="s">
        <v>48</v>
      </c>
      <c r="C437" t="s">
        <v>49</v>
      </c>
      <c r="D437" t="s">
        <v>50</v>
      </c>
      <c r="E437">
        <v>74</v>
      </c>
      <c r="F437">
        <v>150</v>
      </c>
      <c r="G437">
        <f t="shared" si="18"/>
        <v>11100</v>
      </c>
      <c r="H437">
        <v>100</v>
      </c>
      <c r="I437">
        <f t="shared" si="19"/>
        <v>7400</v>
      </c>
      <c r="J437">
        <f t="shared" si="20"/>
        <v>3700</v>
      </c>
      <c r="K437" t="s">
        <v>35</v>
      </c>
      <c r="L437" t="s">
        <v>25</v>
      </c>
      <c r="M437" t="s">
        <v>61</v>
      </c>
      <c r="N437" t="s">
        <v>27</v>
      </c>
      <c r="O437">
        <v>716</v>
      </c>
      <c r="P437">
        <v>74</v>
      </c>
      <c r="Q437" t="s">
        <v>83</v>
      </c>
      <c r="R437" t="s">
        <v>84</v>
      </c>
      <c r="S437" t="s">
        <v>85</v>
      </c>
      <c r="T437">
        <v>2020</v>
      </c>
      <c r="U437" t="s">
        <v>91</v>
      </c>
    </row>
    <row r="438" spans="1:21" x14ac:dyDescent="0.35">
      <c r="A438" s="1">
        <v>45028</v>
      </c>
      <c r="B438" t="s">
        <v>32</v>
      </c>
      <c r="C438" t="s">
        <v>33</v>
      </c>
      <c r="D438" t="s">
        <v>34</v>
      </c>
      <c r="E438">
        <v>364</v>
      </c>
      <c r="F438">
        <v>20</v>
      </c>
      <c r="G438">
        <f t="shared" si="18"/>
        <v>7280</v>
      </c>
      <c r="H438">
        <v>12</v>
      </c>
      <c r="I438">
        <f t="shared" si="19"/>
        <v>4368</v>
      </c>
      <c r="J438">
        <f t="shared" si="20"/>
        <v>2912</v>
      </c>
      <c r="K438" t="s">
        <v>35</v>
      </c>
      <c r="L438" t="s">
        <v>36</v>
      </c>
      <c r="M438" t="s">
        <v>26</v>
      </c>
      <c r="N438" t="s">
        <v>38</v>
      </c>
      <c r="O438">
        <v>823</v>
      </c>
      <c r="P438">
        <v>364</v>
      </c>
      <c r="Q438" t="s">
        <v>70</v>
      </c>
      <c r="R438" t="s">
        <v>71</v>
      </c>
      <c r="S438" t="s">
        <v>72</v>
      </c>
      <c r="T438">
        <v>2023</v>
      </c>
      <c r="U438" t="s">
        <v>91</v>
      </c>
    </row>
    <row r="439" spans="1:21" x14ac:dyDescent="0.35">
      <c r="A439" s="1">
        <v>45029</v>
      </c>
      <c r="B439" t="s">
        <v>21</v>
      </c>
      <c r="C439" t="s">
        <v>22</v>
      </c>
      <c r="D439" t="s">
        <v>23</v>
      </c>
      <c r="E439">
        <v>139</v>
      </c>
      <c r="F439">
        <v>8</v>
      </c>
      <c r="G439">
        <f t="shared" si="18"/>
        <v>1112</v>
      </c>
      <c r="H439">
        <v>5</v>
      </c>
      <c r="I439">
        <f t="shared" si="19"/>
        <v>695</v>
      </c>
      <c r="J439">
        <f t="shared" si="20"/>
        <v>417</v>
      </c>
      <c r="K439" t="s">
        <v>42</v>
      </c>
      <c r="L439" t="s">
        <v>63</v>
      </c>
      <c r="M439" t="s">
        <v>37</v>
      </c>
      <c r="N439" t="s">
        <v>38</v>
      </c>
      <c r="O439">
        <v>535</v>
      </c>
      <c r="P439">
        <v>139</v>
      </c>
      <c r="Q439" t="s">
        <v>87</v>
      </c>
      <c r="R439" t="s">
        <v>88</v>
      </c>
      <c r="S439" t="s">
        <v>89</v>
      </c>
      <c r="T439">
        <v>2022</v>
      </c>
      <c r="U439" t="s">
        <v>31</v>
      </c>
    </row>
    <row r="440" spans="1:21" x14ac:dyDescent="0.35">
      <c r="A440" s="1">
        <v>45030</v>
      </c>
      <c r="B440" t="s">
        <v>58</v>
      </c>
      <c r="C440" t="s">
        <v>59</v>
      </c>
      <c r="D440" t="s">
        <v>60</v>
      </c>
      <c r="E440">
        <v>115</v>
      </c>
      <c r="F440">
        <v>5</v>
      </c>
      <c r="G440">
        <f t="shared" si="18"/>
        <v>575</v>
      </c>
      <c r="H440">
        <v>3</v>
      </c>
      <c r="I440">
        <f t="shared" si="19"/>
        <v>345</v>
      </c>
      <c r="J440">
        <f t="shared" si="20"/>
        <v>230</v>
      </c>
      <c r="K440" t="s">
        <v>24</v>
      </c>
      <c r="L440" t="s">
        <v>63</v>
      </c>
      <c r="M440" t="s">
        <v>26</v>
      </c>
      <c r="N440" t="s">
        <v>27</v>
      </c>
      <c r="O440">
        <v>1000</v>
      </c>
      <c r="P440">
        <v>115</v>
      </c>
      <c r="Q440" t="s">
        <v>39</v>
      </c>
      <c r="R440" t="s">
        <v>40</v>
      </c>
      <c r="S440" t="s">
        <v>41</v>
      </c>
      <c r="T440">
        <v>2024</v>
      </c>
      <c r="U440" t="s">
        <v>53</v>
      </c>
    </row>
    <row r="441" spans="1:21" x14ac:dyDescent="0.35">
      <c r="A441" s="1">
        <v>45031</v>
      </c>
      <c r="B441" t="s">
        <v>32</v>
      </c>
      <c r="C441" t="s">
        <v>33</v>
      </c>
      <c r="D441" t="s">
        <v>34</v>
      </c>
      <c r="E441">
        <v>311</v>
      </c>
      <c r="F441">
        <v>20</v>
      </c>
      <c r="G441">
        <f t="shared" si="18"/>
        <v>6220</v>
      </c>
      <c r="H441">
        <v>12</v>
      </c>
      <c r="I441">
        <f t="shared" si="19"/>
        <v>3732</v>
      </c>
      <c r="J441">
        <f t="shared" si="20"/>
        <v>2488</v>
      </c>
      <c r="K441" t="s">
        <v>35</v>
      </c>
      <c r="L441" t="s">
        <v>63</v>
      </c>
      <c r="M441" t="s">
        <v>61</v>
      </c>
      <c r="N441" t="s">
        <v>38</v>
      </c>
      <c r="O441">
        <v>632</v>
      </c>
      <c r="P441">
        <v>311</v>
      </c>
      <c r="Q441" t="s">
        <v>54</v>
      </c>
      <c r="R441" t="s">
        <v>55</v>
      </c>
      <c r="S441" t="s">
        <v>56</v>
      </c>
      <c r="T441">
        <v>2020</v>
      </c>
      <c r="U441" t="s">
        <v>91</v>
      </c>
    </row>
    <row r="442" spans="1:21" x14ac:dyDescent="0.35">
      <c r="A442" s="1">
        <v>45032</v>
      </c>
      <c r="B442" t="s">
        <v>32</v>
      </c>
      <c r="C442" t="s">
        <v>33</v>
      </c>
      <c r="D442" t="s">
        <v>34</v>
      </c>
      <c r="E442">
        <v>194</v>
      </c>
      <c r="F442">
        <v>20</v>
      </c>
      <c r="G442">
        <f t="shared" si="18"/>
        <v>3880</v>
      </c>
      <c r="H442">
        <v>12</v>
      </c>
      <c r="I442">
        <f t="shared" si="19"/>
        <v>2328</v>
      </c>
      <c r="J442">
        <f t="shared" si="20"/>
        <v>1552</v>
      </c>
      <c r="K442" t="s">
        <v>35</v>
      </c>
      <c r="L442" t="s">
        <v>73</v>
      </c>
      <c r="M442" t="s">
        <v>37</v>
      </c>
      <c r="N442" t="s">
        <v>27</v>
      </c>
      <c r="O442">
        <v>991</v>
      </c>
      <c r="P442">
        <v>194</v>
      </c>
      <c r="Q442" t="s">
        <v>83</v>
      </c>
      <c r="R442" t="s">
        <v>84</v>
      </c>
      <c r="S442" t="s">
        <v>85</v>
      </c>
      <c r="T442">
        <v>2021</v>
      </c>
      <c r="U442" t="s">
        <v>66</v>
      </c>
    </row>
    <row r="443" spans="1:21" x14ac:dyDescent="0.35">
      <c r="A443" s="1">
        <v>45033</v>
      </c>
      <c r="B443" t="s">
        <v>48</v>
      </c>
      <c r="C443" t="s">
        <v>49</v>
      </c>
      <c r="D443" t="s">
        <v>50</v>
      </c>
      <c r="E443">
        <v>431</v>
      </c>
      <c r="F443">
        <v>150</v>
      </c>
      <c r="G443">
        <f t="shared" si="18"/>
        <v>64650</v>
      </c>
      <c r="H443">
        <v>100</v>
      </c>
      <c r="I443">
        <f t="shared" si="19"/>
        <v>43100</v>
      </c>
      <c r="J443">
        <f t="shared" si="20"/>
        <v>21550</v>
      </c>
      <c r="K443" t="s">
        <v>24</v>
      </c>
      <c r="L443" t="s">
        <v>25</v>
      </c>
      <c r="M443" t="s">
        <v>61</v>
      </c>
      <c r="N443" t="s">
        <v>38</v>
      </c>
      <c r="O443">
        <v>584</v>
      </c>
      <c r="P443">
        <v>431</v>
      </c>
      <c r="Q443" t="s">
        <v>74</v>
      </c>
      <c r="R443" t="s">
        <v>75</v>
      </c>
      <c r="S443" t="s">
        <v>76</v>
      </c>
      <c r="T443">
        <v>2021</v>
      </c>
      <c r="U443" t="s">
        <v>97</v>
      </c>
    </row>
    <row r="444" spans="1:21" x14ac:dyDescent="0.35">
      <c r="A444" s="1">
        <v>45034</v>
      </c>
      <c r="B444" t="s">
        <v>32</v>
      </c>
      <c r="C444" t="s">
        <v>33</v>
      </c>
      <c r="D444" t="s">
        <v>34</v>
      </c>
      <c r="E444">
        <v>320</v>
      </c>
      <c r="F444">
        <v>20</v>
      </c>
      <c r="G444">
        <f t="shared" si="18"/>
        <v>6400</v>
      </c>
      <c r="H444">
        <v>12</v>
      </c>
      <c r="I444">
        <f t="shared" si="19"/>
        <v>3840</v>
      </c>
      <c r="J444">
        <f t="shared" si="20"/>
        <v>2560</v>
      </c>
      <c r="K444" t="s">
        <v>35</v>
      </c>
      <c r="L444" t="s">
        <v>25</v>
      </c>
      <c r="M444" t="s">
        <v>26</v>
      </c>
      <c r="N444" t="s">
        <v>38</v>
      </c>
      <c r="O444">
        <v>620</v>
      </c>
      <c r="P444">
        <v>320</v>
      </c>
      <c r="Q444" t="s">
        <v>83</v>
      </c>
      <c r="R444" t="s">
        <v>84</v>
      </c>
      <c r="S444" t="s">
        <v>85</v>
      </c>
      <c r="T444">
        <v>2024</v>
      </c>
      <c r="U444" t="s">
        <v>96</v>
      </c>
    </row>
    <row r="445" spans="1:21" x14ac:dyDescent="0.35">
      <c r="A445" s="1">
        <v>45035</v>
      </c>
      <c r="B445" t="s">
        <v>80</v>
      </c>
      <c r="C445" t="s">
        <v>81</v>
      </c>
      <c r="D445" t="s">
        <v>82</v>
      </c>
      <c r="E445">
        <v>258</v>
      </c>
      <c r="F445">
        <v>2.5</v>
      </c>
      <c r="G445">
        <f t="shared" si="18"/>
        <v>645</v>
      </c>
      <c r="H445">
        <v>1.5</v>
      </c>
      <c r="I445">
        <f t="shared" si="19"/>
        <v>387</v>
      </c>
      <c r="J445">
        <f t="shared" si="20"/>
        <v>258</v>
      </c>
      <c r="K445" t="s">
        <v>24</v>
      </c>
      <c r="L445" t="s">
        <v>36</v>
      </c>
      <c r="M445" t="s">
        <v>37</v>
      </c>
      <c r="N445" t="s">
        <v>43</v>
      </c>
      <c r="O445">
        <v>850</v>
      </c>
      <c r="P445">
        <v>258</v>
      </c>
      <c r="Q445" t="s">
        <v>90</v>
      </c>
      <c r="R445" t="s">
        <v>55</v>
      </c>
      <c r="S445" t="s">
        <v>85</v>
      </c>
      <c r="T445">
        <v>2020</v>
      </c>
      <c r="U445" t="s">
        <v>97</v>
      </c>
    </row>
    <row r="446" spans="1:21" x14ac:dyDescent="0.35">
      <c r="A446" s="1">
        <v>45036</v>
      </c>
      <c r="B446" t="s">
        <v>58</v>
      </c>
      <c r="C446" t="s">
        <v>59</v>
      </c>
      <c r="D446" t="s">
        <v>60</v>
      </c>
      <c r="E446">
        <v>331</v>
      </c>
      <c r="F446">
        <v>5</v>
      </c>
      <c r="G446">
        <f t="shared" si="18"/>
        <v>1655</v>
      </c>
      <c r="H446">
        <v>3</v>
      </c>
      <c r="I446">
        <f t="shared" si="19"/>
        <v>993</v>
      </c>
      <c r="J446">
        <f t="shared" si="20"/>
        <v>662</v>
      </c>
      <c r="K446" t="s">
        <v>24</v>
      </c>
      <c r="L446" t="s">
        <v>73</v>
      </c>
      <c r="M446" t="s">
        <v>61</v>
      </c>
      <c r="N446" t="s">
        <v>27</v>
      </c>
      <c r="O446">
        <v>805</v>
      </c>
      <c r="P446">
        <v>331</v>
      </c>
      <c r="Q446" t="s">
        <v>87</v>
      </c>
      <c r="R446" t="s">
        <v>88</v>
      </c>
      <c r="S446" t="s">
        <v>89</v>
      </c>
      <c r="T446">
        <v>2020</v>
      </c>
      <c r="U446" t="s">
        <v>53</v>
      </c>
    </row>
    <row r="447" spans="1:21" x14ac:dyDescent="0.35">
      <c r="A447" s="1">
        <v>45037</v>
      </c>
      <c r="B447" t="s">
        <v>48</v>
      </c>
      <c r="C447" t="s">
        <v>49</v>
      </c>
      <c r="D447" t="s">
        <v>50</v>
      </c>
      <c r="E447">
        <v>331</v>
      </c>
      <c r="F447">
        <v>150</v>
      </c>
      <c r="G447">
        <f t="shared" si="18"/>
        <v>49650</v>
      </c>
      <c r="H447">
        <v>100</v>
      </c>
      <c r="I447">
        <f t="shared" si="19"/>
        <v>33100</v>
      </c>
      <c r="J447">
        <f t="shared" si="20"/>
        <v>16550</v>
      </c>
      <c r="K447" t="s">
        <v>24</v>
      </c>
      <c r="L447" t="s">
        <v>25</v>
      </c>
      <c r="M447" t="s">
        <v>26</v>
      </c>
      <c r="N447" t="s">
        <v>43</v>
      </c>
      <c r="O447">
        <v>641</v>
      </c>
      <c r="P447">
        <v>331</v>
      </c>
      <c r="Q447" t="s">
        <v>70</v>
      </c>
      <c r="R447" t="s">
        <v>71</v>
      </c>
      <c r="S447" t="s">
        <v>72</v>
      </c>
      <c r="T447">
        <v>2024</v>
      </c>
      <c r="U447" t="s">
        <v>47</v>
      </c>
    </row>
    <row r="448" spans="1:21" x14ac:dyDescent="0.35">
      <c r="A448" s="1">
        <v>45038</v>
      </c>
      <c r="B448" t="s">
        <v>48</v>
      </c>
      <c r="C448" t="s">
        <v>49</v>
      </c>
      <c r="D448" t="s">
        <v>50</v>
      </c>
      <c r="E448">
        <v>366</v>
      </c>
      <c r="F448">
        <v>150</v>
      </c>
      <c r="G448">
        <f t="shared" si="18"/>
        <v>54900</v>
      </c>
      <c r="H448">
        <v>100</v>
      </c>
      <c r="I448">
        <f t="shared" si="19"/>
        <v>36600</v>
      </c>
      <c r="J448">
        <f t="shared" si="20"/>
        <v>18300</v>
      </c>
      <c r="K448" t="s">
        <v>42</v>
      </c>
      <c r="L448" t="s">
        <v>73</v>
      </c>
      <c r="M448" t="s">
        <v>26</v>
      </c>
      <c r="N448" t="s">
        <v>27</v>
      </c>
      <c r="O448">
        <v>703</v>
      </c>
      <c r="P448">
        <v>366</v>
      </c>
      <c r="Q448" t="s">
        <v>90</v>
      </c>
      <c r="R448" t="s">
        <v>55</v>
      </c>
      <c r="S448" t="s">
        <v>85</v>
      </c>
      <c r="T448">
        <v>2020</v>
      </c>
      <c r="U448" t="s">
        <v>96</v>
      </c>
    </row>
    <row r="449" spans="1:21" x14ac:dyDescent="0.35">
      <c r="A449" s="1">
        <v>45039</v>
      </c>
      <c r="B449" t="s">
        <v>58</v>
      </c>
      <c r="C449" t="s">
        <v>59</v>
      </c>
      <c r="D449" t="s">
        <v>60</v>
      </c>
      <c r="E449">
        <v>30</v>
      </c>
      <c r="F449">
        <v>5</v>
      </c>
      <c r="G449">
        <f t="shared" si="18"/>
        <v>150</v>
      </c>
      <c r="H449">
        <v>3</v>
      </c>
      <c r="I449">
        <f t="shared" si="19"/>
        <v>90</v>
      </c>
      <c r="J449">
        <f t="shared" si="20"/>
        <v>60</v>
      </c>
      <c r="K449" t="s">
        <v>35</v>
      </c>
      <c r="L449" t="s">
        <v>36</v>
      </c>
      <c r="M449" t="s">
        <v>26</v>
      </c>
      <c r="N449" t="s">
        <v>38</v>
      </c>
      <c r="O449">
        <v>941</v>
      </c>
      <c r="P449">
        <v>30</v>
      </c>
      <c r="Q449" t="s">
        <v>87</v>
      </c>
      <c r="R449" t="s">
        <v>88</v>
      </c>
      <c r="S449" t="s">
        <v>89</v>
      </c>
      <c r="T449">
        <v>2022</v>
      </c>
      <c r="U449" t="s">
        <v>47</v>
      </c>
    </row>
    <row r="450" spans="1:21" x14ac:dyDescent="0.35">
      <c r="A450" s="1">
        <v>45040</v>
      </c>
      <c r="B450" t="s">
        <v>98</v>
      </c>
      <c r="C450" t="s">
        <v>99</v>
      </c>
      <c r="D450" t="s">
        <v>100</v>
      </c>
      <c r="E450">
        <v>103</v>
      </c>
      <c r="F450">
        <v>6</v>
      </c>
      <c r="G450">
        <f t="shared" si="18"/>
        <v>618</v>
      </c>
      <c r="H450">
        <v>4</v>
      </c>
      <c r="I450">
        <f t="shared" si="19"/>
        <v>412</v>
      </c>
      <c r="J450">
        <f t="shared" si="20"/>
        <v>206</v>
      </c>
      <c r="K450" t="s">
        <v>35</v>
      </c>
      <c r="L450" t="s">
        <v>36</v>
      </c>
      <c r="M450" t="s">
        <v>61</v>
      </c>
      <c r="N450" t="s">
        <v>43</v>
      </c>
      <c r="O450">
        <v>535</v>
      </c>
      <c r="P450">
        <v>103</v>
      </c>
      <c r="Q450" t="s">
        <v>94</v>
      </c>
      <c r="R450" t="s">
        <v>75</v>
      </c>
      <c r="S450" t="s">
        <v>95</v>
      </c>
      <c r="T450">
        <v>2022</v>
      </c>
      <c r="U450" t="s">
        <v>105</v>
      </c>
    </row>
    <row r="451" spans="1:21" x14ac:dyDescent="0.35">
      <c r="A451" s="1">
        <v>45041</v>
      </c>
      <c r="B451" t="s">
        <v>80</v>
      </c>
      <c r="C451" t="s">
        <v>81</v>
      </c>
      <c r="D451" t="s">
        <v>82</v>
      </c>
      <c r="E451">
        <v>223</v>
      </c>
      <c r="F451">
        <v>2.5</v>
      </c>
      <c r="G451">
        <f t="shared" ref="G451:G514" si="21">E451*F451</f>
        <v>557.5</v>
      </c>
      <c r="H451">
        <v>1.5</v>
      </c>
      <c r="I451">
        <f t="shared" ref="I451:I514" si="22">E451*H451</f>
        <v>334.5</v>
      </c>
      <c r="J451">
        <f t="shared" ref="J451:J514" si="23">G451-I451</f>
        <v>223</v>
      </c>
      <c r="K451" t="s">
        <v>42</v>
      </c>
      <c r="L451" t="s">
        <v>36</v>
      </c>
      <c r="M451" t="s">
        <v>37</v>
      </c>
      <c r="N451" t="s">
        <v>27</v>
      </c>
      <c r="O451">
        <v>935</v>
      </c>
      <c r="P451">
        <v>223</v>
      </c>
      <c r="Q451" t="s">
        <v>113</v>
      </c>
      <c r="R451" t="s">
        <v>114</v>
      </c>
      <c r="S451" t="s">
        <v>115</v>
      </c>
      <c r="T451">
        <v>2024</v>
      </c>
      <c r="U451" t="s">
        <v>97</v>
      </c>
    </row>
    <row r="452" spans="1:21" x14ac:dyDescent="0.35">
      <c r="A452" s="1">
        <v>45042</v>
      </c>
      <c r="B452" t="s">
        <v>58</v>
      </c>
      <c r="C452" t="s">
        <v>59</v>
      </c>
      <c r="D452" t="s">
        <v>60</v>
      </c>
      <c r="E452">
        <v>117</v>
      </c>
      <c r="F452">
        <v>5</v>
      </c>
      <c r="G452">
        <f t="shared" si="21"/>
        <v>585</v>
      </c>
      <c r="H452">
        <v>3</v>
      </c>
      <c r="I452">
        <f t="shared" si="22"/>
        <v>351</v>
      </c>
      <c r="J452">
        <f t="shared" si="23"/>
        <v>234</v>
      </c>
      <c r="K452" t="s">
        <v>35</v>
      </c>
      <c r="L452" t="s">
        <v>73</v>
      </c>
      <c r="M452" t="s">
        <v>26</v>
      </c>
      <c r="N452" t="s">
        <v>43</v>
      </c>
      <c r="O452">
        <v>624</v>
      </c>
      <c r="P452">
        <v>117</v>
      </c>
      <c r="Q452" t="s">
        <v>54</v>
      </c>
      <c r="R452" t="s">
        <v>55</v>
      </c>
      <c r="S452" t="s">
        <v>56</v>
      </c>
      <c r="T452">
        <v>2024</v>
      </c>
      <c r="U452" t="s">
        <v>66</v>
      </c>
    </row>
    <row r="453" spans="1:21" x14ac:dyDescent="0.35">
      <c r="A453" s="1">
        <v>45043</v>
      </c>
      <c r="B453" t="s">
        <v>48</v>
      </c>
      <c r="C453" t="s">
        <v>49</v>
      </c>
      <c r="D453" t="s">
        <v>50</v>
      </c>
      <c r="E453">
        <v>21</v>
      </c>
      <c r="F453">
        <v>150</v>
      </c>
      <c r="G453">
        <f t="shared" si="21"/>
        <v>3150</v>
      </c>
      <c r="H453">
        <v>100</v>
      </c>
      <c r="I453">
        <f t="shared" si="22"/>
        <v>2100</v>
      </c>
      <c r="J453">
        <f t="shared" si="23"/>
        <v>1050</v>
      </c>
      <c r="K453" t="s">
        <v>42</v>
      </c>
      <c r="L453" t="s">
        <v>73</v>
      </c>
      <c r="M453" t="s">
        <v>61</v>
      </c>
      <c r="N453" t="s">
        <v>38</v>
      </c>
      <c r="O453">
        <v>720</v>
      </c>
      <c r="P453">
        <v>21</v>
      </c>
      <c r="Q453" t="s">
        <v>39</v>
      </c>
      <c r="R453" t="s">
        <v>40</v>
      </c>
      <c r="S453" t="s">
        <v>41</v>
      </c>
      <c r="T453">
        <v>2021</v>
      </c>
      <c r="U453" t="s">
        <v>97</v>
      </c>
    </row>
    <row r="454" spans="1:21" x14ac:dyDescent="0.35">
      <c r="A454" s="1">
        <v>45044</v>
      </c>
      <c r="B454" t="s">
        <v>98</v>
      </c>
      <c r="C454" t="s">
        <v>99</v>
      </c>
      <c r="D454" t="s">
        <v>100</v>
      </c>
      <c r="E454">
        <v>131</v>
      </c>
      <c r="F454">
        <v>6</v>
      </c>
      <c r="G454">
        <f t="shared" si="21"/>
        <v>786</v>
      </c>
      <c r="H454">
        <v>4</v>
      </c>
      <c r="I454">
        <f t="shared" si="22"/>
        <v>524</v>
      </c>
      <c r="J454">
        <f t="shared" si="23"/>
        <v>262</v>
      </c>
      <c r="K454" t="s">
        <v>35</v>
      </c>
      <c r="L454" t="s">
        <v>63</v>
      </c>
      <c r="M454" t="s">
        <v>37</v>
      </c>
      <c r="N454" t="s">
        <v>27</v>
      </c>
      <c r="O454">
        <v>761</v>
      </c>
      <c r="P454">
        <v>131</v>
      </c>
      <c r="Q454" t="s">
        <v>67</v>
      </c>
      <c r="R454" t="s">
        <v>68</v>
      </c>
      <c r="S454" t="s">
        <v>69</v>
      </c>
      <c r="T454">
        <v>2023</v>
      </c>
      <c r="U454" t="s">
        <v>97</v>
      </c>
    </row>
    <row r="455" spans="1:21" x14ac:dyDescent="0.35">
      <c r="A455" s="1">
        <v>45045</v>
      </c>
      <c r="B455" t="s">
        <v>80</v>
      </c>
      <c r="C455" t="s">
        <v>81</v>
      </c>
      <c r="D455" t="s">
        <v>82</v>
      </c>
      <c r="E455">
        <v>250</v>
      </c>
      <c r="F455">
        <v>2.5</v>
      </c>
      <c r="G455">
        <f t="shared" si="21"/>
        <v>625</v>
      </c>
      <c r="H455">
        <v>1.5</v>
      </c>
      <c r="I455">
        <f t="shared" si="22"/>
        <v>375</v>
      </c>
      <c r="J455">
        <f t="shared" si="23"/>
        <v>250</v>
      </c>
      <c r="K455" t="s">
        <v>35</v>
      </c>
      <c r="L455" t="s">
        <v>73</v>
      </c>
      <c r="M455" t="s">
        <v>26</v>
      </c>
      <c r="N455" t="s">
        <v>43</v>
      </c>
      <c r="O455">
        <v>663</v>
      </c>
      <c r="P455">
        <v>250</v>
      </c>
      <c r="Q455" t="s">
        <v>51</v>
      </c>
      <c r="R455" t="s">
        <v>45</v>
      </c>
      <c r="S455" t="s">
        <v>52</v>
      </c>
      <c r="T455">
        <v>2024</v>
      </c>
      <c r="U455" t="s">
        <v>96</v>
      </c>
    </row>
    <row r="456" spans="1:21" x14ac:dyDescent="0.35">
      <c r="A456" s="1">
        <v>45046</v>
      </c>
      <c r="B456" t="s">
        <v>98</v>
      </c>
      <c r="C456" t="s">
        <v>99</v>
      </c>
      <c r="D456" t="s">
        <v>100</v>
      </c>
      <c r="E456">
        <v>173</v>
      </c>
      <c r="F456">
        <v>6</v>
      </c>
      <c r="G456">
        <f t="shared" si="21"/>
        <v>1038</v>
      </c>
      <c r="H456">
        <v>4</v>
      </c>
      <c r="I456">
        <f t="shared" si="22"/>
        <v>692</v>
      </c>
      <c r="J456">
        <f t="shared" si="23"/>
        <v>346</v>
      </c>
      <c r="K456" t="s">
        <v>24</v>
      </c>
      <c r="L456" t="s">
        <v>73</v>
      </c>
      <c r="M456" t="s">
        <v>61</v>
      </c>
      <c r="N456" t="s">
        <v>27</v>
      </c>
      <c r="O456">
        <v>676</v>
      </c>
      <c r="P456">
        <v>173</v>
      </c>
      <c r="Q456" t="s">
        <v>94</v>
      </c>
      <c r="R456" t="s">
        <v>75</v>
      </c>
      <c r="S456" t="s">
        <v>95</v>
      </c>
      <c r="T456">
        <v>2020</v>
      </c>
      <c r="U456" t="s">
        <v>47</v>
      </c>
    </row>
    <row r="457" spans="1:21" x14ac:dyDescent="0.35">
      <c r="A457" s="1">
        <v>45047</v>
      </c>
      <c r="B457" t="s">
        <v>32</v>
      </c>
      <c r="C457" t="s">
        <v>33</v>
      </c>
      <c r="D457" t="s">
        <v>34</v>
      </c>
      <c r="E457">
        <v>486</v>
      </c>
      <c r="F457">
        <v>20</v>
      </c>
      <c r="G457">
        <f t="shared" si="21"/>
        <v>9720</v>
      </c>
      <c r="H457">
        <v>12</v>
      </c>
      <c r="I457">
        <f t="shared" si="22"/>
        <v>5832</v>
      </c>
      <c r="J457">
        <f t="shared" si="23"/>
        <v>3888</v>
      </c>
      <c r="K457" t="s">
        <v>35</v>
      </c>
      <c r="L457" t="s">
        <v>63</v>
      </c>
      <c r="M457" t="s">
        <v>26</v>
      </c>
      <c r="N457" t="s">
        <v>38</v>
      </c>
      <c r="O457">
        <v>558</v>
      </c>
      <c r="P457">
        <v>486</v>
      </c>
      <c r="Q457" t="s">
        <v>87</v>
      </c>
      <c r="R457" t="s">
        <v>88</v>
      </c>
      <c r="S457" t="s">
        <v>89</v>
      </c>
      <c r="T457">
        <v>2020</v>
      </c>
      <c r="U457" t="s">
        <v>66</v>
      </c>
    </row>
    <row r="458" spans="1:21" x14ac:dyDescent="0.35">
      <c r="A458" s="1">
        <v>45048</v>
      </c>
      <c r="B458" t="s">
        <v>32</v>
      </c>
      <c r="C458" t="s">
        <v>33</v>
      </c>
      <c r="D458" t="s">
        <v>34</v>
      </c>
      <c r="E458">
        <v>53</v>
      </c>
      <c r="F458">
        <v>20</v>
      </c>
      <c r="G458">
        <f t="shared" si="21"/>
        <v>1060</v>
      </c>
      <c r="H458">
        <v>12</v>
      </c>
      <c r="I458">
        <f t="shared" si="22"/>
        <v>636</v>
      </c>
      <c r="J458">
        <f t="shared" si="23"/>
        <v>424</v>
      </c>
      <c r="K458" t="s">
        <v>35</v>
      </c>
      <c r="L458" t="s">
        <v>63</v>
      </c>
      <c r="M458" t="s">
        <v>37</v>
      </c>
      <c r="N458" t="s">
        <v>38</v>
      </c>
      <c r="O458">
        <v>656</v>
      </c>
      <c r="P458">
        <v>53</v>
      </c>
      <c r="Q458" t="s">
        <v>87</v>
      </c>
      <c r="R458" t="s">
        <v>88</v>
      </c>
      <c r="S458" t="s">
        <v>89</v>
      </c>
      <c r="T458">
        <v>2022</v>
      </c>
      <c r="U458" t="s">
        <v>57</v>
      </c>
    </row>
    <row r="459" spans="1:21" x14ac:dyDescent="0.35">
      <c r="A459" s="1">
        <v>45049</v>
      </c>
      <c r="B459" t="s">
        <v>98</v>
      </c>
      <c r="C459" t="s">
        <v>99</v>
      </c>
      <c r="D459" t="s">
        <v>100</v>
      </c>
      <c r="E459">
        <v>174</v>
      </c>
      <c r="F459">
        <v>6</v>
      </c>
      <c r="G459">
        <f t="shared" si="21"/>
        <v>1044</v>
      </c>
      <c r="H459">
        <v>4</v>
      </c>
      <c r="I459">
        <f t="shared" si="22"/>
        <v>696</v>
      </c>
      <c r="J459">
        <f t="shared" si="23"/>
        <v>348</v>
      </c>
      <c r="K459" t="s">
        <v>35</v>
      </c>
      <c r="L459" t="s">
        <v>73</v>
      </c>
      <c r="M459" t="s">
        <v>26</v>
      </c>
      <c r="N459" t="s">
        <v>43</v>
      </c>
      <c r="O459">
        <v>809</v>
      </c>
      <c r="P459">
        <v>174</v>
      </c>
      <c r="Q459" t="s">
        <v>64</v>
      </c>
      <c r="R459" t="s">
        <v>29</v>
      </c>
      <c r="S459" t="s">
        <v>65</v>
      </c>
      <c r="T459">
        <v>2024</v>
      </c>
      <c r="U459" t="s">
        <v>31</v>
      </c>
    </row>
    <row r="460" spans="1:21" x14ac:dyDescent="0.35">
      <c r="A460" s="1">
        <v>45050</v>
      </c>
      <c r="B460" t="s">
        <v>80</v>
      </c>
      <c r="C460" t="s">
        <v>81</v>
      </c>
      <c r="D460" t="s">
        <v>82</v>
      </c>
      <c r="E460">
        <v>31</v>
      </c>
      <c r="F460">
        <v>2.5</v>
      </c>
      <c r="G460">
        <f t="shared" si="21"/>
        <v>77.5</v>
      </c>
      <c r="H460">
        <v>1.5</v>
      </c>
      <c r="I460">
        <f t="shared" si="22"/>
        <v>46.5</v>
      </c>
      <c r="J460">
        <f t="shared" si="23"/>
        <v>31</v>
      </c>
      <c r="K460" t="s">
        <v>42</v>
      </c>
      <c r="L460" t="s">
        <v>63</v>
      </c>
      <c r="M460" t="s">
        <v>26</v>
      </c>
      <c r="N460" t="s">
        <v>43</v>
      </c>
      <c r="O460">
        <v>576</v>
      </c>
      <c r="P460">
        <v>31</v>
      </c>
      <c r="Q460" t="s">
        <v>28</v>
      </c>
      <c r="R460" t="s">
        <v>29</v>
      </c>
      <c r="S460" t="s">
        <v>30</v>
      </c>
      <c r="T460">
        <v>2021</v>
      </c>
      <c r="U460" t="s">
        <v>97</v>
      </c>
    </row>
    <row r="461" spans="1:21" x14ac:dyDescent="0.35">
      <c r="A461" s="1">
        <v>45051</v>
      </c>
      <c r="B461" t="s">
        <v>21</v>
      </c>
      <c r="C461" t="s">
        <v>22</v>
      </c>
      <c r="D461" t="s">
        <v>23</v>
      </c>
      <c r="E461">
        <v>133</v>
      </c>
      <c r="F461">
        <v>8</v>
      </c>
      <c r="G461">
        <f t="shared" si="21"/>
        <v>1064</v>
      </c>
      <c r="H461">
        <v>5</v>
      </c>
      <c r="I461">
        <f t="shared" si="22"/>
        <v>665</v>
      </c>
      <c r="J461">
        <f t="shared" si="23"/>
        <v>399</v>
      </c>
      <c r="K461" t="s">
        <v>24</v>
      </c>
      <c r="L461" t="s">
        <v>25</v>
      </c>
      <c r="M461" t="s">
        <v>61</v>
      </c>
      <c r="N461" t="s">
        <v>38</v>
      </c>
      <c r="O461">
        <v>753</v>
      </c>
      <c r="P461">
        <v>133</v>
      </c>
      <c r="Q461" t="s">
        <v>83</v>
      </c>
      <c r="R461" t="s">
        <v>84</v>
      </c>
      <c r="S461" t="s">
        <v>85</v>
      </c>
      <c r="T461">
        <v>2020</v>
      </c>
      <c r="U461" t="s">
        <v>53</v>
      </c>
    </row>
    <row r="462" spans="1:21" x14ac:dyDescent="0.35">
      <c r="A462" s="1">
        <v>45052</v>
      </c>
      <c r="B462" t="s">
        <v>98</v>
      </c>
      <c r="C462" t="s">
        <v>99</v>
      </c>
      <c r="D462" t="s">
        <v>100</v>
      </c>
      <c r="E462">
        <v>352</v>
      </c>
      <c r="F462">
        <v>6</v>
      </c>
      <c r="G462">
        <f t="shared" si="21"/>
        <v>2112</v>
      </c>
      <c r="H462">
        <v>4</v>
      </c>
      <c r="I462">
        <f t="shared" si="22"/>
        <v>1408</v>
      </c>
      <c r="J462">
        <f t="shared" si="23"/>
        <v>704</v>
      </c>
      <c r="K462" t="s">
        <v>42</v>
      </c>
      <c r="L462" t="s">
        <v>63</v>
      </c>
      <c r="M462" t="s">
        <v>26</v>
      </c>
      <c r="N462" t="s">
        <v>43</v>
      </c>
      <c r="O462">
        <v>862</v>
      </c>
      <c r="P462">
        <v>352</v>
      </c>
      <c r="Q462" t="s">
        <v>106</v>
      </c>
      <c r="R462" t="s">
        <v>107</v>
      </c>
      <c r="S462" t="s">
        <v>108</v>
      </c>
      <c r="T462">
        <v>2022</v>
      </c>
      <c r="U462" t="s">
        <v>105</v>
      </c>
    </row>
    <row r="463" spans="1:21" x14ac:dyDescent="0.35">
      <c r="A463" s="1">
        <v>45053</v>
      </c>
      <c r="B463" t="s">
        <v>80</v>
      </c>
      <c r="C463" t="s">
        <v>81</v>
      </c>
      <c r="D463" t="s">
        <v>82</v>
      </c>
      <c r="E463">
        <v>194</v>
      </c>
      <c r="F463">
        <v>2.5</v>
      </c>
      <c r="G463">
        <f t="shared" si="21"/>
        <v>485</v>
      </c>
      <c r="H463">
        <v>1.5</v>
      </c>
      <c r="I463">
        <f t="shared" si="22"/>
        <v>291</v>
      </c>
      <c r="J463">
        <f t="shared" si="23"/>
        <v>194</v>
      </c>
      <c r="K463" t="s">
        <v>24</v>
      </c>
      <c r="L463" t="s">
        <v>63</v>
      </c>
      <c r="M463" t="s">
        <v>26</v>
      </c>
      <c r="N463" t="s">
        <v>27</v>
      </c>
      <c r="O463">
        <v>987</v>
      </c>
      <c r="P463">
        <v>194</v>
      </c>
      <c r="Q463" t="s">
        <v>94</v>
      </c>
      <c r="R463" t="s">
        <v>75</v>
      </c>
      <c r="S463" t="s">
        <v>95</v>
      </c>
      <c r="T463">
        <v>2022</v>
      </c>
      <c r="U463" t="s">
        <v>66</v>
      </c>
    </row>
    <row r="464" spans="1:21" x14ac:dyDescent="0.35">
      <c r="A464" s="1">
        <v>45054</v>
      </c>
      <c r="B464" t="s">
        <v>21</v>
      </c>
      <c r="C464" t="s">
        <v>22</v>
      </c>
      <c r="D464" t="s">
        <v>23</v>
      </c>
      <c r="E464">
        <v>388</v>
      </c>
      <c r="F464">
        <v>8</v>
      </c>
      <c r="G464">
        <f t="shared" si="21"/>
        <v>3104</v>
      </c>
      <c r="H464">
        <v>5</v>
      </c>
      <c r="I464">
        <f t="shared" si="22"/>
        <v>1940</v>
      </c>
      <c r="J464">
        <f t="shared" si="23"/>
        <v>1164</v>
      </c>
      <c r="K464" t="s">
        <v>35</v>
      </c>
      <c r="L464" t="s">
        <v>73</v>
      </c>
      <c r="M464" t="s">
        <v>26</v>
      </c>
      <c r="N464" t="s">
        <v>38</v>
      </c>
      <c r="O464">
        <v>829</v>
      </c>
      <c r="P464">
        <v>388</v>
      </c>
      <c r="Q464" t="s">
        <v>113</v>
      </c>
      <c r="R464" t="s">
        <v>114</v>
      </c>
      <c r="S464" t="s">
        <v>115</v>
      </c>
      <c r="T464">
        <v>2020</v>
      </c>
      <c r="U464" t="s">
        <v>96</v>
      </c>
    </row>
    <row r="465" spans="1:21" x14ac:dyDescent="0.35">
      <c r="A465" s="1">
        <v>45055</v>
      </c>
      <c r="B465" t="s">
        <v>58</v>
      </c>
      <c r="C465" t="s">
        <v>59</v>
      </c>
      <c r="D465" t="s">
        <v>60</v>
      </c>
      <c r="E465">
        <v>112</v>
      </c>
      <c r="F465">
        <v>5</v>
      </c>
      <c r="G465">
        <f t="shared" si="21"/>
        <v>560</v>
      </c>
      <c r="H465">
        <v>3</v>
      </c>
      <c r="I465">
        <f t="shared" si="22"/>
        <v>336</v>
      </c>
      <c r="J465">
        <f t="shared" si="23"/>
        <v>224</v>
      </c>
      <c r="K465" t="s">
        <v>24</v>
      </c>
      <c r="L465" t="s">
        <v>63</v>
      </c>
      <c r="M465" t="s">
        <v>26</v>
      </c>
      <c r="N465" t="s">
        <v>43</v>
      </c>
      <c r="O465">
        <v>986</v>
      </c>
      <c r="P465">
        <v>112</v>
      </c>
      <c r="Q465" t="s">
        <v>110</v>
      </c>
      <c r="R465" t="s">
        <v>111</v>
      </c>
      <c r="S465" t="s">
        <v>112</v>
      </c>
      <c r="T465">
        <v>2022</v>
      </c>
      <c r="U465" t="s">
        <v>66</v>
      </c>
    </row>
    <row r="466" spans="1:21" x14ac:dyDescent="0.35">
      <c r="A466" s="1">
        <v>45056</v>
      </c>
      <c r="B466" t="s">
        <v>58</v>
      </c>
      <c r="C466" t="s">
        <v>59</v>
      </c>
      <c r="D466" t="s">
        <v>60</v>
      </c>
      <c r="E466">
        <v>396</v>
      </c>
      <c r="F466">
        <v>5</v>
      </c>
      <c r="G466">
        <f t="shared" si="21"/>
        <v>1980</v>
      </c>
      <c r="H466">
        <v>3</v>
      </c>
      <c r="I466">
        <f t="shared" si="22"/>
        <v>1188</v>
      </c>
      <c r="J466">
        <f t="shared" si="23"/>
        <v>792</v>
      </c>
      <c r="K466" t="s">
        <v>42</v>
      </c>
      <c r="L466" t="s">
        <v>73</v>
      </c>
      <c r="M466" t="s">
        <v>61</v>
      </c>
      <c r="N466" t="s">
        <v>27</v>
      </c>
      <c r="O466">
        <v>927</v>
      </c>
      <c r="P466">
        <v>396</v>
      </c>
      <c r="Q466" t="s">
        <v>94</v>
      </c>
      <c r="R466" t="s">
        <v>75</v>
      </c>
      <c r="S466" t="s">
        <v>95</v>
      </c>
      <c r="T466">
        <v>2023</v>
      </c>
      <c r="U466" t="s">
        <v>109</v>
      </c>
    </row>
    <row r="467" spans="1:21" x14ac:dyDescent="0.35">
      <c r="A467" s="1">
        <v>45057</v>
      </c>
      <c r="B467" t="s">
        <v>48</v>
      </c>
      <c r="C467" t="s">
        <v>49</v>
      </c>
      <c r="D467" t="s">
        <v>50</v>
      </c>
      <c r="E467">
        <v>377</v>
      </c>
      <c r="F467">
        <v>150</v>
      </c>
      <c r="G467">
        <f t="shared" si="21"/>
        <v>56550</v>
      </c>
      <c r="H467">
        <v>100</v>
      </c>
      <c r="I467">
        <f t="shared" si="22"/>
        <v>37700</v>
      </c>
      <c r="J467">
        <f t="shared" si="23"/>
        <v>18850</v>
      </c>
      <c r="K467" t="s">
        <v>24</v>
      </c>
      <c r="L467" t="s">
        <v>63</v>
      </c>
      <c r="M467" t="s">
        <v>37</v>
      </c>
      <c r="N467" t="s">
        <v>43</v>
      </c>
      <c r="O467">
        <v>697</v>
      </c>
      <c r="P467">
        <v>377</v>
      </c>
      <c r="Q467" t="s">
        <v>44</v>
      </c>
      <c r="R467" t="s">
        <v>45</v>
      </c>
      <c r="S467" t="s">
        <v>46</v>
      </c>
      <c r="T467">
        <v>2020</v>
      </c>
      <c r="U467" t="s">
        <v>66</v>
      </c>
    </row>
    <row r="468" spans="1:21" x14ac:dyDescent="0.35">
      <c r="A468" s="1">
        <v>45058</v>
      </c>
      <c r="B468" t="s">
        <v>80</v>
      </c>
      <c r="C468" t="s">
        <v>81</v>
      </c>
      <c r="D468" t="s">
        <v>82</v>
      </c>
      <c r="E468">
        <v>482</v>
      </c>
      <c r="F468">
        <v>2.5</v>
      </c>
      <c r="G468">
        <f t="shared" si="21"/>
        <v>1205</v>
      </c>
      <c r="H468">
        <v>1.5</v>
      </c>
      <c r="I468">
        <f t="shared" si="22"/>
        <v>723</v>
      </c>
      <c r="J468">
        <f t="shared" si="23"/>
        <v>482</v>
      </c>
      <c r="K468" t="s">
        <v>35</v>
      </c>
      <c r="L468" t="s">
        <v>25</v>
      </c>
      <c r="M468" t="s">
        <v>37</v>
      </c>
      <c r="N468" t="s">
        <v>43</v>
      </c>
      <c r="O468">
        <v>976</v>
      </c>
      <c r="P468">
        <v>482</v>
      </c>
      <c r="Q468" t="s">
        <v>67</v>
      </c>
      <c r="R468" t="s">
        <v>68</v>
      </c>
      <c r="S468" t="s">
        <v>69</v>
      </c>
      <c r="T468">
        <v>2020</v>
      </c>
      <c r="U468" t="s">
        <v>57</v>
      </c>
    </row>
    <row r="469" spans="1:21" x14ac:dyDescent="0.35">
      <c r="A469" s="1">
        <v>45059</v>
      </c>
      <c r="B469" t="s">
        <v>21</v>
      </c>
      <c r="C469" t="s">
        <v>22</v>
      </c>
      <c r="D469" t="s">
        <v>23</v>
      </c>
      <c r="E469">
        <v>97</v>
      </c>
      <c r="F469">
        <v>8</v>
      </c>
      <c r="G469">
        <f t="shared" si="21"/>
        <v>776</v>
      </c>
      <c r="H469">
        <v>5</v>
      </c>
      <c r="I469">
        <f t="shared" si="22"/>
        <v>485</v>
      </c>
      <c r="J469">
        <f t="shared" si="23"/>
        <v>291</v>
      </c>
      <c r="K469" t="s">
        <v>35</v>
      </c>
      <c r="L469" t="s">
        <v>36</v>
      </c>
      <c r="M469" t="s">
        <v>37</v>
      </c>
      <c r="N469" t="s">
        <v>38</v>
      </c>
      <c r="O469">
        <v>867</v>
      </c>
      <c r="P469">
        <v>97</v>
      </c>
      <c r="Q469" t="s">
        <v>90</v>
      </c>
      <c r="R469" t="s">
        <v>55</v>
      </c>
      <c r="S469" t="s">
        <v>85</v>
      </c>
      <c r="T469">
        <v>2020</v>
      </c>
      <c r="U469" t="s">
        <v>91</v>
      </c>
    </row>
    <row r="470" spans="1:21" x14ac:dyDescent="0.35">
      <c r="A470" s="1">
        <v>45060</v>
      </c>
      <c r="B470" t="s">
        <v>32</v>
      </c>
      <c r="C470" t="s">
        <v>33</v>
      </c>
      <c r="D470" t="s">
        <v>34</v>
      </c>
      <c r="E470">
        <v>183</v>
      </c>
      <c r="F470">
        <v>20</v>
      </c>
      <c r="G470">
        <f t="shared" si="21"/>
        <v>3660</v>
      </c>
      <c r="H470">
        <v>12</v>
      </c>
      <c r="I470">
        <f t="shared" si="22"/>
        <v>2196</v>
      </c>
      <c r="J470">
        <f t="shared" si="23"/>
        <v>1464</v>
      </c>
      <c r="K470" t="s">
        <v>42</v>
      </c>
      <c r="L470" t="s">
        <v>63</v>
      </c>
      <c r="M470" t="s">
        <v>61</v>
      </c>
      <c r="N470" t="s">
        <v>38</v>
      </c>
      <c r="O470">
        <v>903</v>
      </c>
      <c r="P470">
        <v>183</v>
      </c>
      <c r="Q470" t="s">
        <v>106</v>
      </c>
      <c r="R470" t="s">
        <v>107</v>
      </c>
      <c r="S470" t="s">
        <v>108</v>
      </c>
      <c r="T470">
        <v>2021</v>
      </c>
      <c r="U470" t="s">
        <v>31</v>
      </c>
    </row>
    <row r="471" spans="1:21" x14ac:dyDescent="0.35">
      <c r="A471" s="1">
        <v>45061</v>
      </c>
      <c r="B471" t="s">
        <v>48</v>
      </c>
      <c r="C471" t="s">
        <v>49</v>
      </c>
      <c r="D471" t="s">
        <v>50</v>
      </c>
      <c r="E471">
        <v>15</v>
      </c>
      <c r="F471">
        <v>150</v>
      </c>
      <c r="G471">
        <f t="shared" si="21"/>
        <v>2250</v>
      </c>
      <c r="H471">
        <v>100</v>
      </c>
      <c r="I471">
        <f t="shared" si="22"/>
        <v>1500</v>
      </c>
      <c r="J471">
        <f t="shared" si="23"/>
        <v>750</v>
      </c>
      <c r="K471" t="s">
        <v>42</v>
      </c>
      <c r="L471" t="s">
        <v>73</v>
      </c>
      <c r="M471" t="s">
        <v>37</v>
      </c>
      <c r="N471" t="s">
        <v>38</v>
      </c>
      <c r="O471">
        <v>781</v>
      </c>
      <c r="P471">
        <v>15</v>
      </c>
      <c r="Q471" t="s">
        <v>101</v>
      </c>
      <c r="R471" t="s">
        <v>101</v>
      </c>
      <c r="S471" t="s">
        <v>102</v>
      </c>
      <c r="T471">
        <v>2023</v>
      </c>
      <c r="U471" t="s">
        <v>105</v>
      </c>
    </row>
    <row r="472" spans="1:21" x14ac:dyDescent="0.35">
      <c r="A472" s="1">
        <v>45062</v>
      </c>
      <c r="B472" t="s">
        <v>58</v>
      </c>
      <c r="C472" t="s">
        <v>59</v>
      </c>
      <c r="D472" t="s">
        <v>60</v>
      </c>
      <c r="E472">
        <v>172</v>
      </c>
      <c r="F472">
        <v>5</v>
      </c>
      <c r="G472">
        <f t="shared" si="21"/>
        <v>860</v>
      </c>
      <c r="H472">
        <v>3</v>
      </c>
      <c r="I472">
        <f t="shared" si="22"/>
        <v>516</v>
      </c>
      <c r="J472">
        <f t="shared" si="23"/>
        <v>344</v>
      </c>
      <c r="K472" t="s">
        <v>35</v>
      </c>
      <c r="L472" t="s">
        <v>36</v>
      </c>
      <c r="M472" t="s">
        <v>61</v>
      </c>
      <c r="N472" t="s">
        <v>38</v>
      </c>
      <c r="O472">
        <v>900</v>
      </c>
      <c r="P472">
        <v>172</v>
      </c>
      <c r="Q472" t="s">
        <v>113</v>
      </c>
      <c r="R472" t="s">
        <v>114</v>
      </c>
      <c r="S472" t="s">
        <v>115</v>
      </c>
      <c r="T472">
        <v>2023</v>
      </c>
      <c r="U472" t="s">
        <v>109</v>
      </c>
    </row>
    <row r="473" spans="1:21" x14ac:dyDescent="0.35">
      <c r="A473" s="1">
        <v>45063</v>
      </c>
      <c r="B473" t="s">
        <v>32</v>
      </c>
      <c r="C473" t="s">
        <v>33</v>
      </c>
      <c r="D473" t="s">
        <v>34</v>
      </c>
      <c r="E473">
        <v>256</v>
      </c>
      <c r="F473">
        <v>20</v>
      </c>
      <c r="G473">
        <f t="shared" si="21"/>
        <v>5120</v>
      </c>
      <c r="H473">
        <v>12</v>
      </c>
      <c r="I473">
        <f t="shared" si="22"/>
        <v>3072</v>
      </c>
      <c r="J473">
        <f t="shared" si="23"/>
        <v>2048</v>
      </c>
      <c r="K473" t="s">
        <v>35</v>
      </c>
      <c r="L473" t="s">
        <v>63</v>
      </c>
      <c r="M473" t="s">
        <v>61</v>
      </c>
      <c r="N473" t="s">
        <v>27</v>
      </c>
      <c r="O473">
        <v>713</v>
      </c>
      <c r="P473">
        <v>256</v>
      </c>
      <c r="Q473" t="s">
        <v>54</v>
      </c>
      <c r="R473" t="s">
        <v>55</v>
      </c>
      <c r="S473" t="s">
        <v>56</v>
      </c>
      <c r="T473">
        <v>2020</v>
      </c>
      <c r="U473" t="s">
        <v>62</v>
      </c>
    </row>
    <row r="474" spans="1:21" x14ac:dyDescent="0.35">
      <c r="A474" s="1">
        <v>45064</v>
      </c>
      <c r="B474" t="s">
        <v>48</v>
      </c>
      <c r="C474" t="s">
        <v>49</v>
      </c>
      <c r="D474" t="s">
        <v>50</v>
      </c>
      <c r="E474">
        <v>417</v>
      </c>
      <c r="F474">
        <v>150</v>
      </c>
      <c r="G474">
        <f t="shared" si="21"/>
        <v>62550</v>
      </c>
      <c r="H474">
        <v>100</v>
      </c>
      <c r="I474">
        <f t="shared" si="22"/>
        <v>41700</v>
      </c>
      <c r="J474">
        <f t="shared" si="23"/>
        <v>20850</v>
      </c>
      <c r="K474" t="s">
        <v>24</v>
      </c>
      <c r="L474" t="s">
        <v>25</v>
      </c>
      <c r="M474" t="s">
        <v>26</v>
      </c>
      <c r="N474" t="s">
        <v>43</v>
      </c>
      <c r="O474">
        <v>818</v>
      </c>
      <c r="P474">
        <v>417</v>
      </c>
      <c r="Q474" t="s">
        <v>106</v>
      </c>
      <c r="R474" t="s">
        <v>107</v>
      </c>
      <c r="S474" t="s">
        <v>108</v>
      </c>
      <c r="T474">
        <v>2022</v>
      </c>
      <c r="U474" t="s">
        <v>62</v>
      </c>
    </row>
    <row r="475" spans="1:21" x14ac:dyDescent="0.35">
      <c r="A475" s="1">
        <v>45065</v>
      </c>
      <c r="B475" t="s">
        <v>98</v>
      </c>
      <c r="C475" t="s">
        <v>99</v>
      </c>
      <c r="D475" t="s">
        <v>100</v>
      </c>
      <c r="E475">
        <v>198</v>
      </c>
      <c r="F475">
        <v>6</v>
      </c>
      <c r="G475">
        <f t="shared" si="21"/>
        <v>1188</v>
      </c>
      <c r="H475">
        <v>4</v>
      </c>
      <c r="I475">
        <f t="shared" si="22"/>
        <v>792</v>
      </c>
      <c r="J475">
        <f t="shared" si="23"/>
        <v>396</v>
      </c>
      <c r="K475" t="s">
        <v>24</v>
      </c>
      <c r="L475" t="s">
        <v>63</v>
      </c>
      <c r="M475" t="s">
        <v>26</v>
      </c>
      <c r="N475" t="s">
        <v>27</v>
      </c>
      <c r="O475">
        <v>669</v>
      </c>
      <c r="P475">
        <v>198</v>
      </c>
      <c r="Q475" t="s">
        <v>110</v>
      </c>
      <c r="R475" t="s">
        <v>111</v>
      </c>
      <c r="S475" t="s">
        <v>112</v>
      </c>
      <c r="T475">
        <v>2024</v>
      </c>
      <c r="U475" t="s">
        <v>53</v>
      </c>
    </row>
    <row r="476" spans="1:21" x14ac:dyDescent="0.35">
      <c r="A476" s="1">
        <v>45066</v>
      </c>
      <c r="B476" t="s">
        <v>48</v>
      </c>
      <c r="C476" t="s">
        <v>49</v>
      </c>
      <c r="D476" t="s">
        <v>50</v>
      </c>
      <c r="E476">
        <v>103</v>
      </c>
      <c r="F476">
        <v>150</v>
      </c>
      <c r="G476">
        <f t="shared" si="21"/>
        <v>15450</v>
      </c>
      <c r="H476">
        <v>100</v>
      </c>
      <c r="I476">
        <f t="shared" si="22"/>
        <v>10300</v>
      </c>
      <c r="J476">
        <f t="shared" si="23"/>
        <v>5150</v>
      </c>
      <c r="K476" t="s">
        <v>42</v>
      </c>
      <c r="L476" t="s">
        <v>36</v>
      </c>
      <c r="M476" t="s">
        <v>26</v>
      </c>
      <c r="N476" t="s">
        <v>38</v>
      </c>
      <c r="O476">
        <v>713</v>
      </c>
      <c r="P476">
        <v>103</v>
      </c>
      <c r="Q476" t="s">
        <v>39</v>
      </c>
      <c r="R476" t="s">
        <v>40</v>
      </c>
      <c r="S476" t="s">
        <v>41</v>
      </c>
      <c r="T476">
        <v>2021</v>
      </c>
      <c r="U476" t="s">
        <v>62</v>
      </c>
    </row>
    <row r="477" spans="1:21" x14ac:dyDescent="0.35">
      <c r="A477" s="1">
        <v>45067</v>
      </c>
      <c r="B477" t="s">
        <v>48</v>
      </c>
      <c r="C477" t="s">
        <v>49</v>
      </c>
      <c r="D477" t="s">
        <v>50</v>
      </c>
      <c r="E477">
        <v>76</v>
      </c>
      <c r="F477">
        <v>150</v>
      </c>
      <c r="G477">
        <f t="shared" si="21"/>
        <v>11400</v>
      </c>
      <c r="H477">
        <v>100</v>
      </c>
      <c r="I477">
        <f t="shared" si="22"/>
        <v>7600</v>
      </c>
      <c r="J477">
        <f t="shared" si="23"/>
        <v>3800</v>
      </c>
      <c r="K477" t="s">
        <v>42</v>
      </c>
      <c r="L477" t="s">
        <v>36</v>
      </c>
      <c r="M477" t="s">
        <v>61</v>
      </c>
      <c r="N477" t="s">
        <v>27</v>
      </c>
      <c r="O477">
        <v>921</v>
      </c>
      <c r="P477">
        <v>76</v>
      </c>
      <c r="Q477" t="s">
        <v>74</v>
      </c>
      <c r="R477" t="s">
        <v>75</v>
      </c>
      <c r="S477" t="s">
        <v>76</v>
      </c>
      <c r="T477">
        <v>2023</v>
      </c>
      <c r="U477" t="s">
        <v>105</v>
      </c>
    </row>
    <row r="478" spans="1:21" x14ac:dyDescent="0.35">
      <c r="A478" s="1">
        <v>45068</v>
      </c>
      <c r="B478" t="s">
        <v>48</v>
      </c>
      <c r="C478" t="s">
        <v>49</v>
      </c>
      <c r="D478" t="s">
        <v>50</v>
      </c>
      <c r="E478">
        <v>421</v>
      </c>
      <c r="F478">
        <v>150</v>
      </c>
      <c r="G478">
        <f t="shared" si="21"/>
        <v>63150</v>
      </c>
      <c r="H478">
        <v>100</v>
      </c>
      <c r="I478">
        <f t="shared" si="22"/>
        <v>42100</v>
      </c>
      <c r="J478">
        <f t="shared" si="23"/>
        <v>21050</v>
      </c>
      <c r="K478" t="s">
        <v>24</v>
      </c>
      <c r="L478" t="s">
        <v>36</v>
      </c>
      <c r="M478" t="s">
        <v>61</v>
      </c>
      <c r="N478" t="s">
        <v>38</v>
      </c>
      <c r="O478">
        <v>932</v>
      </c>
      <c r="P478">
        <v>421</v>
      </c>
      <c r="Q478" t="s">
        <v>101</v>
      </c>
      <c r="R478" t="s">
        <v>101</v>
      </c>
      <c r="S478" t="s">
        <v>102</v>
      </c>
      <c r="T478">
        <v>2020</v>
      </c>
      <c r="U478" t="s">
        <v>86</v>
      </c>
    </row>
    <row r="479" spans="1:21" x14ac:dyDescent="0.35">
      <c r="A479" s="1">
        <v>45069</v>
      </c>
      <c r="B479" t="s">
        <v>21</v>
      </c>
      <c r="C479" t="s">
        <v>22</v>
      </c>
      <c r="D479" t="s">
        <v>23</v>
      </c>
      <c r="E479">
        <v>386</v>
      </c>
      <c r="F479">
        <v>8</v>
      </c>
      <c r="G479">
        <f t="shared" si="21"/>
        <v>3088</v>
      </c>
      <c r="H479">
        <v>5</v>
      </c>
      <c r="I479">
        <f t="shared" si="22"/>
        <v>1930</v>
      </c>
      <c r="J479">
        <f t="shared" si="23"/>
        <v>1158</v>
      </c>
      <c r="K479" t="s">
        <v>24</v>
      </c>
      <c r="L479" t="s">
        <v>36</v>
      </c>
      <c r="M479" t="s">
        <v>37</v>
      </c>
      <c r="N479" t="s">
        <v>38</v>
      </c>
      <c r="O479">
        <v>720</v>
      </c>
      <c r="P479">
        <v>386</v>
      </c>
      <c r="Q479" t="s">
        <v>67</v>
      </c>
      <c r="R479" t="s">
        <v>68</v>
      </c>
      <c r="S479" t="s">
        <v>69</v>
      </c>
      <c r="T479">
        <v>2024</v>
      </c>
      <c r="U479" t="s">
        <v>91</v>
      </c>
    </row>
    <row r="480" spans="1:21" x14ac:dyDescent="0.35">
      <c r="A480" s="1">
        <v>45070</v>
      </c>
      <c r="B480" t="s">
        <v>80</v>
      </c>
      <c r="C480" t="s">
        <v>81</v>
      </c>
      <c r="D480" t="s">
        <v>82</v>
      </c>
      <c r="E480">
        <v>371</v>
      </c>
      <c r="F480">
        <v>2.5</v>
      </c>
      <c r="G480">
        <f t="shared" si="21"/>
        <v>927.5</v>
      </c>
      <c r="H480">
        <v>1.5</v>
      </c>
      <c r="I480">
        <f t="shared" si="22"/>
        <v>556.5</v>
      </c>
      <c r="J480">
        <f t="shared" si="23"/>
        <v>371</v>
      </c>
      <c r="K480" t="s">
        <v>24</v>
      </c>
      <c r="L480" t="s">
        <v>63</v>
      </c>
      <c r="M480" t="s">
        <v>37</v>
      </c>
      <c r="N480" t="s">
        <v>43</v>
      </c>
      <c r="O480">
        <v>716</v>
      </c>
      <c r="P480">
        <v>371</v>
      </c>
      <c r="Q480" t="s">
        <v>87</v>
      </c>
      <c r="R480" t="s">
        <v>88</v>
      </c>
      <c r="S480" t="s">
        <v>89</v>
      </c>
      <c r="T480">
        <v>2024</v>
      </c>
      <c r="U480" t="s">
        <v>47</v>
      </c>
    </row>
    <row r="481" spans="1:21" x14ac:dyDescent="0.35">
      <c r="A481" s="1">
        <v>45071</v>
      </c>
      <c r="B481" t="s">
        <v>58</v>
      </c>
      <c r="C481" t="s">
        <v>59</v>
      </c>
      <c r="D481" t="s">
        <v>60</v>
      </c>
      <c r="E481">
        <v>304</v>
      </c>
      <c r="F481">
        <v>5</v>
      </c>
      <c r="G481">
        <f t="shared" si="21"/>
        <v>1520</v>
      </c>
      <c r="H481">
        <v>3</v>
      </c>
      <c r="I481">
        <f t="shared" si="22"/>
        <v>912</v>
      </c>
      <c r="J481">
        <f t="shared" si="23"/>
        <v>608</v>
      </c>
      <c r="K481" t="s">
        <v>35</v>
      </c>
      <c r="L481" t="s">
        <v>73</v>
      </c>
      <c r="M481" t="s">
        <v>61</v>
      </c>
      <c r="N481" t="s">
        <v>43</v>
      </c>
      <c r="O481">
        <v>572</v>
      </c>
      <c r="P481">
        <v>304</v>
      </c>
      <c r="Q481" t="s">
        <v>44</v>
      </c>
      <c r="R481" t="s">
        <v>45</v>
      </c>
      <c r="S481" t="s">
        <v>46</v>
      </c>
      <c r="T481">
        <v>2022</v>
      </c>
      <c r="U481" t="s">
        <v>97</v>
      </c>
    </row>
    <row r="482" spans="1:21" x14ac:dyDescent="0.35">
      <c r="A482" s="1">
        <v>45072</v>
      </c>
      <c r="B482" t="s">
        <v>32</v>
      </c>
      <c r="C482" t="s">
        <v>33</v>
      </c>
      <c r="D482" t="s">
        <v>34</v>
      </c>
      <c r="E482">
        <v>94</v>
      </c>
      <c r="F482">
        <v>20</v>
      </c>
      <c r="G482">
        <f t="shared" si="21"/>
        <v>1880</v>
      </c>
      <c r="H482">
        <v>12</v>
      </c>
      <c r="I482">
        <f t="shared" si="22"/>
        <v>1128</v>
      </c>
      <c r="J482">
        <f t="shared" si="23"/>
        <v>752</v>
      </c>
      <c r="K482" t="s">
        <v>42</v>
      </c>
      <c r="L482" t="s">
        <v>73</v>
      </c>
      <c r="M482" t="s">
        <v>37</v>
      </c>
      <c r="N482" t="s">
        <v>27</v>
      </c>
      <c r="O482">
        <v>545</v>
      </c>
      <c r="P482">
        <v>94</v>
      </c>
      <c r="Q482" t="s">
        <v>51</v>
      </c>
      <c r="R482" t="s">
        <v>45</v>
      </c>
      <c r="S482" t="s">
        <v>52</v>
      </c>
      <c r="T482">
        <v>2024</v>
      </c>
      <c r="U482" t="s">
        <v>86</v>
      </c>
    </row>
    <row r="483" spans="1:21" x14ac:dyDescent="0.35">
      <c r="A483" s="1">
        <v>45073</v>
      </c>
      <c r="B483" t="s">
        <v>80</v>
      </c>
      <c r="C483" t="s">
        <v>81</v>
      </c>
      <c r="D483" t="s">
        <v>82</v>
      </c>
      <c r="E483">
        <v>72</v>
      </c>
      <c r="F483">
        <v>2.5</v>
      </c>
      <c r="G483">
        <f t="shared" si="21"/>
        <v>180</v>
      </c>
      <c r="H483">
        <v>1.5</v>
      </c>
      <c r="I483">
        <f t="shared" si="22"/>
        <v>108</v>
      </c>
      <c r="J483">
        <f t="shared" si="23"/>
        <v>72</v>
      </c>
      <c r="K483" t="s">
        <v>35</v>
      </c>
      <c r="L483" t="s">
        <v>25</v>
      </c>
      <c r="M483" t="s">
        <v>37</v>
      </c>
      <c r="N483" t="s">
        <v>27</v>
      </c>
      <c r="O483">
        <v>584</v>
      </c>
      <c r="P483">
        <v>72</v>
      </c>
      <c r="Q483" t="s">
        <v>92</v>
      </c>
      <c r="R483" t="s">
        <v>45</v>
      </c>
      <c r="S483" t="s">
        <v>93</v>
      </c>
      <c r="T483">
        <v>2022</v>
      </c>
      <c r="U483" t="s">
        <v>109</v>
      </c>
    </row>
    <row r="484" spans="1:21" x14ac:dyDescent="0.35">
      <c r="A484" s="1">
        <v>45074</v>
      </c>
      <c r="B484" t="s">
        <v>58</v>
      </c>
      <c r="C484" t="s">
        <v>59</v>
      </c>
      <c r="D484" t="s">
        <v>60</v>
      </c>
      <c r="E484">
        <v>187</v>
      </c>
      <c r="F484">
        <v>5</v>
      </c>
      <c r="G484">
        <f t="shared" si="21"/>
        <v>935</v>
      </c>
      <c r="H484">
        <v>3</v>
      </c>
      <c r="I484">
        <f t="shared" si="22"/>
        <v>561</v>
      </c>
      <c r="J484">
        <f t="shared" si="23"/>
        <v>374</v>
      </c>
      <c r="K484" t="s">
        <v>24</v>
      </c>
      <c r="L484" t="s">
        <v>63</v>
      </c>
      <c r="M484" t="s">
        <v>37</v>
      </c>
      <c r="N484" t="s">
        <v>38</v>
      </c>
      <c r="O484">
        <v>789</v>
      </c>
      <c r="P484">
        <v>187</v>
      </c>
      <c r="Q484" t="s">
        <v>28</v>
      </c>
      <c r="R484" t="s">
        <v>29</v>
      </c>
      <c r="S484" t="s">
        <v>30</v>
      </c>
      <c r="T484">
        <v>2020</v>
      </c>
      <c r="U484" t="s">
        <v>62</v>
      </c>
    </row>
    <row r="485" spans="1:21" x14ac:dyDescent="0.35">
      <c r="A485" s="1">
        <v>45075</v>
      </c>
      <c r="B485" t="s">
        <v>48</v>
      </c>
      <c r="C485" t="s">
        <v>49</v>
      </c>
      <c r="D485" t="s">
        <v>50</v>
      </c>
      <c r="E485">
        <v>177</v>
      </c>
      <c r="F485">
        <v>150</v>
      </c>
      <c r="G485">
        <f t="shared" si="21"/>
        <v>26550</v>
      </c>
      <c r="H485">
        <v>100</v>
      </c>
      <c r="I485">
        <f t="shared" si="22"/>
        <v>17700</v>
      </c>
      <c r="J485">
        <f t="shared" si="23"/>
        <v>8850</v>
      </c>
      <c r="K485" t="s">
        <v>42</v>
      </c>
      <c r="L485" t="s">
        <v>63</v>
      </c>
      <c r="M485" t="s">
        <v>61</v>
      </c>
      <c r="N485" t="s">
        <v>27</v>
      </c>
      <c r="O485">
        <v>572</v>
      </c>
      <c r="P485">
        <v>177</v>
      </c>
      <c r="Q485" t="s">
        <v>28</v>
      </c>
      <c r="R485" t="s">
        <v>29</v>
      </c>
      <c r="S485" t="s">
        <v>30</v>
      </c>
      <c r="T485">
        <v>2022</v>
      </c>
      <c r="U485" t="s">
        <v>53</v>
      </c>
    </row>
    <row r="486" spans="1:21" x14ac:dyDescent="0.35">
      <c r="A486" s="1">
        <v>45076</v>
      </c>
      <c r="B486" t="s">
        <v>98</v>
      </c>
      <c r="C486" t="s">
        <v>99</v>
      </c>
      <c r="D486" t="s">
        <v>100</v>
      </c>
      <c r="E486">
        <v>114</v>
      </c>
      <c r="F486">
        <v>6</v>
      </c>
      <c r="G486">
        <f t="shared" si="21"/>
        <v>684</v>
      </c>
      <c r="H486">
        <v>4</v>
      </c>
      <c r="I486">
        <f t="shared" si="22"/>
        <v>456</v>
      </c>
      <c r="J486">
        <f t="shared" si="23"/>
        <v>228</v>
      </c>
      <c r="K486" t="s">
        <v>35</v>
      </c>
      <c r="L486" t="s">
        <v>36</v>
      </c>
      <c r="M486" t="s">
        <v>37</v>
      </c>
      <c r="N486" t="s">
        <v>27</v>
      </c>
      <c r="O486">
        <v>667</v>
      </c>
      <c r="P486">
        <v>114</v>
      </c>
      <c r="Q486" t="s">
        <v>87</v>
      </c>
      <c r="R486" t="s">
        <v>88</v>
      </c>
      <c r="S486" t="s">
        <v>89</v>
      </c>
      <c r="T486">
        <v>2024</v>
      </c>
      <c r="U486" t="s">
        <v>86</v>
      </c>
    </row>
    <row r="487" spans="1:21" x14ac:dyDescent="0.35">
      <c r="A487" s="1">
        <v>45077</v>
      </c>
      <c r="B487" t="s">
        <v>58</v>
      </c>
      <c r="C487" t="s">
        <v>59</v>
      </c>
      <c r="D487" t="s">
        <v>60</v>
      </c>
      <c r="E487">
        <v>370</v>
      </c>
      <c r="F487">
        <v>5</v>
      </c>
      <c r="G487">
        <f t="shared" si="21"/>
        <v>1850</v>
      </c>
      <c r="H487">
        <v>3</v>
      </c>
      <c r="I487">
        <f t="shared" si="22"/>
        <v>1110</v>
      </c>
      <c r="J487">
        <f t="shared" si="23"/>
        <v>740</v>
      </c>
      <c r="K487" t="s">
        <v>35</v>
      </c>
      <c r="L487" t="s">
        <v>63</v>
      </c>
      <c r="M487" t="s">
        <v>61</v>
      </c>
      <c r="N487" t="s">
        <v>27</v>
      </c>
      <c r="O487">
        <v>790</v>
      </c>
      <c r="P487">
        <v>370</v>
      </c>
      <c r="Q487" t="s">
        <v>83</v>
      </c>
      <c r="R487" t="s">
        <v>84</v>
      </c>
      <c r="S487" t="s">
        <v>85</v>
      </c>
      <c r="T487">
        <v>2021</v>
      </c>
      <c r="U487" t="s">
        <v>97</v>
      </c>
    </row>
    <row r="488" spans="1:21" x14ac:dyDescent="0.35">
      <c r="A488" s="1">
        <v>45078</v>
      </c>
      <c r="B488" t="s">
        <v>80</v>
      </c>
      <c r="C488" t="s">
        <v>81</v>
      </c>
      <c r="D488" t="s">
        <v>82</v>
      </c>
      <c r="E488">
        <v>389</v>
      </c>
      <c r="F488">
        <v>2.5</v>
      </c>
      <c r="G488">
        <f t="shared" si="21"/>
        <v>972.5</v>
      </c>
      <c r="H488">
        <v>1.5</v>
      </c>
      <c r="I488">
        <f t="shared" si="22"/>
        <v>583.5</v>
      </c>
      <c r="J488">
        <f t="shared" si="23"/>
        <v>389</v>
      </c>
      <c r="K488" t="s">
        <v>35</v>
      </c>
      <c r="L488" t="s">
        <v>36</v>
      </c>
      <c r="M488" t="s">
        <v>61</v>
      </c>
      <c r="N488" t="s">
        <v>27</v>
      </c>
      <c r="O488">
        <v>962</v>
      </c>
      <c r="P488">
        <v>389</v>
      </c>
      <c r="Q488" t="s">
        <v>103</v>
      </c>
      <c r="R488" t="s">
        <v>68</v>
      </c>
      <c r="S488" t="s">
        <v>104</v>
      </c>
      <c r="T488">
        <v>2021</v>
      </c>
      <c r="U488" t="s">
        <v>105</v>
      </c>
    </row>
    <row r="489" spans="1:21" x14ac:dyDescent="0.35">
      <c r="A489" s="1">
        <v>45079</v>
      </c>
      <c r="B489" t="s">
        <v>58</v>
      </c>
      <c r="C489" t="s">
        <v>59</v>
      </c>
      <c r="D489" t="s">
        <v>60</v>
      </c>
      <c r="E489">
        <v>146</v>
      </c>
      <c r="F489">
        <v>5</v>
      </c>
      <c r="G489">
        <f t="shared" si="21"/>
        <v>730</v>
      </c>
      <c r="H489">
        <v>3</v>
      </c>
      <c r="I489">
        <f t="shared" si="22"/>
        <v>438</v>
      </c>
      <c r="J489">
        <f t="shared" si="23"/>
        <v>292</v>
      </c>
      <c r="K489" t="s">
        <v>42</v>
      </c>
      <c r="L489" t="s">
        <v>63</v>
      </c>
      <c r="M489" t="s">
        <v>26</v>
      </c>
      <c r="N489" t="s">
        <v>38</v>
      </c>
      <c r="O489">
        <v>951</v>
      </c>
      <c r="P489">
        <v>146</v>
      </c>
      <c r="Q489" t="s">
        <v>101</v>
      </c>
      <c r="R489" t="s">
        <v>101</v>
      </c>
      <c r="S489" t="s">
        <v>102</v>
      </c>
      <c r="T489">
        <v>2023</v>
      </c>
      <c r="U489" t="s">
        <v>96</v>
      </c>
    </row>
    <row r="490" spans="1:21" x14ac:dyDescent="0.35">
      <c r="A490" s="1">
        <v>45080</v>
      </c>
      <c r="B490" t="s">
        <v>48</v>
      </c>
      <c r="C490" t="s">
        <v>49</v>
      </c>
      <c r="D490" t="s">
        <v>50</v>
      </c>
      <c r="E490">
        <v>239</v>
      </c>
      <c r="F490">
        <v>150</v>
      </c>
      <c r="G490">
        <f t="shared" si="21"/>
        <v>35850</v>
      </c>
      <c r="H490">
        <v>100</v>
      </c>
      <c r="I490">
        <f t="shared" si="22"/>
        <v>23900</v>
      </c>
      <c r="J490">
        <f t="shared" si="23"/>
        <v>11950</v>
      </c>
      <c r="K490" t="s">
        <v>24</v>
      </c>
      <c r="L490" t="s">
        <v>25</v>
      </c>
      <c r="M490" t="s">
        <v>26</v>
      </c>
      <c r="N490" t="s">
        <v>43</v>
      </c>
      <c r="O490">
        <v>662</v>
      </c>
      <c r="P490">
        <v>239</v>
      </c>
      <c r="Q490" t="s">
        <v>90</v>
      </c>
      <c r="R490" t="s">
        <v>55</v>
      </c>
      <c r="S490" t="s">
        <v>85</v>
      </c>
      <c r="T490">
        <v>2022</v>
      </c>
      <c r="U490" t="s">
        <v>57</v>
      </c>
    </row>
    <row r="491" spans="1:21" x14ac:dyDescent="0.35">
      <c r="A491" s="1">
        <v>45081</v>
      </c>
      <c r="B491" t="s">
        <v>48</v>
      </c>
      <c r="C491" t="s">
        <v>49</v>
      </c>
      <c r="D491" t="s">
        <v>50</v>
      </c>
      <c r="E491">
        <v>460</v>
      </c>
      <c r="F491">
        <v>150</v>
      </c>
      <c r="G491">
        <f t="shared" si="21"/>
        <v>69000</v>
      </c>
      <c r="H491">
        <v>100</v>
      </c>
      <c r="I491">
        <f t="shared" si="22"/>
        <v>46000</v>
      </c>
      <c r="J491">
        <f t="shared" si="23"/>
        <v>23000</v>
      </c>
      <c r="K491" t="s">
        <v>35</v>
      </c>
      <c r="L491" t="s">
        <v>73</v>
      </c>
      <c r="M491" t="s">
        <v>26</v>
      </c>
      <c r="N491" t="s">
        <v>43</v>
      </c>
      <c r="O491">
        <v>707</v>
      </c>
      <c r="P491">
        <v>460</v>
      </c>
      <c r="Q491" t="s">
        <v>44</v>
      </c>
      <c r="R491" t="s">
        <v>45</v>
      </c>
      <c r="S491" t="s">
        <v>46</v>
      </c>
      <c r="T491">
        <v>2021</v>
      </c>
      <c r="U491" t="s">
        <v>105</v>
      </c>
    </row>
    <row r="492" spans="1:21" x14ac:dyDescent="0.35">
      <c r="A492" s="1">
        <v>45082</v>
      </c>
      <c r="B492" t="s">
        <v>80</v>
      </c>
      <c r="C492" t="s">
        <v>81</v>
      </c>
      <c r="D492" t="s">
        <v>82</v>
      </c>
      <c r="E492">
        <v>126</v>
      </c>
      <c r="F492">
        <v>2.5</v>
      </c>
      <c r="G492">
        <f t="shared" si="21"/>
        <v>315</v>
      </c>
      <c r="H492">
        <v>1.5</v>
      </c>
      <c r="I492">
        <f t="shared" si="22"/>
        <v>189</v>
      </c>
      <c r="J492">
        <f t="shared" si="23"/>
        <v>126</v>
      </c>
      <c r="K492" t="s">
        <v>24</v>
      </c>
      <c r="L492" t="s">
        <v>73</v>
      </c>
      <c r="M492" t="s">
        <v>37</v>
      </c>
      <c r="N492" t="s">
        <v>27</v>
      </c>
      <c r="O492">
        <v>651</v>
      </c>
      <c r="P492">
        <v>126</v>
      </c>
      <c r="Q492" t="s">
        <v>77</v>
      </c>
      <c r="R492" t="s">
        <v>78</v>
      </c>
      <c r="S492" t="s">
        <v>79</v>
      </c>
      <c r="T492">
        <v>2022</v>
      </c>
      <c r="U492" t="s">
        <v>109</v>
      </c>
    </row>
    <row r="493" spans="1:21" x14ac:dyDescent="0.35">
      <c r="A493" s="1">
        <v>45083</v>
      </c>
      <c r="B493" t="s">
        <v>80</v>
      </c>
      <c r="C493" t="s">
        <v>81</v>
      </c>
      <c r="D493" t="s">
        <v>82</v>
      </c>
      <c r="E493">
        <v>473</v>
      </c>
      <c r="F493">
        <v>2.5</v>
      </c>
      <c r="G493">
        <f t="shared" si="21"/>
        <v>1182.5</v>
      </c>
      <c r="H493">
        <v>1.5</v>
      </c>
      <c r="I493">
        <f t="shared" si="22"/>
        <v>709.5</v>
      </c>
      <c r="J493">
        <f t="shared" si="23"/>
        <v>473</v>
      </c>
      <c r="K493" t="s">
        <v>42</v>
      </c>
      <c r="L493" t="s">
        <v>73</v>
      </c>
      <c r="M493" t="s">
        <v>37</v>
      </c>
      <c r="N493" t="s">
        <v>38</v>
      </c>
      <c r="O493">
        <v>849</v>
      </c>
      <c r="P493">
        <v>473</v>
      </c>
      <c r="Q493" t="s">
        <v>83</v>
      </c>
      <c r="R493" t="s">
        <v>84</v>
      </c>
      <c r="S493" t="s">
        <v>85</v>
      </c>
      <c r="T493">
        <v>2024</v>
      </c>
      <c r="U493" t="s">
        <v>66</v>
      </c>
    </row>
    <row r="494" spans="1:21" x14ac:dyDescent="0.35">
      <c r="A494" s="1">
        <v>45084</v>
      </c>
      <c r="B494" t="s">
        <v>80</v>
      </c>
      <c r="C494" t="s">
        <v>81</v>
      </c>
      <c r="D494" t="s">
        <v>82</v>
      </c>
      <c r="E494">
        <v>370</v>
      </c>
      <c r="F494">
        <v>2.5</v>
      </c>
      <c r="G494">
        <f t="shared" si="21"/>
        <v>925</v>
      </c>
      <c r="H494">
        <v>1.5</v>
      </c>
      <c r="I494">
        <f t="shared" si="22"/>
        <v>555</v>
      </c>
      <c r="J494">
        <f t="shared" si="23"/>
        <v>370</v>
      </c>
      <c r="K494" t="s">
        <v>35</v>
      </c>
      <c r="L494" t="s">
        <v>25</v>
      </c>
      <c r="M494" t="s">
        <v>26</v>
      </c>
      <c r="N494" t="s">
        <v>38</v>
      </c>
      <c r="O494">
        <v>750</v>
      </c>
      <c r="P494">
        <v>370</v>
      </c>
      <c r="Q494" t="s">
        <v>83</v>
      </c>
      <c r="R494" t="s">
        <v>84</v>
      </c>
      <c r="S494" t="s">
        <v>85</v>
      </c>
      <c r="T494">
        <v>2023</v>
      </c>
      <c r="U494" t="s">
        <v>31</v>
      </c>
    </row>
    <row r="495" spans="1:21" x14ac:dyDescent="0.35">
      <c r="A495" s="1">
        <v>45085</v>
      </c>
      <c r="B495" t="s">
        <v>21</v>
      </c>
      <c r="C495" t="s">
        <v>22</v>
      </c>
      <c r="D495" t="s">
        <v>23</v>
      </c>
      <c r="E495">
        <v>98</v>
      </c>
      <c r="F495">
        <v>8</v>
      </c>
      <c r="G495">
        <f t="shared" si="21"/>
        <v>784</v>
      </c>
      <c r="H495">
        <v>5</v>
      </c>
      <c r="I495">
        <f t="shared" si="22"/>
        <v>490</v>
      </c>
      <c r="J495">
        <f t="shared" si="23"/>
        <v>294</v>
      </c>
      <c r="K495" t="s">
        <v>35</v>
      </c>
      <c r="L495" t="s">
        <v>63</v>
      </c>
      <c r="M495" t="s">
        <v>26</v>
      </c>
      <c r="N495" t="s">
        <v>38</v>
      </c>
      <c r="O495">
        <v>641</v>
      </c>
      <c r="P495">
        <v>98</v>
      </c>
      <c r="Q495" t="s">
        <v>113</v>
      </c>
      <c r="R495" t="s">
        <v>114</v>
      </c>
      <c r="S495" t="s">
        <v>115</v>
      </c>
      <c r="T495">
        <v>2021</v>
      </c>
      <c r="U495" t="s">
        <v>97</v>
      </c>
    </row>
    <row r="496" spans="1:21" x14ac:dyDescent="0.35">
      <c r="A496" s="1">
        <v>45086</v>
      </c>
      <c r="B496" t="s">
        <v>80</v>
      </c>
      <c r="C496" t="s">
        <v>81</v>
      </c>
      <c r="D496" t="s">
        <v>82</v>
      </c>
      <c r="E496">
        <v>453</v>
      </c>
      <c r="F496">
        <v>2.5</v>
      </c>
      <c r="G496">
        <f t="shared" si="21"/>
        <v>1132.5</v>
      </c>
      <c r="H496">
        <v>1.5</v>
      </c>
      <c r="I496">
        <f t="shared" si="22"/>
        <v>679.5</v>
      </c>
      <c r="J496">
        <f t="shared" si="23"/>
        <v>453</v>
      </c>
      <c r="K496" t="s">
        <v>24</v>
      </c>
      <c r="L496" t="s">
        <v>36</v>
      </c>
      <c r="M496" t="s">
        <v>26</v>
      </c>
      <c r="N496" t="s">
        <v>43</v>
      </c>
      <c r="O496">
        <v>594</v>
      </c>
      <c r="P496">
        <v>453</v>
      </c>
      <c r="Q496" t="s">
        <v>28</v>
      </c>
      <c r="R496" t="s">
        <v>29</v>
      </c>
      <c r="S496" t="s">
        <v>30</v>
      </c>
      <c r="T496">
        <v>2020</v>
      </c>
      <c r="U496" t="s">
        <v>62</v>
      </c>
    </row>
    <row r="497" spans="1:21" x14ac:dyDescent="0.35">
      <c r="A497" s="1">
        <v>45087</v>
      </c>
      <c r="B497" t="s">
        <v>98</v>
      </c>
      <c r="C497" t="s">
        <v>99</v>
      </c>
      <c r="D497" t="s">
        <v>100</v>
      </c>
      <c r="E497">
        <v>196</v>
      </c>
      <c r="F497">
        <v>6</v>
      </c>
      <c r="G497">
        <f t="shared" si="21"/>
        <v>1176</v>
      </c>
      <c r="H497">
        <v>4</v>
      </c>
      <c r="I497">
        <f t="shared" si="22"/>
        <v>784</v>
      </c>
      <c r="J497">
        <f t="shared" si="23"/>
        <v>392</v>
      </c>
      <c r="K497" t="s">
        <v>24</v>
      </c>
      <c r="L497" t="s">
        <v>36</v>
      </c>
      <c r="M497" t="s">
        <v>26</v>
      </c>
      <c r="N497" t="s">
        <v>38</v>
      </c>
      <c r="O497">
        <v>909</v>
      </c>
      <c r="P497">
        <v>196</v>
      </c>
      <c r="Q497" t="s">
        <v>74</v>
      </c>
      <c r="R497" t="s">
        <v>75</v>
      </c>
      <c r="S497" t="s">
        <v>76</v>
      </c>
      <c r="T497">
        <v>2021</v>
      </c>
      <c r="U497" t="s">
        <v>96</v>
      </c>
    </row>
    <row r="498" spans="1:21" x14ac:dyDescent="0.35">
      <c r="A498" s="1">
        <v>45088</v>
      </c>
      <c r="B498" t="s">
        <v>21</v>
      </c>
      <c r="C498" t="s">
        <v>22</v>
      </c>
      <c r="D498" t="s">
        <v>23</v>
      </c>
      <c r="E498">
        <v>190</v>
      </c>
      <c r="F498">
        <v>8</v>
      </c>
      <c r="G498">
        <f t="shared" si="21"/>
        <v>1520</v>
      </c>
      <c r="H498">
        <v>5</v>
      </c>
      <c r="I498">
        <f t="shared" si="22"/>
        <v>950</v>
      </c>
      <c r="J498">
        <f t="shared" si="23"/>
        <v>570</v>
      </c>
      <c r="K498" t="s">
        <v>35</v>
      </c>
      <c r="L498" t="s">
        <v>25</v>
      </c>
      <c r="M498" t="s">
        <v>26</v>
      </c>
      <c r="N498" t="s">
        <v>38</v>
      </c>
      <c r="O498">
        <v>643</v>
      </c>
      <c r="P498">
        <v>190</v>
      </c>
      <c r="Q498" t="s">
        <v>54</v>
      </c>
      <c r="R498" t="s">
        <v>55</v>
      </c>
      <c r="S498" t="s">
        <v>56</v>
      </c>
      <c r="T498">
        <v>2023</v>
      </c>
      <c r="U498" t="s">
        <v>47</v>
      </c>
    </row>
    <row r="499" spans="1:21" x14ac:dyDescent="0.35">
      <c r="A499" s="1">
        <v>45089</v>
      </c>
      <c r="B499" t="s">
        <v>48</v>
      </c>
      <c r="C499" t="s">
        <v>49</v>
      </c>
      <c r="D499" t="s">
        <v>50</v>
      </c>
      <c r="E499">
        <v>448</v>
      </c>
      <c r="F499">
        <v>150</v>
      </c>
      <c r="G499">
        <f t="shared" si="21"/>
        <v>67200</v>
      </c>
      <c r="H499">
        <v>100</v>
      </c>
      <c r="I499">
        <f t="shared" si="22"/>
        <v>44800</v>
      </c>
      <c r="J499">
        <f t="shared" si="23"/>
        <v>22400</v>
      </c>
      <c r="K499" t="s">
        <v>35</v>
      </c>
      <c r="L499" t="s">
        <v>36</v>
      </c>
      <c r="M499" t="s">
        <v>61</v>
      </c>
      <c r="N499" t="s">
        <v>43</v>
      </c>
      <c r="O499">
        <v>635</v>
      </c>
      <c r="P499">
        <v>448</v>
      </c>
      <c r="Q499" t="s">
        <v>39</v>
      </c>
      <c r="R499" t="s">
        <v>40</v>
      </c>
      <c r="S499" t="s">
        <v>41</v>
      </c>
      <c r="T499">
        <v>2022</v>
      </c>
      <c r="U499" t="s">
        <v>57</v>
      </c>
    </row>
    <row r="500" spans="1:21" x14ac:dyDescent="0.35">
      <c r="A500" s="1">
        <v>45090</v>
      </c>
      <c r="B500" t="s">
        <v>21</v>
      </c>
      <c r="C500" t="s">
        <v>22</v>
      </c>
      <c r="D500" t="s">
        <v>23</v>
      </c>
      <c r="E500">
        <v>343</v>
      </c>
      <c r="F500">
        <v>8</v>
      </c>
      <c r="G500">
        <f t="shared" si="21"/>
        <v>2744</v>
      </c>
      <c r="H500">
        <v>5</v>
      </c>
      <c r="I500">
        <f t="shared" si="22"/>
        <v>1715</v>
      </c>
      <c r="J500">
        <f t="shared" si="23"/>
        <v>1029</v>
      </c>
      <c r="K500" t="s">
        <v>42</v>
      </c>
      <c r="L500" t="s">
        <v>36</v>
      </c>
      <c r="M500" t="s">
        <v>61</v>
      </c>
      <c r="N500" t="s">
        <v>27</v>
      </c>
      <c r="O500">
        <v>668</v>
      </c>
      <c r="P500">
        <v>343</v>
      </c>
      <c r="Q500" t="s">
        <v>51</v>
      </c>
      <c r="R500" t="s">
        <v>45</v>
      </c>
      <c r="S500" t="s">
        <v>52</v>
      </c>
      <c r="T500">
        <v>2023</v>
      </c>
      <c r="U500" t="s">
        <v>57</v>
      </c>
    </row>
    <row r="501" spans="1:21" x14ac:dyDescent="0.35">
      <c r="A501" s="1">
        <v>45091</v>
      </c>
      <c r="B501" t="s">
        <v>48</v>
      </c>
      <c r="C501" t="s">
        <v>49</v>
      </c>
      <c r="D501" t="s">
        <v>50</v>
      </c>
      <c r="E501">
        <v>283</v>
      </c>
      <c r="F501">
        <v>150</v>
      </c>
      <c r="G501">
        <f t="shared" si="21"/>
        <v>42450</v>
      </c>
      <c r="H501">
        <v>100</v>
      </c>
      <c r="I501">
        <f t="shared" si="22"/>
        <v>28300</v>
      </c>
      <c r="J501">
        <f t="shared" si="23"/>
        <v>14150</v>
      </c>
      <c r="K501" t="s">
        <v>35</v>
      </c>
      <c r="L501" t="s">
        <v>25</v>
      </c>
      <c r="M501" t="s">
        <v>37</v>
      </c>
      <c r="N501" t="s">
        <v>27</v>
      </c>
      <c r="O501">
        <v>892</v>
      </c>
      <c r="P501">
        <v>283</v>
      </c>
      <c r="Q501" t="s">
        <v>67</v>
      </c>
      <c r="R501" t="s">
        <v>68</v>
      </c>
      <c r="S501" t="s">
        <v>69</v>
      </c>
      <c r="T501">
        <v>2021</v>
      </c>
      <c r="U501" t="s">
        <v>96</v>
      </c>
    </row>
    <row r="502" spans="1:21" x14ac:dyDescent="0.35">
      <c r="A502" s="1">
        <v>45092</v>
      </c>
      <c r="B502" t="s">
        <v>48</v>
      </c>
      <c r="C502" t="s">
        <v>49</v>
      </c>
      <c r="D502" t="s">
        <v>50</v>
      </c>
      <c r="E502">
        <v>405</v>
      </c>
      <c r="F502">
        <v>150</v>
      </c>
      <c r="G502">
        <f t="shared" si="21"/>
        <v>60750</v>
      </c>
      <c r="H502">
        <v>100</v>
      </c>
      <c r="I502">
        <f t="shared" si="22"/>
        <v>40500</v>
      </c>
      <c r="J502">
        <f t="shared" si="23"/>
        <v>20250</v>
      </c>
      <c r="K502" t="s">
        <v>42</v>
      </c>
      <c r="L502" t="s">
        <v>63</v>
      </c>
      <c r="M502" t="s">
        <v>26</v>
      </c>
      <c r="N502" t="s">
        <v>27</v>
      </c>
      <c r="O502">
        <v>959</v>
      </c>
      <c r="P502">
        <v>405</v>
      </c>
      <c r="Q502" t="s">
        <v>70</v>
      </c>
      <c r="R502" t="s">
        <v>71</v>
      </c>
      <c r="S502" t="s">
        <v>72</v>
      </c>
      <c r="T502">
        <v>2021</v>
      </c>
      <c r="U502" t="s">
        <v>105</v>
      </c>
    </row>
    <row r="503" spans="1:21" x14ac:dyDescent="0.35">
      <c r="A503" s="1">
        <v>45093</v>
      </c>
      <c r="B503" t="s">
        <v>80</v>
      </c>
      <c r="C503" t="s">
        <v>81</v>
      </c>
      <c r="D503" t="s">
        <v>82</v>
      </c>
      <c r="E503">
        <v>190</v>
      </c>
      <c r="F503">
        <v>2.5</v>
      </c>
      <c r="G503">
        <f t="shared" si="21"/>
        <v>475</v>
      </c>
      <c r="H503">
        <v>1.5</v>
      </c>
      <c r="I503">
        <f t="shared" si="22"/>
        <v>285</v>
      </c>
      <c r="J503">
        <f t="shared" si="23"/>
        <v>190</v>
      </c>
      <c r="K503" t="s">
        <v>24</v>
      </c>
      <c r="L503" t="s">
        <v>25</v>
      </c>
      <c r="M503" t="s">
        <v>37</v>
      </c>
      <c r="N503" t="s">
        <v>43</v>
      </c>
      <c r="O503">
        <v>594</v>
      </c>
      <c r="P503">
        <v>190</v>
      </c>
      <c r="Q503" t="s">
        <v>92</v>
      </c>
      <c r="R503" t="s">
        <v>45</v>
      </c>
      <c r="S503" t="s">
        <v>93</v>
      </c>
      <c r="T503">
        <v>2022</v>
      </c>
      <c r="U503" t="s">
        <v>97</v>
      </c>
    </row>
    <row r="504" spans="1:21" x14ac:dyDescent="0.35">
      <c r="A504" s="1">
        <v>45094</v>
      </c>
      <c r="B504" t="s">
        <v>21</v>
      </c>
      <c r="C504" t="s">
        <v>22</v>
      </c>
      <c r="D504" t="s">
        <v>23</v>
      </c>
      <c r="E504">
        <v>440</v>
      </c>
      <c r="F504">
        <v>8</v>
      </c>
      <c r="G504">
        <f t="shared" si="21"/>
        <v>3520</v>
      </c>
      <c r="H504">
        <v>5</v>
      </c>
      <c r="I504">
        <f t="shared" si="22"/>
        <v>2200</v>
      </c>
      <c r="J504">
        <f t="shared" si="23"/>
        <v>1320</v>
      </c>
      <c r="K504" t="s">
        <v>35</v>
      </c>
      <c r="L504" t="s">
        <v>36</v>
      </c>
      <c r="M504" t="s">
        <v>61</v>
      </c>
      <c r="N504" t="s">
        <v>43</v>
      </c>
      <c r="O504">
        <v>631</v>
      </c>
      <c r="P504">
        <v>440</v>
      </c>
      <c r="Q504" t="s">
        <v>44</v>
      </c>
      <c r="R504" t="s">
        <v>45</v>
      </c>
      <c r="S504" t="s">
        <v>46</v>
      </c>
      <c r="T504">
        <v>2020</v>
      </c>
      <c r="U504" t="s">
        <v>57</v>
      </c>
    </row>
    <row r="505" spans="1:21" x14ac:dyDescent="0.35">
      <c r="A505" s="1">
        <v>45095</v>
      </c>
      <c r="B505" t="s">
        <v>32</v>
      </c>
      <c r="C505" t="s">
        <v>33</v>
      </c>
      <c r="D505" t="s">
        <v>34</v>
      </c>
      <c r="E505">
        <v>334</v>
      </c>
      <c r="F505">
        <v>20</v>
      </c>
      <c r="G505">
        <f t="shared" si="21"/>
        <v>6680</v>
      </c>
      <c r="H505">
        <v>12</v>
      </c>
      <c r="I505">
        <f t="shared" si="22"/>
        <v>4008</v>
      </c>
      <c r="J505">
        <f t="shared" si="23"/>
        <v>2672</v>
      </c>
      <c r="K505" t="s">
        <v>24</v>
      </c>
      <c r="L505" t="s">
        <v>73</v>
      </c>
      <c r="M505" t="s">
        <v>26</v>
      </c>
      <c r="N505" t="s">
        <v>27</v>
      </c>
      <c r="O505">
        <v>948</v>
      </c>
      <c r="P505">
        <v>334</v>
      </c>
      <c r="Q505" t="s">
        <v>28</v>
      </c>
      <c r="R505" t="s">
        <v>29</v>
      </c>
      <c r="S505" t="s">
        <v>30</v>
      </c>
      <c r="T505">
        <v>2022</v>
      </c>
      <c r="U505" t="s">
        <v>105</v>
      </c>
    </row>
    <row r="506" spans="1:21" x14ac:dyDescent="0.35">
      <c r="A506" s="1">
        <v>45096</v>
      </c>
      <c r="B506" t="s">
        <v>80</v>
      </c>
      <c r="C506" t="s">
        <v>81</v>
      </c>
      <c r="D506" t="s">
        <v>82</v>
      </c>
      <c r="E506">
        <v>353</v>
      </c>
      <c r="F506">
        <v>2.5</v>
      </c>
      <c r="G506">
        <f t="shared" si="21"/>
        <v>882.5</v>
      </c>
      <c r="H506">
        <v>1.5</v>
      </c>
      <c r="I506">
        <f t="shared" si="22"/>
        <v>529.5</v>
      </c>
      <c r="J506">
        <f t="shared" si="23"/>
        <v>353</v>
      </c>
      <c r="K506" t="s">
        <v>42</v>
      </c>
      <c r="L506" t="s">
        <v>73</v>
      </c>
      <c r="M506" t="s">
        <v>61</v>
      </c>
      <c r="N506" t="s">
        <v>43</v>
      </c>
      <c r="O506">
        <v>736</v>
      </c>
      <c r="P506">
        <v>353</v>
      </c>
      <c r="Q506" t="s">
        <v>87</v>
      </c>
      <c r="R506" t="s">
        <v>88</v>
      </c>
      <c r="S506" t="s">
        <v>89</v>
      </c>
      <c r="T506">
        <v>2023</v>
      </c>
      <c r="U506" t="s">
        <v>62</v>
      </c>
    </row>
    <row r="507" spans="1:21" x14ac:dyDescent="0.35">
      <c r="A507" s="1">
        <v>45097</v>
      </c>
      <c r="B507" t="s">
        <v>98</v>
      </c>
      <c r="C507" t="s">
        <v>99</v>
      </c>
      <c r="D507" t="s">
        <v>100</v>
      </c>
      <c r="E507">
        <v>17</v>
      </c>
      <c r="F507">
        <v>6</v>
      </c>
      <c r="G507">
        <f t="shared" si="21"/>
        <v>102</v>
      </c>
      <c r="H507">
        <v>4</v>
      </c>
      <c r="I507">
        <f t="shared" si="22"/>
        <v>68</v>
      </c>
      <c r="J507">
        <f t="shared" si="23"/>
        <v>34</v>
      </c>
      <c r="K507" t="s">
        <v>35</v>
      </c>
      <c r="L507" t="s">
        <v>36</v>
      </c>
      <c r="M507" t="s">
        <v>37</v>
      </c>
      <c r="N507" t="s">
        <v>38</v>
      </c>
      <c r="O507">
        <v>933</v>
      </c>
      <c r="P507">
        <v>17</v>
      </c>
      <c r="Q507" t="s">
        <v>44</v>
      </c>
      <c r="R507" t="s">
        <v>45</v>
      </c>
      <c r="S507" t="s">
        <v>46</v>
      </c>
      <c r="T507">
        <v>2021</v>
      </c>
      <c r="U507" t="s">
        <v>105</v>
      </c>
    </row>
    <row r="508" spans="1:21" x14ac:dyDescent="0.35">
      <c r="A508" s="1">
        <v>45098</v>
      </c>
      <c r="B508" t="s">
        <v>80</v>
      </c>
      <c r="C508" t="s">
        <v>81</v>
      </c>
      <c r="D508" t="s">
        <v>82</v>
      </c>
      <c r="E508">
        <v>497</v>
      </c>
      <c r="F508">
        <v>2.5</v>
      </c>
      <c r="G508">
        <f t="shared" si="21"/>
        <v>1242.5</v>
      </c>
      <c r="H508">
        <v>1.5</v>
      </c>
      <c r="I508">
        <f t="shared" si="22"/>
        <v>745.5</v>
      </c>
      <c r="J508">
        <f t="shared" si="23"/>
        <v>497</v>
      </c>
      <c r="K508" t="s">
        <v>42</v>
      </c>
      <c r="L508" t="s">
        <v>36</v>
      </c>
      <c r="M508" t="s">
        <v>37</v>
      </c>
      <c r="N508" t="s">
        <v>43</v>
      </c>
      <c r="O508">
        <v>987</v>
      </c>
      <c r="P508">
        <v>497</v>
      </c>
      <c r="Q508" t="s">
        <v>44</v>
      </c>
      <c r="R508" t="s">
        <v>45</v>
      </c>
      <c r="S508" t="s">
        <v>46</v>
      </c>
      <c r="T508">
        <v>2024</v>
      </c>
      <c r="U508" t="s">
        <v>91</v>
      </c>
    </row>
    <row r="509" spans="1:21" x14ac:dyDescent="0.35">
      <c r="A509" s="1">
        <v>45099</v>
      </c>
      <c r="B509" t="s">
        <v>48</v>
      </c>
      <c r="C509" t="s">
        <v>49</v>
      </c>
      <c r="D509" t="s">
        <v>50</v>
      </c>
      <c r="E509">
        <v>202</v>
      </c>
      <c r="F509">
        <v>150</v>
      </c>
      <c r="G509">
        <f t="shared" si="21"/>
        <v>30300</v>
      </c>
      <c r="H509">
        <v>100</v>
      </c>
      <c r="I509">
        <f t="shared" si="22"/>
        <v>20200</v>
      </c>
      <c r="J509">
        <f t="shared" si="23"/>
        <v>10100</v>
      </c>
      <c r="K509" t="s">
        <v>24</v>
      </c>
      <c r="L509" t="s">
        <v>63</v>
      </c>
      <c r="M509" t="s">
        <v>37</v>
      </c>
      <c r="N509" t="s">
        <v>27</v>
      </c>
      <c r="O509">
        <v>608</v>
      </c>
      <c r="P509">
        <v>202</v>
      </c>
      <c r="Q509" t="s">
        <v>54</v>
      </c>
      <c r="R509" t="s">
        <v>55</v>
      </c>
      <c r="S509" t="s">
        <v>56</v>
      </c>
      <c r="T509">
        <v>2024</v>
      </c>
      <c r="U509" t="s">
        <v>31</v>
      </c>
    </row>
    <row r="510" spans="1:21" x14ac:dyDescent="0.35">
      <c r="A510" s="1">
        <v>45100</v>
      </c>
      <c r="B510" t="s">
        <v>32</v>
      </c>
      <c r="C510" t="s">
        <v>33</v>
      </c>
      <c r="D510" t="s">
        <v>34</v>
      </c>
      <c r="E510">
        <v>455</v>
      </c>
      <c r="F510">
        <v>20</v>
      </c>
      <c r="G510">
        <f t="shared" si="21"/>
        <v>9100</v>
      </c>
      <c r="H510">
        <v>12</v>
      </c>
      <c r="I510">
        <f t="shared" si="22"/>
        <v>5460</v>
      </c>
      <c r="J510">
        <f t="shared" si="23"/>
        <v>3640</v>
      </c>
      <c r="K510" t="s">
        <v>24</v>
      </c>
      <c r="L510" t="s">
        <v>25</v>
      </c>
      <c r="M510" t="s">
        <v>37</v>
      </c>
      <c r="N510" t="s">
        <v>43</v>
      </c>
      <c r="O510">
        <v>977</v>
      </c>
      <c r="P510">
        <v>455</v>
      </c>
      <c r="Q510" t="s">
        <v>103</v>
      </c>
      <c r="R510" t="s">
        <v>68</v>
      </c>
      <c r="S510" t="s">
        <v>104</v>
      </c>
      <c r="T510">
        <v>2022</v>
      </c>
      <c r="U510" t="s">
        <v>47</v>
      </c>
    </row>
    <row r="511" spans="1:21" x14ac:dyDescent="0.35">
      <c r="A511" s="1">
        <v>45101</v>
      </c>
      <c r="B511" t="s">
        <v>80</v>
      </c>
      <c r="C511" t="s">
        <v>81</v>
      </c>
      <c r="D511" t="s">
        <v>82</v>
      </c>
      <c r="E511">
        <v>262</v>
      </c>
      <c r="F511">
        <v>2.5</v>
      </c>
      <c r="G511">
        <f t="shared" si="21"/>
        <v>655</v>
      </c>
      <c r="H511">
        <v>1.5</v>
      </c>
      <c r="I511">
        <f t="shared" si="22"/>
        <v>393</v>
      </c>
      <c r="J511">
        <f t="shared" si="23"/>
        <v>262</v>
      </c>
      <c r="K511" t="s">
        <v>24</v>
      </c>
      <c r="L511" t="s">
        <v>36</v>
      </c>
      <c r="M511" t="s">
        <v>37</v>
      </c>
      <c r="N511" t="s">
        <v>27</v>
      </c>
      <c r="O511">
        <v>768</v>
      </c>
      <c r="P511">
        <v>262</v>
      </c>
      <c r="Q511" t="s">
        <v>94</v>
      </c>
      <c r="R511" t="s">
        <v>75</v>
      </c>
      <c r="S511" t="s">
        <v>95</v>
      </c>
      <c r="T511">
        <v>2024</v>
      </c>
      <c r="U511" t="s">
        <v>31</v>
      </c>
    </row>
    <row r="512" spans="1:21" x14ac:dyDescent="0.35">
      <c r="A512" s="1">
        <v>45102</v>
      </c>
      <c r="B512" t="s">
        <v>58</v>
      </c>
      <c r="C512" t="s">
        <v>59</v>
      </c>
      <c r="D512" t="s">
        <v>60</v>
      </c>
      <c r="E512">
        <v>314</v>
      </c>
      <c r="F512">
        <v>5</v>
      </c>
      <c r="G512">
        <f t="shared" si="21"/>
        <v>1570</v>
      </c>
      <c r="H512">
        <v>3</v>
      </c>
      <c r="I512">
        <f t="shared" si="22"/>
        <v>942</v>
      </c>
      <c r="J512">
        <f t="shared" si="23"/>
        <v>628</v>
      </c>
      <c r="K512" t="s">
        <v>35</v>
      </c>
      <c r="L512" t="s">
        <v>73</v>
      </c>
      <c r="M512" t="s">
        <v>37</v>
      </c>
      <c r="N512" t="s">
        <v>38</v>
      </c>
      <c r="O512">
        <v>735</v>
      </c>
      <c r="P512">
        <v>314</v>
      </c>
      <c r="Q512" t="s">
        <v>39</v>
      </c>
      <c r="R512" t="s">
        <v>40</v>
      </c>
      <c r="S512" t="s">
        <v>41</v>
      </c>
      <c r="T512">
        <v>2023</v>
      </c>
      <c r="U512" t="s">
        <v>109</v>
      </c>
    </row>
    <row r="513" spans="1:21" x14ac:dyDescent="0.35">
      <c r="A513" s="1">
        <v>45103</v>
      </c>
      <c r="B513" t="s">
        <v>98</v>
      </c>
      <c r="C513" t="s">
        <v>99</v>
      </c>
      <c r="D513" t="s">
        <v>100</v>
      </c>
      <c r="E513">
        <v>233</v>
      </c>
      <c r="F513">
        <v>6</v>
      </c>
      <c r="G513">
        <f t="shared" si="21"/>
        <v>1398</v>
      </c>
      <c r="H513">
        <v>4</v>
      </c>
      <c r="I513">
        <f t="shared" si="22"/>
        <v>932</v>
      </c>
      <c r="J513">
        <f t="shared" si="23"/>
        <v>466</v>
      </c>
      <c r="K513" t="s">
        <v>24</v>
      </c>
      <c r="L513" t="s">
        <v>36</v>
      </c>
      <c r="M513" t="s">
        <v>37</v>
      </c>
      <c r="N513" t="s">
        <v>27</v>
      </c>
      <c r="O513">
        <v>799</v>
      </c>
      <c r="P513">
        <v>233</v>
      </c>
      <c r="Q513" t="s">
        <v>103</v>
      </c>
      <c r="R513" t="s">
        <v>68</v>
      </c>
      <c r="S513" t="s">
        <v>104</v>
      </c>
      <c r="T513">
        <v>2022</v>
      </c>
      <c r="U513" t="s">
        <v>47</v>
      </c>
    </row>
    <row r="514" spans="1:21" x14ac:dyDescent="0.35">
      <c r="A514" s="1">
        <v>45104</v>
      </c>
      <c r="B514" t="s">
        <v>98</v>
      </c>
      <c r="C514" t="s">
        <v>99</v>
      </c>
      <c r="D514" t="s">
        <v>100</v>
      </c>
      <c r="E514">
        <v>490</v>
      </c>
      <c r="F514">
        <v>6</v>
      </c>
      <c r="G514">
        <f t="shared" si="21"/>
        <v>2940</v>
      </c>
      <c r="H514">
        <v>4</v>
      </c>
      <c r="I514">
        <f t="shared" si="22"/>
        <v>1960</v>
      </c>
      <c r="J514">
        <f t="shared" si="23"/>
        <v>980</v>
      </c>
      <c r="K514" t="s">
        <v>24</v>
      </c>
      <c r="L514" t="s">
        <v>63</v>
      </c>
      <c r="M514" t="s">
        <v>26</v>
      </c>
      <c r="N514" t="s">
        <v>27</v>
      </c>
      <c r="O514">
        <v>990</v>
      </c>
      <c r="P514">
        <v>490</v>
      </c>
      <c r="Q514" t="s">
        <v>67</v>
      </c>
      <c r="R514" t="s">
        <v>68</v>
      </c>
      <c r="S514" t="s">
        <v>69</v>
      </c>
      <c r="T514">
        <v>2022</v>
      </c>
      <c r="U514" t="s">
        <v>47</v>
      </c>
    </row>
    <row r="515" spans="1:21" x14ac:dyDescent="0.35">
      <c r="A515" s="1">
        <v>45105</v>
      </c>
      <c r="B515" t="s">
        <v>48</v>
      </c>
      <c r="C515" t="s">
        <v>49</v>
      </c>
      <c r="D515" t="s">
        <v>50</v>
      </c>
      <c r="E515">
        <v>39</v>
      </c>
      <c r="F515">
        <v>150</v>
      </c>
      <c r="G515">
        <f t="shared" ref="G515:G578" si="24">E515*F515</f>
        <v>5850</v>
      </c>
      <c r="H515">
        <v>100</v>
      </c>
      <c r="I515">
        <f t="shared" ref="I515:I578" si="25">E515*H515</f>
        <v>3900</v>
      </c>
      <c r="J515">
        <f t="shared" ref="J515:J578" si="26">G515-I515</f>
        <v>1950</v>
      </c>
      <c r="K515" t="s">
        <v>24</v>
      </c>
      <c r="L515" t="s">
        <v>25</v>
      </c>
      <c r="M515" t="s">
        <v>26</v>
      </c>
      <c r="N515" t="s">
        <v>43</v>
      </c>
      <c r="O515">
        <v>555</v>
      </c>
      <c r="P515">
        <v>39</v>
      </c>
      <c r="Q515" t="s">
        <v>113</v>
      </c>
      <c r="R515" t="s">
        <v>114</v>
      </c>
      <c r="S515" t="s">
        <v>115</v>
      </c>
      <c r="T515">
        <v>2024</v>
      </c>
      <c r="U515" t="s">
        <v>91</v>
      </c>
    </row>
    <row r="516" spans="1:21" x14ac:dyDescent="0.35">
      <c r="A516" s="1">
        <v>45106</v>
      </c>
      <c r="B516" t="s">
        <v>32</v>
      </c>
      <c r="C516" t="s">
        <v>33</v>
      </c>
      <c r="D516" t="s">
        <v>34</v>
      </c>
      <c r="E516">
        <v>330</v>
      </c>
      <c r="F516">
        <v>20</v>
      </c>
      <c r="G516">
        <f t="shared" si="24"/>
        <v>6600</v>
      </c>
      <c r="H516">
        <v>12</v>
      </c>
      <c r="I516">
        <f t="shared" si="25"/>
        <v>3960</v>
      </c>
      <c r="J516">
        <f t="shared" si="26"/>
        <v>2640</v>
      </c>
      <c r="K516" t="s">
        <v>42</v>
      </c>
      <c r="L516" t="s">
        <v>25</v>
      </c>
      <c r="M516" t="s">
        <v>26</v>
      </c>
      <c r="N516" t="s">
        <v>38</v>
      </c>
      <c r="O516">
        <v>724</v>
      </c>
      <c r="P516">
        <v>330</v>
      </c>
      <c r="Q516" t="s">
        <v>77</v>
      </c>
      <c r="R516" t="s">
        <v>78</v>
      </c>
      <c r="S516" t="s">
        <v>79</v>
      </c>
      <c r="T516">
        <v>2023</v>
      </c>
      <c r="U516" t="s">
        <v>66</v>
      </c>
    </row>
    <row r="517" spans="1:21" x14ac:dyDescent="0.35">
      <c r="A517" s="1">
        <v>45107</v>
      </c>
      <c r="B517" t="s">
        <v>48</v>
      </c>
      <c r="C517" t="s">
        <v>49</v>
      </c>
      <c r="D517" t="s">
        <v>50</v>
      </c>
      <c r="E517">
        <v>188</v>
      </c>
      <c r="F517">
        <v>150</v>
      </c>
      <c r="G517">
        <f t="shared" si="24"/>
        <v>28200</v>
      </c>
      <c r="H517">
        <v>100</v>
      </c>
      <c r="I517">
        <f t="shared" si="25"/>
        <v>18800</v>
      </c>
      <c r="J517">
        <f t="shared" si="26"/>
        <v>9400</v>
      </c>
      <c r="K517" t="s">
        <v>42</v>
      </c>
      <c r="L517" t="s">
        <v>73</v>
      </c>
      <c r="M517" t="s">
        <v>37</v>
      </c>
      <c r="N517" t="s">
        <v>38</v>
      </c>
      <c r="O517">
        <v>541</v>
      </c>
      <c r="P517">
        <v>188</v>
      </c>
      <c r="Q517" t="s">
        <v>28</v>
      </c>
      <c r="R517" t="s">
        <v>29</v>
      </c>
      <c r="S517" t="s">
        <v>30</v>
      </c>
      <c r="T517">
        <v>2022</v>
      </c>
      <c r="U517" t="s">
        <v>97</v>
      </c>
    </row>
    <row r="518" spans="1:21" x14ac:dyDescent="0.35">
      <c r="A518" s="1">
        <v>45108</v>
      </c>
      <c r="B518" t="s">
        <v>32</v>
      </c>
      <c r="C518" t="s">
        <v>33</v>
      </c>
      <c r="D518" t="s">
        <v>34</v>
      </c>
      <c r="E518">
        <v>161</v>
      </c>
      <c r="F518">
        <v>20</v>
      </c>
      <c r="G518">
        <f t="shared" si="24"/>
        <v>3220</v>
      </c>
      <c r="H518">
        <v>12</v>
      </c>
      <c r="I518">
        <f t="shared" si="25"/>
        <v>1932</v>
      </c>
      <c r="J518">
        <f t="shared" si="26"/>
        <v>1288</v>
      </c>
      <c r="K518" t="s">
        <v>42</v>
      </c>
      <c r="L518" t="s">
        <v>73</v>
      </c>
      <c r="M518" t="s">
        <v>37</v>
      </c>
      <c r="N518" t="s">
        <v>43</v>
      </c>
      <c r="O518">
        <v>930</v>
      </c>
      <c r="P518">
        <v>161</v>
      </c>
      <c r="Q518" t="s">
        <v>110</v>
      </c>
      <c r="R518" t="s">
        <v>111</v>
      </c>
      <c r="S518" t="s">
        <v>112</v>
      </c>
      <c r="T518">
        <v>2023</v>
      </c>
      <c r="U518" t="s">
        <v>105</v>
      </c>
    </row>
    <row r="519" spans="1:21" x14ac:dyDescent="0.35">
      <c r="A519" s="1">
        <v>45109</v>
      </c>
      <c r="B519" t="s">
        <v>80</v>
      </c>
      <c r="C519" t="s">
        <v>81</v>
      </c>
      <c r="D519" t="s">
        <v>82</v>
      </c>
      <c r="E519">
        <v>321</v>
      </c>
      <c r="F519">
        <v>2.5</v>
      </c>
      <c r="G519">
        <f t="shared" si="24"/>
        <v>802.5</v>
      </c>
      <c r="H519">
        <v>1.5</v>
      </c>
      <c r="I519">
        <f t="shared" si="25"/>
        <v>481.5</v>
      </c>
      <c r="J519">
        <f t="shared" si="26"/>
        <v>321</v>
      </c>
      <c r="K519" t="s">
        <v>35</v>
      </c>
      <c r="L519" t="s">
        <v>25</v>
      </c>
      <c r="M519" t="s">
        <v>26</v>
      </c>
      <c r="N519" t="s">
        <v>27</v>
      </c>
      <c r="O519">
        <v>862</v>
      </c>
      <c r="P519">
        <v>321</v>
      </c>
      <c r="Q519" t="s">
        <v>90</v>
      </c>
      <c r="R519" t="s">
        <v>55</v>
      </c>
      <c r="S519" t="s">
        <v>85</v>
      </c>
      <c r="T519">
        <v>2023</v>
      </c>
      <c r="U519" t="s">
        <v>62</v>
      </c>
    </row>
    <row r="520" spans="1:21" x14ac:dyDescent="0.35">
      <c r="A520" s="1">
        <v>45110</v>
      </c>
      <c r="B520" t="s">
        <v>58</v>
      </c>
      <c r="C520" t="s">
        <v>59</v>
      </c>
      <c r="D520" t="s">
        <v>60</v>
      </c>
      <c r="E520">
        <v>217</v>
      </c>
      <c r="F520">
        <v>5</v>
      </c>
      <c r="G520">
        <f t="shared" si="24"/>
        <v>1085</v>
      </c>
      <c r="H520">
        <v>3</v>
      </c>
      <c r="I520">
        <f t="shared" si="25"/>
        <v>651</v>
      </c>
      <c r="J520">
        <f t="shared" si="26"/>
        <v>434</v>
      </c>
      <c r="K520" t="s">
        <v>35</v>
      </c>
      <c r="L520" t="s">
        <v>63</v>
      </c>
      <c r="M520" t="s">
        <v>26</v>
      </c>
      <c r="N520" t="s">
        <v>38</v>
      </c>
      <c r="O520">
        <v>854</v>
      </c>
      <c r="P520">
        <v>217</v>
      </c>
      <c r="Q520" t="s">
        <v>101</v>
      </c>
      <c r="R520" t="s">
        <v>101</v>
      </c>
      <c r="S520" t="s">
        <v>102</v>
      </c>
      <c r="T520">
        <v>2022</v>
      </c>
      <c r="U520" t="s">
        <v>31</v>
      </c>
    </row>
    <row r="521" spans="1:21" x14ac:dyDescent="0.35">
      <c r="A521" s="1">
        <v>45111</v>
      </c>
      <c r="B521" t="s">
        <v>21</v>
      </c>
      <c r="C521" t="s">
        <v>22</v>
      </c>
      <c r="D521" t="s">
        <v>23</v>
      </c>
      <c r="E521">
        <v>338</v>
      </c>
      <c r="F521">
        <v>8</v>
      </c>
      <c r="G521">
        <f t="shared" si="24"/>
        <v>2704</v>
      </c>
      <c r="H521">
        <v>5</v>
      </c>
      <c r="I521">
        <f t="shared" si="25"/>
        <v>1690</v>
      </c>
      <c r="J521">
        <f t="shared" si="26"/>
        <v>1014</v>
      </c>
      <c r="K521" t="s">
        <v>42</v>
      </c>
      <c r="L521" t="s">
        <v>63</v>
      </c>
      <c r="M521" t="s">
        <v>37</v>
      </c>
      <c r="N521" t="s">
        <v>43</v>
      </c>
      <c r="O521">
        <v>781</v>
      </c>
      <c r="P521">
        <v>338</v>
      </c>
      <c r="Q521" t="s">
        <v>28</v>
      </c>
      <c r="R521" t="s">
        <v>29</v>
      </c>
      <c r="S521" t="s">
        <v>30</v>
      </c>
      <c r="T521">
        <v>2022</v>
      </c>
      <c r="U521" t="s">
        <v>91</v>
      </c>
    </row>
    <row r="522" spans="1:21" x14ac:dyDescent="0.35">
      <c r="A522" s="1">
        <v>45112</v>
      </c>
      <c r="B522" t="s">
        <v>80</v>
      </c>
      <c r="C522" t="s">
        <v>81</v>
      </c>
      <c r="D522" t="s">
        <v>82</v>
      </c>
      <c r="E522">
        <v>411</v>
      </c>
      <c r="F522">
        <v>2.5</v>
      </c>
      <c r="G522">
        <f t="shared" si="24"/>
        <v>1027.5</v>
      </c>
      <c r="H522">
        <v>1.5</v>
      </c>
      <c r="I522">
        <f t="shared" si="25"/>
        <v>616.5</v>
      </c>
      <c r="J522">
        <f t="shared" si="26"/>
        <v>411</v>
      </c>
      <c r="K522" t="s">
        <v>24</v>
      </c>
      <c r="L522" t="s">
        <v>25</v>
      </c>
      <c r="M522" t="s">
        <v>26</v>
      </c>
      <c r="N522" t="s">
        <v>43</v>
      </c>
      <c r="O522">
        <v>908</v>
      </c>
      <c r="P522">
        <v>411</v>
      </c>
      <c r="Q522" t="s">
        <v>70</v>
      </c>
      <c r="R522" t="s">
        <v>71</v>
      </c>
      <c r="S522" t="s">
        <v>72</v>
      </c>
      <c r="T522">
        <v>2021</v>
      </c>
      <c r="U522" t="s">
        <v>31</v>
      </c>
    </row>
    <row r="523" spans="1:21" x14ac:dyDescent="0.35">
      <c r="A523" s="1">
        <v>45113</v>
      </c>
      <c r="B523" t="s">
        <v>58</v>
      </c>
      <c r="C523" t="s">
        <v>59</v>
      </c>
      <c r="D523" t="s">
        <v>60</v>
      </c>
      <c r="E523">
        <v>35</v>
      </c>
      <c r="F523">
        <v>5</v>
      </c>
      <c r="G523">
        <f t="shared" si="24"/>
        <v>175</v>
      </c>
      <c r="H523">
        <v>3</v>
      </c>
      <c r="I523">
        <f t="shared" si="25"/>
        <v>105</v>
      </c>
      <c r="J523">
        <f t="shared" si="26"/>
        <v>70</v>
      </c>
      <c r="K523" t="s">
        <v>35</v>
      </c>
      <c r="L523" t="s">
        <v>25</v>
      </c>
      <c r="M523" t="s">
        <v>26</v>
      </c>
      <c r="N523" t="s">
        <v>27</v>
      </c>
      <c r="O523">
        <v>509</v>
      </c>
      <c r="P523">
        <v>35</v>
      </c>
      <c r="Q523" t="s">
        <v>70</v>
      </c>
      <c r="R523" t="s">
        <v>71</v>
      </c>
      <c r="S523" t="s">
        <v>72</v>
      </c>
      <c r="T523">
        <v>2022</v>
      </c>
      <c r="U523" t="s">
        <v>105</v>
      </c>
    </row>
    <row r="524" spans="1:21" x14ac:dyDescent="0.35">
      <c r="A524" s="1">
        <v>45114</v>
      </c>
      <c r="B524" t="s">
        <v>58</v>
      </c>
      <c r="C524" t="s">
        <v>59</v>
      </c>
      <c r="D524" t="s">
        <v>60</v>
      </c>
      <c r="E524">
        <v>113</v>
      </c>
      <c r="F524">
        <v>5</v>
      </c>
      <c r="G524">
        <f t="shared" si="24"/>
        <v>565</v>
      </c>
      <c r="H524">
        <v>3</v>
      </c>
      <c r="I524">
        <f t="shared" si="25"/>
        <v>339</v>
      </c>
      <c r="J524">
        <f t="shared" si="26"/>
        <v>226</v>
      </c>
      <c r="K524" t="s">
        <v>35</v>
      </c>
      <c r="L524" t="s">
        <v>73</v>
      </c>
      <c r="M524" t="s">
        <v>61</v>
      </c>
      <c r="N524" t="s">
        <v>43</v>
      </c>
      <c r="O524">
        <v>760</v>
      </c>
      <c r="P524">
        <v>113</v>
      </c>
      <c r="Q524" t="s">
        <v>39</v>
      </c>
      <c r="R524" t="s">
        <v>40</v>
      </c>
      <c r="S524" t="s">
        <v>41</v>
      </c>
      <c r="T524">
        <v>2023</v>
      </c>
      <c r="U524" t="s">
        <v>96</v>
      </c>
    </row>
    <row r="525" spans="1:21" x14ac:dyDescent="0.35">
      <c r="A525" s="1">
        <v>45115</v>
      </c>
      <c r="B525" t="s">
        <v>58</v>
      </c>
      <c r="C525" t="s">
        <v>59</v>
      </c>
      <c r="D525" t="s">
        <v>60</v>
      </c>
      <c r="E525">
        <v>139</v>
      </c>
      <c r="F525">
        <v>5</v>
      </c>
      <c r="G525">
        <f t="shared" si="24"/>
        <v>695</v>
      </c>
      <c r="H525">
        <v>3</v>
      </c>
      <c r="I525">
        <f t="shared" si="25"/>
        <v>417</v>
      </c>
      <c r="J525">
        <f t="shared" si="26"/>
        <v>278</v>
      </c>
      <c r="K525" t="s">
        <v>35</v>
      </c>
      <c r="L525" t="s">
        <v>63</v>
      </c>
      <c r="M525" t="s">
        <v>61</v>
      </c>
      <c r="N525" t="s">
        <v>27</v>
      </c>
      <c r="O525">
        <v>838</v>
      </c>
      <c r="P525">
        <v>139</v>
      </c>
      <c r="Q525" t="s">
        <v>101</v>
      </c>
      <c r="R525" t="s">
        <v>101</v>
      </c>
      <c r="S525" t="s">
        <v>102</v>
      </c>
      <c r="T525">
        <v>2021</v>
      </c>
      <c r="U525" t="s">
        <v>47</v>
      </c>
    </row>
    <row r="526" spans="1:21" x14ac:dyDescent="0.35">
      <c r="A526" s="1">
        <v>45116</v>
      </c>
      <c r="B526" t="s">
        <v>32</v>
      </c>
      <c r="C526" t="s">
        <v>33</v>
      </c>
      <c r="D526" t="s">
        <v>34</v>
      </c>
      <c r="E526">
        <v>427</v>
      </c>
      <c r="F526">
        <v>20</v>
      </c>
      <c r="G526">
        <f t="shared" si="24"/>
        <v>8540</v>
      </c>
      <c r="H526">
        <v>12</v>
      </c>
      <c r="I526">
        <f t="shared" si="25"/>
        <v>5124</v>
      </c>
      <c r="J526">
        <f t="shared" si="26"/>
        <v>3416</v>
      </c>
      <c r="K526" t="s">
        <v>35</v>
      </c>
      <c r="L526" t="s">
        <v>73</v>
      </c>
      <c r="M526" t="s">
        <v>37</v>
      </c>
      <c r="N526" t="s">
        <v>27</v>
      </c>
      <c r="O526">
        <v>721</v>
      </c>
      <c r="P526">
        <v>427</v>
      </c>
      <c r="Q526" t="s">
        <v>44</v>
      </c>
      <c r="R526" t="s">
        <v>45</v>
      </c>
      <c r="S526" t="s">
        <v>46</v>
      </c>
      <c r="T526">
        <v>2024</v>
      </c>
      <c r="U526" t="s">
        <v>62</v>
      </c>
    </row>
    <row r="527" spans="1:21" x14ac:dyDescent="0.35">
      <c r="A527" s="1">
        <v>45117</v>
      </c>
      <c r="B527" t="s">
        <v>21</v>
      </c>
      <c r="C527" t="s">
        <v>22</v>
      </c>
      <c r="D527" t="s">
        <v>23</v>
      </c>
      <c r="E527">
        <v>321</v>
      </c>
      <c r="F527">
        <v>8</v>
      </c>
      <c r="G527">
        <f t="shared" si="24"/>
        <v>2568</v>
      </c>
      <c r="H527">
        <v>5</v>
      </c>
      <c r="I527">
        <f t="shared" si="25"/>
        <v>1605</v>
      </c>
      <c r="J527">
        <f t="shared" si="26"/>
        <v>963</v>
      </c>
      <c r="K527" t="s">
        <v>42</v>
      </c>
      <c r="L527" t="s">
        <v>73</v>
      </c>
      <c r="M527" t="s">
        <v>26</v>
      </c>
      <c r="N527" t="s">
        <v>43</v>
      </c>
      <c r="O527">
        <v>531</v>
      </c>
      <c r="P527">
        <v>321</v>
      </c>
      <c r="Q527" t="s">
        <v>54</v>
      </c>
      <c r="R527" t="s">
        <v>55</v>
      </c>
      <c r="S527" t="s">
        <v>56</v>
      </c>
      <c r="T527">
        <v>2021</v>
      </c>
      <c r="U527" t="s">
        <v>47</v>
      </c>
    </row>
    <row r="528" spans="1:21" x14ac:dyDescent="0.35">
      <c r="A528" s="1">
        <v>45118</v>
      </c>
      <c r="B528" t="s">
        <v>98</v>
      </c>
      <c r="C528" t="s">
        <v>99</v>
      </c>
      <c r="D528" t="s">
        <v>100</v>
      </c>
      <c r="E528">
        <v>274</v>
      </c>
      <c r="F528">
        <v>6</v>
      </c>
      <c r="G528">
        <f t="shared" si="24"/>
        <v>1644</v>
      </c>
      <c r="H528">
        <v>4</v>
      </c>
      <c r="I528">
        <f t="shared" si="25"/>
        <v>1096</v>
      </c>
      <c r="J528">
        <f t="shared" si="26"/>
        <v>548</v>
      </c>
      <c r="K528" t="s">
        <v>35</v>
      </c>
      <c r="L528" t="s">
        <v>63</v>
      </c>
      <c r="M528" t="s">
        <v>61</v>
      </c>
      <c r="N528" t="s">
        <v>38</v>
      </c>
      <c r="O528">
        <v>728</v>
      </c>
      <c r="P528">
        <v>274</v>
      </c>
      <c r="Q528" t="s">
        <v>44</v>
      </c>
      <c r="R528" t="s">
        <v>45</v>
      </c>
      <c r="S528" t="s">
        <v>46</v>
      </c>
      <c r="T528">
        <v>2022</v>
      </c>
      <c r="U528" t="s">
        <v>96</v>
      </c>
    </row>
    <row r="529" spans="1:21" x14ac:dyDescent="0.35">
      <c r="A529" s="1">
        <v>45119</v>
      </c>
      <c r="B529" t="s">
        <v>48</v>
      </c>
      <c r="C529" t="s">
        <v>49</v>
      </c>
      <c r="D529" t="s">
        <v>50</v>
      </c>
      <c r="E529">
        <v>224</v>
      </c>
      <c r="F529">
        <v>150</v>
      </c>
      <c r="G529">
        <f t="shared" si="24"/>
        <v>33600</v>
      </c>
      <c r="H529">
        <v>100</v>
      </c>
      <c r="I529">
        <f t="shared" si="25"/>
        <v>22400</v>
      </c>
      <c r="J529">
        <f t="shared" si="26"/>
        <v>11200</v>
      </c>
      <c r="K529" t="s">
        <v>24</v>
      </c>
      <c r="L529" t="s">
        <v>36</v>
      </c>
      <c r="M529" t="s">
        <v>37</v>
      </c>
      <c r="N529" t="s">
        <v>27</v>
      </c>
      <c r="O529">
        <v>834</v>
      </c>
      <c r="P529">
        <v>224</v>
      </c>
      <c r="Q529" t="s">
        <v>28</v>
      </c>
      <c r="R529" t="s">
        <v>29</v>
      </c>
      <c r="S529" t="s">
        <v>30</v>
      </c>
      <c r="T529">
        <v>2021</v>
      </c>
      <c r="U529" t="s">
        <v>66</v>
      </c>
    </row>
    <row r="530" spans="1:21" x14ac:dyDescent="0.35">
      <c r="A530" s="1">
        <v>45120</v>
      </c>
      <c r="B530" t="s">
        <v>58</v>
      </c>
      <c r="C530" t="s">
        <v>59</v>
      </c>
      <c r="D530" t="s">
        <v>60</v>
      </c>
      <c r="E530">
        <v>229</v>
      </c>
      <c r="F530">
        <v>5</v>
      </c>
      <c r="G530">
        <f t="shared" si="24"/>
        <v>1145</v>
      </c>
      <c r="H530">
        <v>3</v>
      </c>
      <c r="I530">
        <f t="shared" si="25"/>
        <v>687</v>
      </c>
      <c r="J530">
        <f t="shared" si="26"/>
        <v>458</v>
      </c>
      <c r="K530" t="s">
        <v>42</v>
      </c>
      <c r="L530" t="s">
        <v>36</v>
      </c>
      <c r="M530" t="s">
        <v>26</v>
      </c>
      <c r="N530" t="s">
        <v>38</v>
      </c>
      <c r="O530">
        <v>747</v>
      </c>
      <c r="P530">
        <v>229</v>
      </c>
      <c r="Q530" t="s">
        <v>67</v>
      </c>
      <c r="R530" t="s">
        <v>68</v>
      </c>
      <c r="S530" t="s">
        <v>69</v>
      </c>
      <c r="T530">
        <v>2021</v>
      </c>
      <c r="U530" t="s">
        <v>62</v>
      </c>
    </row>
    <row r="531" spans="1:21" x14ac:dyDescent="0.35">
      <c r="A531" s="1">
        <v>45121</v>
      </c>
      <c r="B531" t="s">
        <v>32</v>
      </c>
      <c r="C531" t="s">
        <v>33</v>
      </c>
      <c r="D531" t="s">
        <v>34</v>
      </c>
      <c r="E531">
        <v>216</v>
      </c>
      <c r="F531">
        <v>20</v>
      </c>
      <c r="G531">
        <f t="shared" si="24"/>
        <v>4320</v>
      </c>
      <c r="H531">
        <v>12</v>
      </c>
      <c r="I531">
        <f t="shared" si="25"/>
        <v>2592</v>
      </c>
      <c r="J531">
        <f t="shared" si="26"/>
        <v>1728</v>
      </c>
      <c r="K531" t="s">
        <v>42</v>
      </c>
      <c r="L531" t="s">
        <v>73</v>
      </c>
      <c r="M531" t="s">
        <v>26</v>
      </c>
      <c r="N531" t="s">
        <v>43</v>
      </c>
      <c r="O531">
        <v>632</v>
      </c>
      <c r="P531">
        <v>216</v>
      </c>
      <c r="Q531" t="s">
        <v>67</v>
      </c>
      <c r="R531" t="s">
        <v>68</v>
      </c>
      <c r="S531" t="s">
        <v>69</v>
      </c>
      <c r="T531">
        <v>2023</v>
      </c>
      <c r="U531" t="s">
        <v>31</v>
      </c>
    </row>
    <row r="532" spans="1:21" x14ac:dyDescent="0.35">
      <c r="A532" s="1">
        <v>45122</v>
      </c>
      <c r="B532" t="s">
        <v>58</v>
      </c>
      <c r="C532" t="s">
        <v>59</v>
      </c>
      <c r="D532" t="s">
        <v>60</v>
      </c>
      <c r="E532">
        <v>280</v>
      </c>
      <c r="F532">
        <v>5</v>
      </c>
      <c r="G532">
        <f t="shared" si="24"/>
        <v>1400</v>
      </c>
      <c r="H532">
        <v>3</v>
      </c>
      <c r="I532">
        <f t="shared" si="25"/>
        <v>840</v>
      </c>
      <c r="J532">
        <f t="shared" si="26"/>
        <v>560</v>
      </c>
      <c r="K532" t="s">
        <v>42</v>
      </c>
      <c r="L532" t="s">
        <v>63</v>
      </c>
      <c r="M532" t="s">
        <v>61</v>
      </c>
      <c r="N532" t="s">
        <v>43</v>
      </c>
      <c r="O532">
        <v>550</v>
      </c>
      <c r="P532">
        <v>280</v>
      </c>
      <c r="Q532" t="s">
        <v>83</v>
      </c>
      <c r="R532" t="s">
        <v>84</v>
      </c>
      <c r="S532" t="s">
        <v>85</v>
      </c>
      <c r="T532">
        <v>2022</v>
      </c>
      <c r="U532" t="s">
        <v>62</v>
      </c>
    </row>
    <row r="533" spans="1:21" x14ac:dyDescent="0.35">
      <c r="A533" s="1">
        <v>45123</v>
      </c>
      <c r="B533" t="s">
        <v>98</v>
      </c>
      <c r="C533" t="s">
        <v>99</v>
      </c>
      <c r="D533" t="s">
        <v>100</v>
      </c>
      <c r="E533">
        <v>491</v>
      </c>
      <c r="F533">
        <v>6</v>
      </c>
      <c r="G533">
        <f t="shared" si="24"/>
        <v>2946</v>
      </c>
      <c r="H533">
        <v>4</v>
      </c>
      <c r="I533">
        <f t="shared" si="25"/>
        <v>1964</v>
      </c>
      <c r="J533">
        <f t="shared" si="26"/>
        <v>982</v>
      </c>
      <c r="K533" t="s">
        <v>42</v>
      </c>
      <c r="L533" t="s">
        <v>73</v>
      </c>
      <c r="M533" t="s">
        <v>61</v>
      </c>
      <c r="N533" t="s">
        <v>27</v>
      </c>
      <c r="O533">
        <v>601</v>
      </c>
      <c r="P533">
        <v>491</v>
      </c>
      <c r="Q533" t="s">
        <v>83</v>
      </c>
      <c r="R533" t="s">
        <v>84</v>
      </c>
      <c r="S533" t="s">
        <v>85</v>
      </c>
      <c r="T533">
        <v>2022</v>
      </c>
      <c r="U533" t="s">
        <v>53</v>
      </c>
    </row>
    <row r="534" spans="1:21" x14ac:dyDescent="0.35">
      <c r="A534" s="1">
        <v>45124</v>
      </c>
      <c r="B534" t="s">
        <v>48</v>
      </c>
      <c r="C534" t="s">
        <v>49</v>
      </c>
      <c r="D534" t="s">
        <v>50</v>
      </c>
      <c r="E534">
        <v>122</v>
      </c>
      <c r="F534">
        <v>150</v>
      </c>
      <c r="G534">
        <f t="shared" si="24"/>
        <v>18300</v>
      </c>
      <c r="H534">
        <v>100</v>
      </c>
      <c r="I534">
        <f t="shared" si="25"/>
        <v>12200</v>
      </c>
      <c r="J534">
        <f t="shared" si="26"/>
        <v>6100</v>
      </c>
      <c r="K534" t="s">
        <v>24</v>
      </c>
      <c r="L534" t="s">
        <v>63</v>
      </c>
      <c r="M534" t="s">
        <v>61</v>
      </c>
      <c r="N534" t="s">
        <v>27</v>
      </c>
      <c r="O534">
        <v>520</v>
      </c>
      <c r="P534">
        <v>122</v>
      </c>
      <c r="Q534" t="s">
        <v>106</v>
      </c>
      <c r="R534" t="s">
        <v>107</v>
      </c>
      <c r="S534" t="s">
        <v>108</v>
      </c>
      <c r="T534">
        <v>2024</v>
      </c>
      <c r="U534" t="s">
        <v>109</v>
      </c>
    </row>
    <row r="535" spans="1:21" x14ac:dyDescent="0.35">
      <c r="A535" s="1">
        <v>45125</v>
      </c>
      <c r="B535" t="s">
        <v>80</v>
      </c>
      <c r="C535" t="s">
        <v>81</v>
      </c>
      <c r="D535" t="s">
        <v>82</v>
      </c>
      <c r="E535">
        <v>224</v>
      </c>
      <c r="F535">
        <v>2.5</v>
      </c>
      <c r="G535">
        <f t="shared" si="24"/>
        <v>560</v>
      </c>
      <c r="H535">
        <v>1.5</v>
      </c>
      <c r="I535">
        <f t="shared" si="25"/>
        <v>336</v>
      </c>
      <c r="J535">
        <f t="shared" si="26"/>
        <v>224</v>
      </c>
      <c r="K535" t="s">
        <v>42</v>
      </c>
      <c r="L535" t="s">
        <v>36</v>
      </c>
      <c r="M535" t="s">
        <v>26</v>
      </c>
      <c r="N535" t="s">
        <v>27</v>
      </c>
      <c r="O535">
        <v>590</v>
      </c>
      <c r="P535">
        <v>224</v>
      </c>
      <c r="Q535" t="s">
        <v>90</v>
      </c>
      <c r="R535" t="s">
        <v>55</v>
      </c>
      <c r="S535" t="s">
        <v>85</v>
      </c>
      <c r="T535">
        <v>2023</v>
      </c>
      <c r="U535" t="s">
        <v>86</v>
      </c>
    </row>
    <row r="536" spans="1:21" x14ac:dyDescent="0.35">
      <c r="A536" s="1">
        <v>45126</v>
      </c>
      <c r="B536" t="s">
        <v>48</v>
      </c>
      <c r="C536" t="s">
        <v>49</v>
      </c>
      <c r="D536" t="s">
        <v>50</v>
      </c>
      <c r="E536">
        <v>81</v>
      </c>
      <c r="F536">
        <v>150</v>
      </c>
      <c r="G536">
        <f t="shared" si="24"/>
        <v>12150</v>
      </c>
      <c r="H536">
        <v>100</v>
      </c>
      <c r="I536">
        <f t="shared" si="25"/>
        <v>8100</v>
      </c>
      <c r="J536">
        <f t="shared" si="26"/>
        <v>4050</v>
      </c>
      <c r="K536" t="s">
        <v>35</v>
      </c>
      <c r="L536" t="s">
        <v>36</v>
      </c>
      <c r="M536" t="s">
        <v>37</v>
      </c>
      <c r="N536" t="s">
        <v>38</v>
      </c>
      <c r="O536">
        <v>919</v>
      </c>
      <c r="P536">
        <v>81</v>
      </c>
      <c r="Q536" t="s">
        <v>67</v>
      </c>
      <c r="R536" t="s">
        <v>68</v>
      </c>
      <c r="S536" t="s">
        <v>69</v>
      </c>
      <c r="T536">
        <v>2024</v>
      </c>
      <c r="U536" t="s">
        <v>86</v>
      </c>
    </row>
    <row r="537" spans="1:21" x14ac:dyDescent="0.35">
      <c r="A537" s="1">
        <v>45127</v>
      </c>
      <c r="B537" t="s">
        <v>58</v>
      </c>
      <c r="C537" t="s">
        <v>59</v>
      </c>
      <c r="D537" t="s">
        <v>60</v>
      </c>
      <c r="E537">
        <v>68</v>
      </c>
      <c r="F537">
        <v>5</v>
      </c>
      <c r="G537">
        <f t="shared" si="24"/>
        <v>340</v>
      </c>
      <c r="H537">
        <v>3</v>
      </c>
      <c r="I537">
        <f t="shared" si="25"/>
        <v>204</v>
      </c>
      <c r="J537">
        <f t="shared" si="26"/>
        <v>136</v>
      </c>
      <c r="K537" t="s">
        <v>35</v>
      </c>
      <c r="L537" t="s">
        <v>25</v>
      </c>
      <c r="M537" t="s">
        <v>26</v>
      </c>
      <c r="N537" t="s">
        <v>38</v>
      </c>
      <c r="O537">
        <v>510</v>
      </c>
      <c r="P537">
        <v>68</v>
      </c>
      <c r="Q537" t="s">
        <v>67</v>
      </c>
      <c r="R537" t="s">
        <v>68</v>
      </c>
      <c r="S537" t="s">
        <v>69</v>
      </c>
      <c r="T537">
        <v>2021</v>
      </c>
      <c r="U537" t="s">
        <v>66</v>
      </c>
    </row>
    <row r="538" spans="1:21" x14ac:dyDescent="0.35">
      <c r="A538" s="1">
        <v>45128</v>
      </c>
      <c r="B538" t="s">
        <v>48</v>
      </c>
      <c r="C538" t="s">
        <v>49</v>
      </c>
      <c r="D538" t="s">
        <v>50</v>
      </c>
      <c r="E538">
        <v>168</v>
      </c>
      <c r="F538">
        <v>150</v>
      </c>
      <c r="G538">
        <f t="shared" si="24"/>
        <v>25200</v>
      </c>
      <c r="H538">
        <v>100</v>
      </c>
      <c r="I538">
        <f t="shared" si="25"/>
        <v>16800</v>
      </c>
      <c r="J538">
        <f t="shared" si="26"/>
        <v>8400</v>
      </c>
      <c r="K538" t="s">
        <v>24</v>
      </c>
      <c r="L538" t="s">
        <v>63</v>
      </c>
      <c r="M538" t="s">
        <v>61</v>
      </c>
      <c r="N538" t="s">
        <v>43</v>
      </c>
      <c r="O538">
        <v>781</v>
      </c>
      <c r="P538">
        <v>168</v>
      </c>
      <c r="Q538" t="s">
        <v>54</v>
      </c>
      <c r="R538" t="s">
        <v>55</v>
      </c>
      <c r="S538" t="s">
        <v>56</v>
      </c>
      <c r="T538">
        <v>2024</v>
      </c>
      <c r="U538" t="s">
        <v>53</v>
      </c>
    </row>
    <row r="539" spans="1:21" x14ac:dyDescent="0.35">
      <c r="A539" s="1">
        <v>45129</v>
      </c>
      <c r="B539" t="s">
        <v>32</v>
      </c>
      <c r="C539" t="s">
        <v>33</v>
      </c>
      <c r="D539" t="s">
        <v>34</v>
      </c>
      <c r="E539">
        <v>489</v>
      </c>
      <c r="F539">
        <v>20</v>
      </c>
      <c r="G539">
        <f t="shared" si="24"/>
        <v>9780</v>
      </c>
      <c r="H539">
        <v>12</v>
      </c>
      <c r="I539">
        <f t="shared" si="25"/>
        <v>5868</v>
      </c>
      <c r="J539">
        <f t="shared" si="26"/>
        <v>3912</v>
      </c>
      <c r="K539" t="s">
        <v>42</v>
      </c>
      <c r="L539" t="s">
        <v>36</v>
      </c>
      <c r="M539" t="s">
        <v>61</v>
      </c>
      <c r="N539" t="s">
        <v>43</v>
      </c>
      <c r="O539">
        <v>881</v>
      </c>
      <c r="P539">
        <v>489</v>
      </c>
      <c r="Q539" t="s">
        <v>51</v>
      </c>
      <c r="R539" t="s">
        <v>45</v>
      </c>
      <c r="S539" t="s">
        <v>52</v>
      </c>
      <c r="T539">
        <v>2024</v>
      </c>
      <c r="U539" t="s">
        <v>109</v>
      </c>
    </row>
    <row r="540" spans="1:21" x14ac:dyDescent="0.35">
      <c r="A540" s="1">
        <v>45130</v>
      </c>
      <c r="B540" t="s">
        <v>80</v>
      </c>
      <c r="C540" t="s">
        <v>81</v>
      </c>
      <c r="D540" t="s">
        <v>82</v>
      </c>
      <c r="E540">
        <v>359</v>
      </c>
      <c r="F540">
        <v>2.5</v>
      </c>
      <c r="G540">
        <f t="shared" si="24"/>
        <v>897.5</v>
      </c>
      <c r="H540">
        <v>1.5</v>
      </c>
      <c r="I540">
        <f t="shared" si="25"/>
        <v>538.5</v>
      </c>
      <c r="J540">
        <f t="shared" si="26"/>
        <v>359</v>
      </c>
      <c r="K540" t="s">
        <v>35</v>
      </c>
      <c r="L540" t="s">
        <v>25</v>
      </c>
      <c r="M540" t="s">
        <v>26</v>
      </c>
      <c r="N540" t="s">
        <v>27</v>
      </c>
      <c r="O540">
        <v>860</v>
      </c>
      <c r="P540">
        <v>359</v>
      </c>
      <c r="Q540" t="s">
        <v>113</v>
      </c>
      <c r="R540" t="s">
        <v>114</v>
      </c>
      <c r="S540" t="s">
        <v>115</v>
      </c>
      <c r="T540">
        <v>2023</v>
      </c>
      <c r="U540" t="s">
        <v>105</v>
      </c>
    </row>
    <row r="541" spans="1:21" x14ac:dyDescent="0.35">
      <c r="A541" s="1">
        <v>45131</v>
      </c>
      <c r="B541" t="s">
        <v>58</v>
      </c>
      <c r="C541" t="s">
        <v>59</v>
      </c>
      <c r="D541" t="s">
        <v>60</v>
      </c>
      <c r="E541">
        <v>499</v>
      </c>
      <c r="F541">
        <v>5</v>
      </c>
      <c r="G541">
        <f t="shared" si="24"/>
        <v>2495</v>
      </c>
      <c r="H541">
        <v>3</v>
      </c>
      <c r="I541">
        <f t="shared" si="25"/>
        <v>1497</v>
      </c>
      <c r="J541">
        <f t="shared" si="26"/>
        <v>998</v>
      </c>
      <c r="K541" t="s">
        <v>24</v>
      </c>
      <c r="L541" t="s">
        <v>73</v>
      </c>
      <c r="M541" t="s">
        <v>37</v>
      </c>
      <c r="N541" t="s">
        <v>27</v>
      </c>
      <c r="O541">
        <v>982</v>
      </c>
      <c r="P541">
        <v>499</v>
      </c>
      <c r="Q541" t="s">
        <v>106</v>
      </c>
      <c r="R541" t="s">
        <v>107</v>
      </c>
      <c r="S541" t="s">
        <v>108</v>
      </c>
      <c r="T541">
        <v>2024</v>
      </c>
      <c r="U541" t="s">
        <v>53</v>
      </c>
    </row>
    <row r="542" spans="1:21" x14ac:dyDescent="0.35">
      <c r="A542" s="1">
        <v>45132</v>
      </c>
      <c r="B542" t="s">
        <v>21</v>
      </c>
      <c r="C542" t="s">
        <v>22</v>
      </c>
      <c r="D542" t="s">
        <v>23</v>
      </c>
      <c r="E542">
        <v>115</v>
      </c>
      <c r="F542">
        <v>8</v>
      </c>
      <c r="G542">
        <f t="shared" si="24"/>
        <v>920</v>
      </c>
      <c r="H542">
        <v>5</v>
      </c>
      <c r="I542">
        <f t="shared" si="25"/>
        <v>575</v>
      </c>
      <c r="J542">
        <f t="shared" si="26"/>
        <v>345</v>
      </c>
      <c r="K542" t="s">
        <v>42</v>
      </c>
      <c r="L542" t="s">
        <v>73</v>
      </c>
      <c r="M542" t="s">
        <v>37</v>
      </c>
      <c r="N542" t="s">
        <v>43</v>
      </c>
      <c r="O542">
        <v>762</v>
      </c>
      <c r="P542">
        <v>115</v>
      </c>
      <c r="Q542" t="s">
        <v>113</v>
      </c>
      <c r="R542" t="s">
        <v>114</v>
      </c>
      <c r="S542" t="s">
        <v>115</v>
      </c>
      <c r="T542">
        <v>2023</v>
      </c>
      <c r="U542" t="s">
        <v>97</v>
      </c>
    </row>
    <row r="543" spans="1:21" x14ac:dyDescent="0.35">
      <c r="A543" s="1">
        <v>45133</v>
      </c>
      <c r="B543" t="s">
        <v>32</v>
      </c>
      <c r="C543" t="s">
        <v>33</v>
      </c>
      <c r="D543" t="s">
        <v>34</v>
      </c>
      <c r="E543">
        <v>439</v>
      </c>
      <c r="F543">
        <v>20</v>
      </c>
      <c r="G543">
        <f t="shared" si="24"/>
        <v>8780</v>
      </c>
      <c r="H543">
        <v>12</v>
      </c>
      <c r="I543">
        <f t="shared" si="25"/>
        <v>5268</v>
      </c>
      <c r="J543">
        <f t="shared" si="26"/>
        <v>3512</v>
      </c>
      <c r="K543" t="s">
        <v>42</v>
      </c>
      <c r="L543" t="s">
        <v>25</v>
      </c>
      <c r="M543" t="s">
        <v>37</v>
      </c>
      <c r="N543" t="s">
        <v>43</v>
      </c>
      <c r="O543">
        <v>850</v>
      </c>
      <c r="P543">
        <v>439</v>
      </c>
      <c r="Q543" t="s">
        <v>103</v>
      </c>
      <c r="R543" t="s">
        <v>68</v>
      </c>
      <c r="S543" t="s">
        <v>104</v>
      </c>
      <c r="T543">
        <v>2023</v>
      </c>
      <c r="U543" t="s">
        <v>62</v>
      </c>
    </row>
    <row r="544" spans="1:21" x14ac:dyDescent="0.35">
      <c r="A544" s="1">
        <v>45134</v>
      </c>
      <c r="B544" t="s">
        <v>98</v>
      </c>
      <c r="C544" t="s">
        <v>99</v>
      </c>
      <c r="D544" t="s">
        <v>100</v>
      </c>
      <c r="E544">
        <v>95</v>
      </c>
      <c r="F544">
        <v>6</v>
      </c>
      <c r="G544">
        <f t="shared" si="24"/>
        <v>570</v>
      </c>
      <c r="H544">
        <v>4</v>
      </c>
      <c r="I544">
        <f t="shared" si="25"/>
        <v>380</v>
      </c>
      <c r="J544">
        <f t="shared" si="26"/>
        <v>190</v>
      </c>
      <c r="K544" t="s">
        <v>24</v>
      </c>
      <c r="L544" t="s">
        <v>36</v>
      </c>
      <c r="M544" t="s">
        <v>26</v>
      </c>
      <c r="N544" t="s">
        <v>38</v>
      </c>
      <c r="O544">
        <v>607</v>
      </c>
      <c r="P544">
        <v>95</v>
      </c>
      <c r="Q544" t="s">
        <v>90</v>
      </c>
      <c r="R544" t="s">
        <v>55</v>
      </c>
      <c r="S544" t="s">
        <v>85</v>
      </c>
      <c r="T544">
        <v>2023</v>
      </c>
      <c r="U544" t="s">
        <v>96</v>
      </c>
    </row>
    <row r="545" spans="1:21" x14ac:dyDescent="0.35">
      <c r="A545" s="1">
        <v>45135</v>
      </c>
      <c r="B545" t="s">
        <v>58</v>
      </c>
      <c r="C545" t="s">
        <v>59</v>
      </c>
      <c r="D545" t="s">
        <v>60</v>
      </c>
      <c r="E545">
        <v>274</v>
      </c>
      <c r="F545">
        <v>5</v>
      </c>
      <c r="G545">
        <f t="shared" si="24"/>
        <v>1370</v>
      </c>
      <c r="H545">
        <v>3</v>
      </c>
      <c r="I545">
        <f t="shared" si="25"/>
        <v>822</v>
      </c>
      <c r="J545">
        <f t="shared" si="26"/>
        <v>548</v>
      </c>
      <c r="K545" t="s">
        <v>24</v>
      </c>
      <c r="L545" t="s">
        <v>63</v>
      </c>
      <c r="M545" t="s">
        <v>61</v>
      </c>
      <c r="N545" t="s">
        <v>43</v>
      </c>
      <c r="O545">
        <v>543</v>
      </c>
      <c r="P545">
        <v>274</v>
      </c>
      <c r="Q545" t="s">
        <v>113</v>
      </c>
      <c r="R545" t="s">
        <v>114</v>
      </c>
      <c r="S545" t="s">
        <v>115</v>
      </c>
      <c r="T545">
        <v>2023</v>
      </c>
      <c r="U545" t="s">
        <v>96</v>
      </c>
    </row>
    <row r="546" spans="1:21" x14ac:dyDescent="0.35">
      <c r="A546" s="1">
        <v>45136</v>
      </c>
      <c r="B546" t="s">
        <v>32</v>
      </c>
      <c r="C546" t="s">
        <v>33</v>
      </c>
      <c r="D546" t="s">
        <v>34</v>
      </c>
      <c r="E546">
        <v>147</v>
      </c>
      <c r="F546">
        <v>20</v>
      </c>
      <c r="G546">
        <f t="shared" si="24"/>
        <v>2940</v>
      </c>
      <c r="H546">
        <v>12</v>
      </c>
      <c r="I546">
        <f t="shared" si="25"/>
        <v>1764</v>
      </c>
      <c r="J546">
        <f t="shared" si="26"/>
        <v>1176</v>
      </c>
      <c r="K546" t="s">
        <v>35</v>
      </c>
      <c r="L546" t="s">
        <v>36</v>
      </c>
      <c r="M546" t="s">
        <v>37</v>
      </c>
      <c r="N546" t="s">
        <v>27</v>
      </c>
      <c r="O546">
        <v>901</v>
      </c>
      <c r="P546">
        <v>147</v>
      </c>
      <c r="Q546" t="s">
        <v>90</v>
      </c>
      <c r="R546" t="s">
        <v>55</v>
      </c>
      <c r="S546" t="s">
        <v>85</v>
      </c>
      <c r="T546">
        <v>2024</v>
      </c>
      <c r="U546" t="s">
        <v>47</v>
      </c>
    </row>
    <row r="547" spans="1:21" x14ac:dyDescent="0.35">
      <c r="A547" s="1">
        <v>45137</v>
      </c>
      <c r="B547" t="s">
        <v>21</v>
      </c>
      <c r="C547" t="s">
        <v>22</v>
      </c>
      <c r="D547" t="s">
        <v>23</v>
      </c>
      <c r="E547">
        <v>352</v>
      </c>
      <c r="F547">
        <v>8</v>
      </c>
      <c r="G547">
        <f t="shared" si="24"/>
        <v>2816</v>
      </c>
      <c r="H547">
        <v>5</v>
      </c>
      <c r="I547">
        <f t="shared" si="25"/>
        <v>1760</v>
      </c>
      <c r="J547">
        <f t="shared" si="26"/>
        <v>1056</v>
      </c>
      <c r="K547" t="s">
        <v>24</v>
      </c>
      <c r="L547" t="s">
        <v>25</v>
      </c>
      <c r="M547" t="s">
        <v>26</v>
      </c>
      <c r="N547" t="s">
        <v>38</v>
      </c>
      <c r="O547">
        <v>628</v>
      </c>
      <c r="P547">
        <v>352</v>
      </c>
      <c r="Q547" t="s">
        <v>103</v>
      </c>
      <c r="R547" t="s">
        <v>68</v>
      </c>
      <c r="S547" t="s">
        <v>104</v>
      </c>
      <c r="T547">
        <v>2023</v>
      </c>
      <c r="U547" t="s">
        <v>66</v>
      </c>
    </row>
    <row r="548" spans="1:21" x14ac:dyDescent="0.35">
      <c r="A548" s="1">
        <v>45138</v>
      </c>
      <c r="B548" t="s">
        <v>48</v>
      </c>
      <c r="C548" t="s">
        <v>49</v>
      </c>
      <c r="D548" t="s">
        <v>50</v>
      </c>
      <c r="E548">
        <v>84</v>
      </c>
      <c r="F548">
        <v>150</v>
      </c>
      <c r="G548">
        <f t="shared" si="24"/>
        <v>12600</v>
      </c>
      <c r="H548">
        <v>100</v>
      </c>
      <c r="I548">
        <f t="shared" si="25"/>
        <v>8400</v>
      </c>
      <c r="J548">
        <f t="shared" si="26"/>
        <v>4200</v>
      </c>
      <c r="K548" t="s">
        <v>35</v>
      </c>
      <c r="L548" t="s">
        <v>63</v>
      </c>
      <c r="M548" t="s">
        <v>61</v>
      </c>
      <c r="N548" t="s">
        <v>27</v>
      </c>
      <c r="O548">
        <v>509</v>
      </c>
      <c r="P548">
        <v>84</v>
      </c>
      <c r="Q548" t="s">
        <v>44</v>
      </c>
      <c r="R548" t="s">
        <v>45</v>
      </c>
      <c r="S548" t="s">
        <v>46</v>
      </c>
      <c r="T548">
        <v>2020</v>
      </c>
      <c r="U548" t="s">
        <v>47</v>
      </c>
    </row>
    <row r="549" spans="1:21" x14ac:dyDescent="0.35">
      <c r="A549" s="1">
        <v>45139</v>
      </c>
      <c r="B549" t="s">
        <v>21</v>
      </c>
      <c r="C549" t="s">
        <v>22</v>
      </c>
      <c r="D549" t="s">
        <v>23</v>
      </c>
      <c r="E549">
        <v>437</v>
      </c>
      <c r="F549">
        <v>8</v>
      </c>
      <c r="G549">
        <f t="shared" si="24"/>
        <v>3496</v>
      </c>
      <c r="H549">
        <v>5</v>
      </c>
      <c r="I549">
        <f t="shared" si="25"/>
        <v>2185</v>
      </c>
      <c r="J549">
        <f t="shared" si="26"/>
        <v>1311</v>
      </c>
      <c r="K549" t="s">
        <v>24</v>
      </c>
      <c r="L549" t="s">
        <v>36</v>
      </c>
      <c r="M549" t="s">
        <v>61</v>
      </c>
      <c r="N549" t="s">
        <v>43</v>
      </c>
      <c r="O549">
        <v>925</v>
      </c>
      <c r="P549">
        <v>437</v>
      </c>
      <c r="Q549" t="s">
        <v>44</v>
      </c>
      <c r="R549" t="s">
        <v>45</v>
      </c>
      <c r="S549" t="s">
        <v>46</v>
      </c>
      <c r="T549">
        <v>2024</v>
      </c>
      <c r="U549" t="s">
        <v>66</v>
      </c>
    </row>
    <row r="550" spans="1:21" x14ac:dyDescent="0.35">
      <c r="A550" s="1">
        <v>45140</v>
      </c>
      <c r="B550" t="s">
        <v>48</v>
      </c>
      <c r="C550" t="s">
        <v>49</v>
      </c>
      <c r="D550" t="s">
        <v>50</v>
      </c>
      <c r="E550">
        <v>244</v>
      </c>
      <c r="F550">
        <v>150</v>
      </c>
      <c r="G550">
        <f t="shared" si="24"/>
        <v>36600</v>
      </c>
      <c r="H550">
        <v>100</v>
      </c>
      <c r="I550">
        <f t="shared" si="25"/>
        <v>24400</v>
      </c>
      <c r="J550">
        <f t="shared" si="26"/>
        <v>12200</v>
      </c>
      <c r="K550" t="s">
        <v>35</v>
      </c>
      <c r="L550" t="s">
        <v>73</v>
      </c>
      <c r="M550" t="s">
        <v>37</v>
      </c>
      <c r="N550" t="s">
        <v>43</v>
      </c>
      <c r="O550">
        <v>638</v>
      </c>
      <c r="P550">
        <v>244</v>
      </c>
      <c r="Q550" t="s">
        <v>39</v>
      </c>
      <c r="R550" t="s">
        <v>40</v>
      </c>
      <c r="S550" t="s">
        <v>41</v>
      </c>
      <c r="T550">
        <v>2022</v>
      </c>
      <c r="U550" t="s">
        <v>31</v>
      </c>
    </row>
    <row r="551" spans="1:21" x14ac:dyDescent="0.35">
      <c r="A551" s="1">
        <v>45141</v>
      </c>
      <c r="B551" t="s">
        <v>58</v>
      </c>
      <c r="C551" t="s">
        <v>59</v>
      </c>
      <c r="D551" t="s">
        <v>60</v>
      </c>
      <c r="E551">
        <v>216</v>
      </c>
      <c r="F551">
        <v>5</v>
      </c>
      <c r="G551">
        <f t="shared" si="24"/>
        <v>1080</v>
      </c>
      <c r="H551">
        <v>3</v>
      </c>
      <c r="I551">
        <f t="shared" si="25"/>
        <v>648</v>
      </c>
      <c r="J551">
        <f t="shared" si="26"/>
        <v>432</v>
      </c>
      <c r="K551" t="s">
        <v>35</v>
      </c>
      <c r="L551" t="s">
        <v>25</v>
      </c>
      <c r="M551" t="s">
        <v>37</v>
      </c>
      <c r="N551" t="s">
        <v>38</v>
      </c>
      <c r="O551">
        <v>646</v>
      </c>
      <c r="P551">
        <v>216</v>
      </c>
      <c r="Q551" t="s">
        <v>39</v>
      </c>
      <c r="R551" t="s">
        <v>40</v>
      </c>
      <c r="S551" t="s">
        <v>41</v>
      </c>
      <c r="T551">
        <v>2022</v>
      </c>
      <c r="U551" t="s">
        <v>96</v>
      </c>
    </row>
    <row r="552" spans="1:21" x14ac:dyDescent="0.35">
      <c r="A552" s="1">
        <v>45142</v>
      </c>
      <c r="B552" t="s">
        <v>80</v>
      </c>
      <c r="C552" t="s">
        <v>81</v>
      </c>
      <c r="D552" t="s">
        <v>82</v>
      </c>
      <c r="E552">
        <v>263</v>
      </c>
      <c r="F552">
        <v>2.5</v>
      </c>
      <c r="G552">
        <f t="shared" si="24"/>
        <v>657.5</v>
      </c>
      <c r="H552">
        <v>1.5</v>
      </c>
      <c r="I552">
        <f t="shared" si="25"/>
        <v>394.5</v>
      </c>
      <c r="J552">
        <f t="shared" si="26"/>
        <v>263</v>
      </c>
      <c r="K552" t="s">
        <v>35</v>
      </c>
      <c r="L552" t="s">
        <v>25</v>
      </c>
      <c r="M552" t="s">
        <v>61</v>
      </c>
      <c r="N552" t="s">
        <v>43</v>
      </c>
      <c r="O552">
        <v>947</v>
      </c>
      <c r="P552">
        <v>263</v>
      </c>
      <c r="Q552" t="s">
        <v>64</v>
      </c>
      <c r="R552" t="s">
        <v>29</v>
      </c>
      <c r="S552" t="s">
        <v>65</v>
      </c>
      <c r="T552">
        <v>2020</v>
      </c>
      <c r="U552" t="s">
        <v>53</v>
      </c>
    </row>
    <row r="553" spans="1:21" x14ac:dyDescent="0.35">
      <c r="A553" s="1">
        <v>45143</v>
      </c>
      <c r="B553" t="s">
        <v>32</v>
      </c>
      <c r="C553" t="s">
        <v>33</v>
      </c>
      <c r="D553" t="s">
        <v>34</v>
      </c>
      <c r="E553">
        <v>381</v>
      </c>
      <c r="F553">
        <v>20</v>
      </c>
      <c r="G553">
        <f t="shared" si="24"/>
        <v>7620</v>
      </c>
      <c r="H553">
        <v>12</v>
      </c>
      <c r="I553">
        <f t="shared" si="25"/>
        <v>4572</v>
      </c>
      <c r="J553">
        <f t="shared" si="26"/>
        <v>3048</v>
      </c>
      <c r="K553" t="s">
        <v>35</v>
      </c>
      <c r="L553" t="s">
        <v>25</v>
      </c>
      <c r="M553" t="s">
        <v>37</v>
      </c>
      <c r="N553" t="s">
        <v>27</v>
      </c>
      <c r="O553">
        <v>893</v>
      </c>
      <c r="P553">
        <v>381</v>
      </c>
      <c r="Q553" t="s">
        <v>51</v>
      </c>
      <c r="R553" t="s">
        <v>45</v>
      </c>
      <c r="S553" t="s">
        <v>52</v>
      </c>
      <c r="T553">
        <v>2021</v>
      </c>
      <c r="U553" t="s">
        <v>62</v>
      </c>
    </row>
    <row r="554" spans="1:21" x14ac:dyDescent="0.35">
      <c r="A554" s="1">
        <v>45144</v>
      </c>
      <c r="B554" t="s">
        <v>80</v>
      </c>
      <c r="C554" t="s">
        <v>81</v>
      </c>
      <c r="D554" t="s">
        <v>82</v>
      </c>
      <c r="E554">
        <v>396</v>
      </c>
      <c r="F554">
        <v>2.5</v>
      </c>
      <c r="G554">
        <f t="shared" si="24"/>
        <v>990</v>
      </c>
      <c r="H554">
        <v>1.5</v>
      </c>
      <c r="I554">
        <f t="shared" si="25"/>
        <v>594</v>
      </c>
      <c r="J554">
        <f t="shared" si="26"/>
        <v>396</v>
      </c>
      <c r="K554" t="s">
        <v>24</v>
      </c>
      <c r="L554" t="s">
        <v>63</v>
      </c>
      <c r="M554" t="s">
        <v>61</v>
      </c>
      <c r="N554" t="s">
        <v>27</v>
      </c>
      <c r="O554">
        <v>873</v>
      </c>
      <c r="P554">
        <v>396</v>
      </c>
      <c r="Q554" t="s">
        <v>90</v>
      </c>
      <c r="R554" t="s">
        <v>55</v>
      </c>
      <c r="S554" t="s">
        <v>85</v>
      </c>
      <c r="T554">
        <v>2023</v>
      </c>
      <c r="U554" t="s">
        <v>66</v>
      </c>
    </row>
    <row r="555" spans="1:21" x14ac:dyDescent="0.35">
      <c r="A555" s="1">
        <v>45145</v>
      </c>
      <c r="B555" t="s">
        <v>58</v>
      </c>
      <c r="C555" t="s">
        <v>59</v>
      </c>
      <c r="D555" t="s">
        <v>60</v>
      </c>
      <c r="E555">
        <v>351</v>
      </c>
      <c r="F555">
        <v>5</v>
      </c>
      <c r="G555">
        <f t="shared" si="24"/>
        <v>1755</v>
      </c>
      <c r="H555">
        <v>3</v>
      </c>
      <c r="I555">
        <f t="shared" si="25"/>
        <v>1053</v>
      </c>
      <c r="J555">
        <f t="shared" si="26"/>
        <v>702</v>
      </c>
      <c r="K555" t="s">
        <v>42</v>
      </c>
      <c r="L555" t="s">
        <v>73</v>
      </c>
      <c r="M555" t="s">
        <v>37</v>
      </c>
      <c r="N555" t="s">
        <v>38</v>
      </c>
      <c r="O555">
        <v>610</v>
      </c>
      <c r="P555">
        <v>351</v>
      </c>
      <c r="Q555" t="s">
        <v>64</v>
      </c>
      <c r="R555" t="s">
        <v>29</v>
      </c>
      <c r="S555" t="s">
        <v>65</v>
      </c>
      <c r="T555">
        <v>2023</v>
      </c>
      <c r="U555" t="s">
        <v>57</v>
      </c>
    </row>
    <row r="556" spans="1:21" x14ac:dyDescent="0.35">
      <c r="A556" s="1">
        <v>45146</v>
      </c>
      <c r="B556" t="s">
        <v>98</v>
      </c>
      <c r="C556" t="s">
        <v>99</v>
      </c>
      <c r="D556" t="s">
        <v>100</v>
      </c>
      <c r="E556">
        <v>235</v>
      </c>
      <c r="F556">
        <v>6</v>
      </c>
      <c r="G556">
        <f t="shared" si="24"/>
        <v>1410</v>
      </c>
      <c r="H556">
        <v>4</v>
      </c>
      <c r="I556">
        <f t="shared" si="25"/>
        <v>940</v>
      </c>
      <c r="J556">
        <f t="shared" si="26"/>
        <v>470</v>
      </c>
      <c r="K556" t="s">
        <v>35</v>
      </c>
      <c r="L556" t="s">
        <v>73</v>
      </c>
      <c r="M556" t="s">
        <v>37</v>
      </c>
      <c r="N556" t="s">
        <v>43</v>
      </c>
      <c r="O556">
        <v>947</v>
      </c>
      <c r="P556">
        <v>235</v>
      </c>
      <c r="Q556" t="s">
        <v>83</v>
      </c>
      <c r="R556" t="s">
        <v>84</v>
      </c>
      <c r="S556" t="s">
        <v>85</v>
      </c>
      <c r="T556">
        <v>2021</v>
      </c>
      <c r="U556" t="s">
        <v>53</v>
      </c>
    </row>
    <row r="557" spans="1:21" x14ac:dyDescent="0.35">
      <c r="A557" s="1">
        <v>45147</v>
      </c>
      <c r="B557" t="s">
        <v>58</v>
      </c>
      <c r="C557" t="s">
        <v>59</v>
      </c>
      <c r="D557" t="s">
        <v>60</v>
      </c>
      <c r="E557">
        <v>175</v>
      </c>
      <c r="F557">
        <v>5</v>
      </c>
      <c r="G557">
        <f t="shared" si="24"/>
        <v>875</v>
      </c>
      <c r="H557">
        <v>3</v>
      </c>
      <c r="I557">
        <f t="shared" si="25"/>
        <v>525</v>
      </c>
      <c r="J557">
        <f t="shared" si="26"/>
        <v>350</v>
      </c>
      <c r="K557" t="s">
        <v>35</v>
      </c>
      <c r="L557" t="s">
        <v>25</v>
      </c>
      <c r="M557" t="s">
        <v>37</v>
      </c>
      <c r="N557" t="s">
        <v>38</v>
      </c>
      <c r="O557">
        <v>850</v>
      </c>
      <c r="P557">
        <v>175</v>
      </c>
      <c r="Q557" t="s">
        <v>83</v>
      </c>
      <c r="R557" t="s">
        <v>84</v>
      </c>
      <c r="S557" t="s">
        <v>85</v>
      </c>
      <c r="T557">
        <v>2024</v>
      </c>
      <c r="U557" t="s">
        <v>105</v>
      </c>
    </row>
    <row r="558" spans="1:21" x14ac:dyDescent="0.35">
      <c r="A558" s="1">
        <v>45148</v>
      </c>
      <c r="B558" t="s">
        <v>32</v>
      </c>
      <c r="C558" t="s">
        <v>33</v>
      </c>
      <c r="D558" t="s">
        <v>34</v>
      </c>
      <c r="E558">
        <v>312</v>
      </c>
      <c r="F558">
        <v>20</v>
      </c>
      <c r="G558">
        <f t="shared" si="24"/>
        <v>6240</v>
      </c>
      <c r="H558">
        <v>12</v>
      </c>
      <c r="I558">
        <f t="shared" si="25"/>
        <v>3744</v>
      </c>
      <c r="J558">
        <f t="shared" si="26"/>
        <v>2496</v>
      </c>
      <c r="K558" t="s">
        <v>35</v>
      </c>
      <c r="L558" t="s">
        <v>73</v>
      </c>
      <c r="M558" t="s">
        <v>61</v>
      </c>
      <c r="N558" t="s">
        <v>38</v>
      </c>
      <c r="O558">
        <v>623</v>
      </c>
      <c r="P558">
        <v>312</v>
      </c>
      <c r="Q558" t="s">
        <v>113</v>
      </c>
      <c r="R558" t="s">
        <v>114</v>
      </c>
      <c r="S558" t="s">
        <v>115</v>
      </c>
      <c r="T558">
        <v>2022</v>
      </c>
      <c r="U558" t="s">
        <v>53</v>
      </c>
    </row>
    <row r="559" spans="1:21" x14ac:dyDescent="0.35">
      <c r="A559" s="1">
        <v>45149</v>
      </c>
      <c r="B559" t="s">
        <v>21</v>
      </c>
      <c r="C559" t="s">
        <v>22</v>
      </c>
      <c r="D559" t="s">
        <v>23</v>
      </c>
      <c r="E559">
        <v>184</v>
      </c>
      <c r="F559">
        <v>8</v>
      </c>
      <c r="G559">
        <f t="shared" si="24"/>
        <v>1472</v>
      </c>
      <c r="H559">
        <v>5</v>
      </c>
      <c r="I559">
        <f t="shared" si="25"/>
        <v>920</v>
      </c>
      <c r="J559">
        <f t="shared" si="26"/>
        <v>552</v>
      </c>
      <c r="K559" t="s">
        <v>24</v>
      </c>
      <c r="L559" t="s">
        <v>63</v>
      </c>
      <c r="M559" t="s">
        <v>61</v>
      </c>
      <c r="N559" t="s">
        <v>38</v>
      </c>
      <c r="O559">
        <v>763</v>
      </c>
      <c r="P559">
        <v>184</v>
      </c>
      <c r="Q559" t="s">
        <v>70</v>
      </c>
      <c r="R559" t="s">
        <v>71</v>
      </c>
      <c r="S559" t="s">
        <v>72</v>
      </c>
      <c r="T559">
        <v>2020</v>
      </c>
      <c r="U559" t="s">
        <v>31</v>
      </c>
    </row>
    <row r="560" spans="1:21" x14ac:dyDescent="0.35">
      <c r="A560" s="1">
        <v>45150</v>
      </c>
      <c r="B560" t="s">
        <v>21</v>
      </c>
      <c r="C560" t="s">
        <v>22</v>
      </c>
      <c r="D560" t="s">
        <v>23</v>
      </c>
      <c r="E560">
        <v>49</v>
      </c>
      <c r="F560">
        <v>8</v>
      </c>
      <c r="G560">
        <f t="shared" si="24"/>
        <v>392</v>
      </c>
      <c r="H560">
        <v>5</v>
      </c>
      <c r="I560">
        <f t="shared" si="25"/>
        <v>245</v>
      </c>
      <c r="J560">
        <f t="shared" si="26"/>
        <v>147</v>
      </c>
      <c r="K560" t="s">
        <v>42</v>
      </c>
      <c r="L560" t="s">
        <v>36</v>
      </c>
      <c r="M560" t="s">
        <v>61</v>
      </c>
      <c r="N560" t="s">
        <v>43</v>
      </c>
      <c r="O560">
        <v>661</v>
      </c>
      <c r="P560">
        <v>49</v>
      </c>
      <c r="Q560" t="s">
        <v>70</v>
      </c>
      <c r="R560" t="s">
        <v>71</v>
      </c>
      <c r="S560" t="s">
        <v>72</v>
      </c>
      <c r="T560">
        <v>2020</v>
      </c>
      <c r="U560" t="s">
        <v>66</v>
      </c>
    </row>
    <row r="561" spans="1:21" x14ac:dyDescent="0.35">
      <c r="A561" s="1">
        <v>45151</v>
      </c>
      <c r="B561" t="s">
        <v>80</v>
      </c>
      <c r="C561" t="s">
        <v>81</v>
      </c>
      <c r="D561" t="s">
        <v>82</v>
      </c>
      <c r="E561">
        <v>91</v>
      </c>
      <c r="F561">
        <v>2.5</v>
      </c>
      <c r="G561">
        <f t="shared" si="24"/>
        <v>227.5</v>
      </c>
      <c r="H561">
        <v>1.5</v>
      </c>
      <c r="I561">
        <f t="shared" si="25"/>
        <v>136.5</v>
      </c>
      <c r="J561">
        <f t="shared" si="26"/>
        <v>91</v>
      </c>
      <c r="K561" t="s">
        <v>35</v>
      </c>
      <c r="L561" t="s">
        <v>63</v>
      </c>
      <c r="M561" t="s">
        <v>26</v>
      </c>
      <c r="N561" t="s">
        <v>27</v>
      </c>
      <c r="O561">
        <v>686</v>
      </c>
      <c r="P561">
        <v>91</v>
      </c>
      <c r="Q561" t="s">
        <v>28</v>
      </c>
      <c r="R561" t="s">
        <v>29</v>
      </c>
      <c r="S561" t="s">
        <v>30</v>
      </c>
      <c r="T561">
        <v>2021</v>
      </c>
      <c r="U561" t="s">
        <v>53</v>
      </c>
    </row>
    <row r="562" spans="1:21" x14ac:dyDescent="0.35">
      <c r="A562" s="1">
        <v>45152</v>
      </c>
      <c r="B562" t="s">
        <v>21</v>
      </c>
      <c r="C562" t="s">
        <v>22</v>
      </c>
      <c r="D562" t="s">
        <v>23</v>
      </c>
      <c r="E562">
        <v>105</v>
      </c>
      <c r="F562">
        <v>8</v>
      </c>
      <c r="G562">
        <f t="shared" si="24"/>
        <v>840</v>
      </c>
      <c r="H562">
        <v>5</v>
      </c>
      <c r="I562">
        <f t="shared" si="25"/>
        <v>525</v>
      </c>
      <c r="J562">
        <f t="shared" si="26"/>
        <v>315</v>
      </c>
      <c r="K562" t="s">
        <v>24</v>
      </c>
      <c r="L562" t="s">
        <v>36</v>
      </c>
      <c r="M562" t="s">
        <v>26</v>
      </c>
      <c r="N562" t="s">
        <v>38</v>
      </c>
      <c r="O562">
        <v>732</v>
      </c>
      <c r="P562">
        <v>105</v>
      </c>
      <c r="Q562" t="s">
        <v>87</v>
      </c>
      <c r="R562" t="s">
        <v>88</v>
      </c>
      <c r="S562" t="s">
        <v>89</v>
      </c>
      <c r="T562">
        <v>2023</v>
      </c>
      <c r="U562" t="s">
        <v>105</v>
      </c>
    </row>
    <row r="563" spans="1:21" x14ac:dyDescent="0.35">
      <c r="A563" s="1">
        <v>45153</v>
      </c>
      <c r="B563" t="s">
        <v>32</v>
      </c>
      <c r="C563" t="s">
        <v>33</v>
      </c>
      <c r="D563" t="s">
        <v>34</v>
      </c>
      <c r="E563">
        <v>169</v>
      </c>
      <c r="F563">
        <v>20</v>
      </c>
      <c r="G563">
        <f t="shared" si="24"/>
        <v>3380</v>
      </c>
      <c r="H563">
        <v>12</v>
      </c>
      <c r="I563">
        <f t="shared" si="25"/>
        <v>2028</v>
      </c>
      <c r="J563">
        <f t="shared" si="26"/>
        <v>1352</v>
      </c>
      <c r="K563" t="s">
        <v>42</v>
      </c>
      <c r="L563" t="s">
        <v>73</v>
      </c>
      <c r="M563" t="s">
        <v>26</v>
      </c>
      <c r="N563" t="s">
        <v>43</v>
      </c>
      <c r="O563">
        <v>806</v>
      </c>
      <c r="P563">
        <v>169</v>
      </c>
      <c r="Q563" t="s">
        <v>39</v>
      </c>
      <c r="R563" t="s">
        <v>40</v>
      </c>
      <c r="S563" t="s">
        <v>41</v>
      </c>
      <c r="T563">
        <v>2022</v>
      </c>
      <c r="U563" t="s">
        <v>47</v>
      </c>
    </row>
    <row r="564" spans="1:21" x14ac:dyDescent="0.35">
      <c r="A564" s="1">
        <v>45154</v>
      </c>
      <c r="B564" t="s">
        <v>98</v>
      </c>
      <c r="C564" t="s">
        <v>99</v>
      </c>
      <c r="D564" t="s">
        <v>100</v>
      </c>
      <c r="E564">
        <v>222</v>
      </c>
      <c r="F564">
        <v>6</v>
      </c>
      <c r="G564">
        <f t="shared" si="24"/>
        <v>1332</v>
      </c>
      <c r="H564">
        <v>4</v>
      </c>
      <c r="I564">
        <f t="shared" si="25"/>
        <v>888</v>
      </c>
      <c r="J564">
        <f t="shared" si="26"/>
        <v>444</v>
      </c>
      <c r="K564" t="s">
        <v>24</v>
      </c>
      <c r="L564" t="s">
        <v>25</v>
      </c>
      <c r="M564" t="s">
        <v>26</v>
      </c>
      <c r="N564" t="s">
        <v>43</v>
      </c>
      <c r="O564">
        <v>591</v>
      </c>
      <c r="P564">
        <v>222</v>
      </c>
      <c r="Q564" t="s">
        <v>87</v>
      </c>
      <c r="R564" t="s">
        <v>88</v>
      </c>
      <c r="S564" t="s">
        <v>89</v>
      </c>
      <c r="T564">
        <v>2022</v>
      </c>
      <c r="U564" t="s">
        <v>86</v>
      </c>
    </row>
    <row r="565" spans="1:21" x14ac:dyDescent="0.35">
      <c r="A565" s="1">
        <v>45155</v>
      </c>
      <c r="B565" t="s">
        <v>98</v>
      </c>
      <c r="C565" t="s">
        <v>99</v>
      </c>
      <c r="D565" t="s">
        <v>100</v>
      </c>
      <c r="E565">
        <v>233</v>
      </c>
      <c r="F565">
        <v>6</v>
      </c>
      <c r="G565">
        <f t="shared" si="24"/>
        <v>1398</v>
      </c>
      <c r="H565">
        <v>4</v>
      </c>
      <c r="I565">
        <f t="shared" si="25"/>
        <v>932</v>
      </c>
      <c r="J565">
        <f t="shared" si="26"/>
        <v>466</v>
      </c>
      <c r="K565" t="s">
        <v>24</v>
      </c>
      <c r="L565" t="s">
        <v>25</v>
      </c>
      <c r="M565" t="s">
        <v>37</v>
      </c>
      <c r="N565" t="s">
        <v>38</v>
      </c>
      <c r="O565">
        <v>921</v>
      </c>
      <c r="P565">
        <v>233</v>
      </c>
      <c r="Q565" t="s">
        <v>64</v>
      </c>
      <c r="R565" t="s">
        <v>29</v>
      </c>
      <c r="S565" t="s">
        <v>65</v>
      </c>
      <c r="T565">
        <v>2023</v>
      </c>
      <c r="U565" t="s">
        <v>31</v>
      </c>
    </row>
    <row r="566" spans="1:21" x14ac:dyDescent="0.35">
      <c r="A566" s="1">
        <v>45156</v>
      </c>
      <c r="B566" t="s">
        <v>58</v>
      </c>
      <c r="C566" t="s">
        <v>59</v>
      </c>
      <c r="D566" t="s">
        <v>60</v>
      </c>
      <c r="E566">
        <v>219</v>
      </c>
      <c r="F566">
        <v>5</v>
      </c>
      <c r="G566">
        <f t="shared" si="24"/>
        <v>1095</v>
      </c>
      <c r="H566">
        <v>3</v>
      </c>
      <c r="I566">
        <f t="shared" si="25"/>
        <v>657</v>
      </c>
      <c r="J566">
        <f t="shared" si="26"/>
        <v>438</v>
      </c>
      <c r="K566" t="s">
        <v>35</v>
      </c>
      <c r="L566" t="s">
        <v>73</v>
      </c>
      <c r="M566" t="s">
        <v>26</v>
      </c>
      <c r="N566" t="s">
        <v>43</v>
      </c>
      <c r="O566">
        <v>926</v>
      </c>
      <c r="P566">
        <v>219</v>
      </c>
      <c r="Q566" t="s">
        <v>51</v>
      </c>
      <c r="R566" t="s">
        <v>45</v>
      </c>
      <c r="S566" t="s">
        <v>52</v>
      </c>
      <c r="T566">
        <v>2020</v>
      </c>
      <c r="U566" t="s">
        <v>109</v>
      </c>
    </row>
    <row r="567" spans="1:21" x14ac:dyDescent="0.35">
      <c r="A567" s="1">
        <v>45157</v>
      </c>
      <c r="B567" t="s">
        <v>21</v>
      </c>
      <c r="C567" t="s">
        <v>22</v>
      </c>
      <c r="D567" t="s">
        <v>23</v>
      </c>
      <c r="E567">
        <v>128</v>
      </c>
      <c r="F567">
        <v>8</v>
      </c>
      <c r="G567">
        <f t="shared" si="24"/>
        <v>1024</v>
      </c>
      <c r="H567">
        <v>5</v>
      </c>
      <c r="I567">
        <f t="shared" si="25"/>
        <v>640</v>
      </c>
      <c r="J567">
        <f t="shared" si="26"/>
        <v>384</v>
      </c>
      <c r="K567" t="s">
        <v>24</v>
      </c>
      <c r="L567" t="s">
        <v>36</v>
      </c>
      <c r="M567" t="s">
        <v>26</v>
      </c>
      <c r="N567" t="s">
        <v>38</v>
      </c>
      <c r="O567">
        <v>606</v>
      </c>
      <c r="P567">
        <v>128</v>
      </c>
      <c r="Q567" t="s">
        <v>54</v>
      </c>
      <c r="R567" t="s">
        <v>55</v>
      </c>
      <c r="S567" t="s">
        <v>56</v>
      </c>
      <c r="T567">
        <v>2020</v>
      </c>
      <c r="U567" t="s">
        <v>31</v>
      </c>
    </row>
    <row r="568" spans="1:21" x14ac:dyDescent="0.35">
      <c r="A568" s="1">
        <v>45158</v>
      </c>
      <c r="B568" t="s">
        <v>58</v>
      </c>
      <c r="C568" t="s">
        <v>59</v>
      </c>
      <c r="D568" t="s">
        <v>60</v>
      </c>
      <c r="E568">
        <v>487</v>
      </c>
      <c r="F568">
        <v>5</v>
      </c>
      <c r="G568">
        <f t="shared" si="24"/>
        <v>2435</v>
      </c>
      <c r="H568">
        <v>3</v>
      </c>
      <c r="I568">
        <f t="shared" si="25"/>
        <v>1461</v>
      </c>
      <c r="J568">
        <f t="shared" si="26"/>
        <v>974</v>
      </c>
      <c r="K568" t="s">
        <v>35</v>
      </c>
      <c r="L568" t="s">
        <v>25</v>
      </c>
      <c r="M568" t="s">
        <v>61</v>
      </c>
      <c r="N568" t="s">
        <v>38</v>
      </c>
      <c r="O568">
        <v>740</v>
      </c>
      <c r="P568">
        <v>487</v>
      </c>
      <c r="Q568" t="s">
        <v>90</v>
      </c>
      <c r="R568" t="s">
        <v>55</v>
      </c>
      <c r="S568" t="s">
        <v>85</v>
      </c>
      <c r="T568">
        <v>2020</v>
      </c>
      <c r="U568" t="s">
        <v>62</v>
      </c>
    </row>
    <row r="569" spans="1:21" x14ac:dyDescent="0.35">
      <c r="A569" s="1">
        <v>45159</v>
      </c>
      <c r="B569" t="s">
        <v>48</v>
      </c>
      <c r="C569" t="s">
        <v>49</v>
      </c>
      <c r="D569" t="s">
        <v>50</v>
      </c>
      <c r="E569">
        <v>441</v>
      </c>
      <c r="F569">
        <v>150</v>
      </c>
      <c r="G569">
        <f t="shared" si="24"/>
        <v>66150</v>
      </c>
      <c r="H569">
        <v>100</v>
      </c>
      <c r="I569">
        <f t="shared" si="25"/>
        <v>44100</v>
      </c>
      <c r="J569">
        <f t="shared" si="26"/>
        <v>22050</v>
      </c>
      <c r="K569" t="s">
        <v>24</v>
      </c>
      <c r="L569" t="s">
        <v>73</v>
      </c>
      <c r="M569" t="s">
        <v>37</v>
      </c>
      <c r="N569" t="s">
        <v>38</v>
      </c>
      <c r="O569">
        <v>843</v>
      </c>
      <c r="P569">
        <v>441</v>
      </c>
      <c r="Q569" t="s">
        <v>83</v>
      </c>
      <c r="R569" t="s">
        <v>84</v>
      </c>
      <c r="S569" t="s">
        <v>85</v>
      </c>
      <c r="T569">
        <v>2022</v>
      </c>
      <c r="U569" t="s">
        <v>47</v>
      </c>
    </row>
    <row r="570" spans="1:21" x14ac:dyDescent="0.35">
      <c r="A570" s="1">
        <v>45160</v>
      </c>
      <c r="B570" t="s">
        <v>98</v>
      </c>
      <c r="C570" t="s">
        <v>99</v>
      </c>
      <c r="D570" t="s">
        <v>100</v>
      </c>
      <c r="E570">
        <v>270</v>
      </c>
      <c r="F570">
        <v>6</v>
      </c>
      <c r="G570">
        <f t="shared" si="24"/>
        <v>1620</v>
      </c>
      <c r="H570">
        <v>4</v>
      </c>
      <c r="I570">
        <f t="shared" si="25"/>
        <v>1080</v>
      </c>
      <c r="J570">
        <f t="shared" si="26"/>
        <v>540</v>
      </c>
      <c r="K570" t="s">
        <v>35</v>
      </c>
      <c r="L570" t="s">
        <v>73</v>
      </c>
      <c r="M570" t="s">
        <v>37</v>
      </c>
      <c r="N570" t="s">
        <v>27</v>
      </c>
      <c r="O570">
        <v>557</v>
      </c>
      <c r="P570">
        <v>270</v>
      </c>
      <c r="Q570" t="s">
        <v>106</v>
      </c>
      <c r="R570" t="s">
        <v>107</v>
      </c>
      <c r="S570" t="s">
        <v>108</v>
      </c>
      <c r="T570">
        <v>2021</v>
      </c>
      <c r="U570" t="s">
        <v>97</v>
      </c>
    </row>
    <row r="571" spans="1:21" x14ac:dyDescent="0.35">
      <c r="A571" s="1">
        <v>45161</v>
      </c>
      <c r="B571" t="s">
        <v>21</v>
      </c>
      <c r="C571" t="s">
        <v>22</v>
      </c>
      <c r="D571" t="s">
        <v>23</v>
      </c>
      <c r="E571">
        <v>337</v>
      </c>
      <c r="F571">
        <v>8</v>
      </c>
      <c r="G571">
        <f t="shared" si="24"/>
        <v>2696</v>
      </c>
      <c r="H571">
        <v>5</v>
      </c>
      <c r="I571">
        <f t="shared" si="25"/>
        <v>1685</v>
      </c>
      <c r="J571">
        <f t="shared" si="26"/>
        <v>1011</v>
      </c>
      <c r="K571" t="s">
        <v>35</v>
      </c>
      <c r="L571" t="s">
        <v>73</v>
      </c>
      <c r="M571" t="s">
        <v>26</v>
      </c>
      <c r="N571" t="s">
        <v>27</v>
      </c>
      <c r="O571">
        <v>894</v>
      </c>
      <c r="P571">
        <v>337</v>
      </c>
      <c r="Q571" t="s">
        <v>28</v>
      </c>
      <c r="R571" t="s">
        <v>29</v>
      </c>
      <c r="S571" t="s">
        <v>30</v>
      </c>
      <c r="T571">
        <v>2023</v>
      </c>
      <c r="U571" t="s">
        <v>31</v>
      </c>
    </row>
    <row r="572" spans="1:21" x14ac:dyDescent="0.35">
      <c r="A572" s="1">
        <v>45162</v>
      </c>
      <c r="B572" t="s">
        <v>80</v>
      </c>
      <c r="C572" t="s">
        <v>81</v>
      </c>
      <c r="D572" t="s">
        <v>82</v>
      </c>
      <c r="E572">
        <v>46</v>
      </c>
      <c r="F572">
        <v>2.5</v>
      </c>
      <c r="G572">
        <f t="shared" si="24"/>
        <v>115</v>
      </c>
      <c r="H572">
        <v>1.5</v>
      </c>
      <c r="I572">
        <f t="shared" si="25"/>
        <v>69</v>
      </c>
      <c r="J572">
        <f t="shared" si="26"/>
        <v>46</v>
      </c>
      <c r="K572" t="s">
        <v>35</v>
      </c>
      <c r="L572" t="s">
        <v>63</v>
      </c>
      <c r="M572" t="s">
        <v>61</v>
      </c>
      <c r="N572" t="s">
        <v>38</v>
      </c>
      <c r="O572">
        <v>763</v>
      </c>
      <c r="P572">
        <v>46</v>
      </c>
      <c r="Q572" t="s">
        <v>39</v>
      </c>
      <c r="R572" t="s">
        <v>40</v>
      </c>
      <c r="S572" t="s">
        <v>41</v>
      </c>
      <c r="T572">
        <v>2020</v>
      </c>
      <c r="U572" t="s">
        <v>96</v>
      </c>
    </row>
    <row r="573" spans="1:21" x14ac:dyDescent="0.35">
      <c r="A573" s="1">
        <v>45163</v>
      </c>
      <c r="B573" t="s">
        <v>32</v>
      </c>
      <c r="C573" t="s">
        <v>33</v>
      </c>
      <c r="D573" t="s">
        <v>34</v>
      </c>
      <c r="E573">
        <v>335</v>
      </c>
      <c r="F573">
        <v>20</v>
      </c>
      <c r="G573">
        <f t="shared" si="24"/>
        <v>6700</v>
      </c>
      <c r="H573">
        <v>12</v>
      </c>
      <c r="I573">
        <f t="shared" si="25"/>
        <v>4020</v>
      </c>
      <c r="J573">
        <f t="shared" si="26"/>
        <v>2680</v>
      </c>
      <c r="K573" t="s">
        <v>35</v>
      </c>
      <c r="L573" t="s">
        <v>63</v>
      </c>
      <c r="M573" t="s">
        <v>61</v>
      </c>
      <c r="N573" t="s">
        <v>27</v>
      </c>
      <c r="O573">
        <v>776</v>
      </c>
      <c r="P573">
        <v>335</v>
      </c>
      <c r="Q573" t="s">
        <v>92</v>
      </c>
      <c r="R573" t="s">
        <v>45</v>
      </c>
      <c r="S573" t="s">
        <v>93</v>
      </c>
      <c r="T573">
        <v>2023</v>
      </c>
      <c r="U573" t="s">
        <v>31</v>
      </c>
    </row>
    <row r="574" spans="1:21" x14ac:dyDescent="0.35">
      <c r="A574" s="1">
        <v>45164</v>
      </c>
      <c r="B574" t="s">
        <v>98</v>
      </c>
      <c r="C574" t="s">
        <v>99</v>
      </c>
      <c r="D574" t="s">
        <v>100</v>
      </c>
      <c r="E574">
        <v>213</v>
      </c>
      <c r="F574">
        <v>6</v>
      </c>
      <c r="G574">
        <f t="shared" si="24"/>
        <v>1278</v>
      </c>
      <c r="H574">
        <v>4</v>
      </c>
      <c r="I574">
        <f t="shared" si="25"/>
        <v>852</v>
      </c>
      <c r="J574">
        <f t="shared" si="26"/>
        <v>426</v>
      </c>
      <c r="K574" t="s">
        <v>24</v>
      </c>
      <c r="L574" t="s">
        <v>63</v>
      </c>
      <c r="M574" t="s">
        <v>26</v>
      </c>
      <c r="N574" t="s">
        <v>27</v>
      </c>
      <c r="O574">
        <v>713</v>
      </c>
      <c r="P574">
        <v>213</v>
      </c>
      <c r="Q574" t="s">
        <v>51</v>
      </c>
      <c r="R574" t="s">
        <v>45</v>
      </c>
      <c r="S574" t="s">
        <v>52</v>
      </c>
      <c r="T574">
        <v>2024</v>
      </c>
      <c r="U574" t="s">
        <v>57</v>
      </c>
    </row>
    <row r="575" spans="1:21" x14ac:dyDescent="0.35">
      <c r="A575" s="1">
        <v>45165</v>
      </c>
      <c r="B575" t="s">
        <v>80</v>
      </c>
      <c r="C575" t="s">
        <v>81</v>
      </c>
      <c r="D575" t="s">
        <v>82</v>
      </c>
      <c r="E575">
        <v>40</v>
      </c>
      <c r="F575">
        <v>2.5</v>
      </c>
      <c r="G575">
        <f t="shared" si="24"/>
        <v>100</v>
      </c>
      <c r="H575">
        <v>1.5</v>
      </c>
      <c r="I575">
        <f t="shared" si="25"/>
        <v>60</v>
      </c>
      <c r="J575">
        <f t="shared" si="26"/>
        <v>40</v>
      </c>
      <c r="K575" t="s">
        <v>42</v>
      </c>
      <c r="L575" t="s">
        <v>73</v>
      </c>
      <c r="M575" t="s">
        <v>61</v>
      </c>
      <c r="N575" t="s">
        <v>43</v>
      </c>
      <c r="O575">
        <v>885</v>
      </c>
      <c r="P575">
        <v>40</v>
      </c>
      <c r="Q575" t="s">
        <v>70</v>
      </c>
      <c r="R575" t="s">
        <v>71</v>
      </c>
      <c r="S575" t="s">
        <v>72</v>
      </c>
      <c r="T575">
        <v>2021</v>
      </c>
      <c r="U575" t="s">
        <v>57</v>
      </c>
    </row>
    <row r="576" spans="1:21" x14ac:dyDescent="0.35">
      <c r="A576" s="1">
        <v>45166</v>
      </c>
      <c r="B576" t="s">
        <v>32</v>
      </c>
      <c r="C576" t="s">
        <v>33</v>
      </c>
      <c r="D576" t="s">
        <v>34</v>
      </c>
      <c r="E576">
        <v>387</v>
      </c>
      <c r="F576">
        <v>20</v>
      </c>
      <c r="G576">
        <f t="shared" si="24"/>
        <v>7740</v>
      </c>
      <c r="H576">
        <v>12</v>
      </c>
      <c r="I576">
        <f t="shared" si="25"/>
        <v>4644</v>
      </c>
      <c r="J576">
        <f t="shared" si="26"/>
        <v>3096</v>
      </c>
      <c r="K576" t="s">
        <v>24</v>
      </c>
      <c r="L576" t="s">
        <v>73</v>
      </c>
      <c r="M576" t="s">
        <v>26</v>
      </c>
      <c r="N576" t="s">
        <v>43</v>
      </c>
      <c r="O576">
        <v>626</v>
      </c>
      <c r="P576">
        <v>387</v>
      </c>
      <c r="Q576" t="s">
        <v>70</v>
      </c>
      <c r="R576" t="s">
        <v>71</v>
      </c>
      <c r="S576" t="s">
        <v>72</v>
      </c>
      <c r="T576">
        <v>2022</v>
      </c>
      <c r="U576" t="s">
        <v>96</v>
      </c>
    </row>
    <row r="577" spans="1:21" x14ac:dyDescent="0.35">
      <c r="A577" s="1">
        <v>45167</v>
      </c>
      <c r="B577" t="s">
        <v>98</v>
      </c>
      <c r="C577" t="s">
        <v>99</v>
      </c>
      <c r="D577" t="s">
        <v>100</v>
      </c>
      <c r="E577">
        <v>394</v>
      </c>
      <c r="F577">
        <v>6</v>
      </c>
      <c r="G577">
        <f t="shared" si="24"/>
        <v>2364</v>
      </c>
      <c r="H577">
        <v>4</v>
      </c>
      <c r="I577">
        <f t="shared" si="25"/>
        <v>1576</v>
      </c>
      <c r="J577">
        <f t="shared" si="26"/>
        <v>788</v>
      </c>
      <c r="K577" t="s">
        <v>42</v>
      </c>
      <c r="L577" t="s">
        <v>73</v>
      </c>
      <c r="M577" t="s">
        <v>26</v>
      </c>
      <c r="N577" t="s">
        <v>43</v>
      </c>
      <c r="O577">
        <v>548</v>
      </c>
      <c r="P577">
        <v>394</v>
      </c>
      <c r="Q577" t="s">
        <v>28</v>
      </c>
      <c r="R577" t="s">
        <v>29</v>
      </c>
      <c r="S577" t="s">
        <v>30</v>
      </c>
      <c r="T577">
        <v>2022</v>
      </c>
      <c r="U577" t="s">
        <v>96</v>
      </c>
    </row>
    <row r="578" spans="1:21" x14ac:dyDescent="0.35">
      <c r="A578" s="1">
        <v>45168</v>
      </c>
      <c r="B578" t="s">
        <v>48</v>
      </c>
      <c r="C578" t="s">
        <v>49</v>
      </c>
      <c r="D578" t="s">
        <v>50</v>
      </c>
      <c r="E578">
        <v>127</v>
      </c>
      <c r="F578">
        <v>150</v>
      </c>
      <c r="G578">
        <f t="shared" si="24"/>
        <v>19050</v>
      </c>
      <c r="H578">
        <v>100</v>
      </c>
      <c r="I578">
        <f t="shared" si="25"/>
        <v>12700</v>
      </c>
      <c r="J578">
        <f t="shared" si="26"/>
        <v>6350</v>
      </c>
      <c r="K578" t="s">
        <v>24</v>
      </c>
      <c r="L578" t="s">
        <v>73</v>
      </c>
      <c r="M578" t="s">
        <v>26</v>
      </c>
      <c r="N578" t="s">
        <v>27</v>
      </c>
      <c r="O578">
        <v>785</v>
      </c>
      <c r="P578">
        <v>127</v>
      </c>
      <c r="Q578" t="s">
        <v>39</v>
      </c>
      <c r="R578" t="s">
        <v>40</v>
      </c>
      <c r="S578" t="s">
        <v>41</v>
      </c>
      <c r="T578">
        <v>2024</v>
      </c>
      <c r="U578" t="s">
        <v>66</v>
      </c>
    </row>
    <row r="579" spans="1:21" x14ac:dyDescent="0.35">
      <c r="A579" s="1">
        <v>45169</v>
      </c>
      <c r="B579" t="s">
        <v>80</v>
      </c>
      <c r="C579" t="s">
        <v>81</v>
      </c>
      <c r="D579" t="s">
        <v>82</v>
      </c>
      <c r="E579">
        <v>203</v>
      </c>
      <c r="F579">
        <v>2.5</v>
      </c>
      <c r="G579">
        <f t="shared" ref="G579:G642" si="27">E579*F579</f>
        <v>507.5</v>
      </c>
      <c r="H579">
        <v>1.5</v>
      </c>
      <c r="I579">
        <f t="shared" ref="I579:I642" si="28">E579*H579</f>
        <v>304.5</v>
      </c>
      <c r="J579">
        <f t="shared" ref="J579:J642" si="29">G579-I579</f>
        <v>203</v>
      </c>
      <c r="K579" t="s">
        <v>35</v>
      </c>
      <c r="L579" t="s">
        <v>25</v>
      </c>
      <c r="M579" t="s">
        <v>61</v>
      </c>
      <c r="N579" t="s">
        <v>27</v>
      </c>
      <c r="O579">
        <v>597</v>
      </c>
      <c r="P579">
        <v>203</v>
      </c>
      <c r="Q579" t="s">
        <v>64</v>
      </c>
      <c r="R579" t="s">
        <v>29</v>
      </c>
      <c r="S579" t="s">
        <v>65</v>
      </c>
      <c r="T579">
        <v>2021</v>
      </c>
      <c r="U579" t="s">
        <v>62</v>
      </c>
    </row>
    <row r="580" spans="1:21" x14ac:dyDescent="0.35">
      <c r="A580" s="1">
        <v>45170</v>
      </c>
      <c r="B580" t="s">
        <v>21</v>
      </c>
      <c r="C580" t="s">
        <v>22</v>
      </c>
      <c r="D580" t="s">
        <v>23</v>
      </c>
      <c r="E580">
        <v>424</v>
      </c>
      <c r="F580">
        <v>8</v>
      </c>
      <c r="G580">
        <f t="shared" si="27"/>
        <v>3392</v>
      </c>
      <c r="H580">
        <v>5</v>
      </c>
      <c r="I580">
        <f t="shared" si="28"/>
        <v>2120</v>
      </c>
      <c r="J580">
        <f t="shared" si="29"/>
        <v>1272</v>
      </c>
      <c r="K580" t="s">
        <v>42</v>
      </c>
      <c r="L580" t="s">
        <v>25</v>
      </c>
      <c r="M580" t="s">
        <v>61</v>
      </c>
      <c r="N580" t="s">
        <v>43</v>
      </c>
      <c r="O580">
        <v>509</v>
      </c>
      <c r="P580">
        <v>424</v>
      </c>
      <c r="Q580" t="s">
        <v>70</v>
      </c>
      <c r="R580" t="s">
        <v>71</v>
      </c>
      <c r="S580" t="s">
        <v>72</v>
      </c>
      <c r="T580">
        <v>2021</v>
      </c>
      <c r="U580" t="s">
        <v>62</v>
      </c>
    </row>
    <row r="581" spans="1:21" x14ac:dyDescent="0.35">
      <c r="A581" s="1">
        <v>45171</v>
      </c>
      <c r="B581" t="s">
        <v>80</v>
      </c>
      <c r="C581" t="s">
        <v>81</v>
      </c>
      <c r="D581" t="s">
        <v>82</v>
      </c>
      <c r="E581">
        <v>33</v>
      </c>
      <c r="F581">
        <v>2.5</v>
      </c>
      <c r="G581">
        <f t="shared" si="27"/>
        <v>82.5</v>
      </c>
      <c r="H581">
        <v>1.5</v>
      </c>
      <c r="I581">
        <f t="shared" si="28"/>
        <v>49.5</v>
      </c>
      <c r="J581">
        <f t="shared" si="29"/>
        <v>33</v>
      </c>
      <c r="K581" t="s">
        <v>35</v>
      </c>
      <c r="L581" t="s">
        <v>36</v>
      </c>
      <c r="M581" t="s">
        <v>26</v>
      </c>
      <c r="N581" t="s">
        <v>38</v>
      </c>
      <c r="O581">
        <v>910</v>
      </c>
      <c r="P581">
        <v>33</v>
      </c>
      <c r="Q581" t="s">
        <v>110</v>
      </c>
      <c r="R581" t="s">
        <v>111</v>
      </c>
      <c r="S581" t="s">
        <v>112</v>
      </c>
      <c r="T581">
        <v>2023</v>
      </c>
      <c r="U581" t="s">
        <v>97</v>
      </c>
    </row>
    <row r="582" spans="1:21" x14ac:dyDescent="0.35">
      <c r="A582" s="1">
        <v>45172</v>
      </c>
      <c r="B582" t="s">
        <v>98</v>
      </c>
      <c r="C582" t="s">
        <v>99</v>
      </c>
      <c r="D582" t="s">
        <v>100</v>
      </c>
      <c r="E582">
        <v>391</v>
      </c>
      <c r="F582">
        <v>6</v>
      </c>
      <c r="G582">
        <f t="shared" si="27"/>
        <v>2346</v>
      </c>
      <c r="H582">
        <v>4</v>
      </c>
      <c r="I582">
        <f t="shared" si="28"/>
        <v>1564</v>
      </c>
      <c r="J582">
        <f t="shared" si="29"/>
        <v>782</v>
      </c>
      <c r="K582" t="s">
        <v>35</v>
      </c>
      <c r="L582" t="s">
        <v>36</v>
      </c>
      <c r="M582" t="s">
        <v>61</v>
      </c>
      <c r="N582" t="s">
        <v>38</v>
      </c>
      <c r="O582">
        <v>741</v>
      </c>
      <c r="P582">
        <v>391</v>
      </c>
      <c r="Q582" t="s">
        <v>54</v>
      </c>
      <c r="R582" t="s">
        <v>55</v>
      </c>
      <c r="S582" t="s">
        <v>56</v>
      </c>
      <c r="T582">
        <v>2020</v>
      </c>
      <c r="U582" t="s">
        <v>31</v>
      </c>
    </row>
    <row r="583" spans="1:21" x14ac:dyDescent="0.35">
      <c r="A583" s="1">
        <v>45173</v>
      </c>
      <c r="B583" t="s">
        <v>98</v>
      </c>
      <c r="C583" t="s">
        <v>99</v>
      </c>
      <c r="D583" t="s">
        <v>100</v>
      </c>
      <c r="E583">
        <v>235</v>
      </c>
      <c r="F583">
        <v>6</v>
      </c>
      <c r="G583">
        <f t="shared" si="27"/>
        <v>1410</v>
      </c>
      <c r="H583">
        <v>4</v>
      </c>
      <c r="I583">
        <f t="shared" si="28"/>
        <v>940</v>
      </c>
      <c r="J583">
        <f t="shared" si="29"/>
        <v>470</v>
      </c>
      <c r="K583" t="s">
        <v>24</v>
      </c>
      <c r="L583" t="s">
        <v>36</v>
      </c>
      <c r="M583" t="s">
        <v>61</v>
      </c>
      <c r="N583" t="s">
        <v>27</v>
      </c>
      <c r="O583">
        <v>923</v>
      </c>
      <c r="P583">
        <v>235</v>
      </c>
      <c r="Q583" t="s">
        <v>39</v>
      </c>
      <c r="R583" t="s">
        <v>40</v>
      </c>
      <c r="S583" t="s">
        <v>41</v>
      </c>
      <c r="T583">
        <v>2021</v>
      </c>
      <c r="U583" t="s">
        <v>91</v>
      </c>
    </row>
    <row r="584" spans="1:21" x14ac:dyDescent="0.35">
      <c r="A584" s="1">
        <v>45174</v>
      </c>
      <c r="B584" t="s">
        <v>80</v>
      </c>
      <c r="C584" t="s">
        <v>81</v>
      </c>
      <c r="D584" t="s">
        <v>82</v>
      </c>
      <c r="E584">
        <v>357</v>
      </c>
      <c r="F584">
        <v>2.5</v>
      </c>
      <c r="G584">
        <f t="shared" si="27"/>
        <v>892.5</v>
      </c>
      <c r="H584">
        <v>1.5</v>
      </c>
      <c r="I584">
        <f t="shared" si="28"/>
        <v>535.5</v>
      </c>
      <c r="J584">
        <f t="shared" si="29"/>
        <v>357</v>
      </c>
      <c r="K584" t="s">
        <v>24</v>
      </c>
      <c r="L584" t="s">
        <v>36</v>
      </c>
      <c r="M584" t="s">
        <v>61</v>
      </c>
      <c r="N584" t="s">
        <v>43</v>
      </c>
      <c r="O584">
        <v>721</v>
      </c>
      <c r="P584">
        <v>357</v>
      </c>
      <c r="Q584" t="s">
        <v>113</v>
      </c>
      <c r="R584" t="s">
        <v>114</v>
      </c>
      <c r="S584" t="s">
        <v>115</v>
      </c>
      <c r="T584">
        <v>2022</v>
      </c>
      <c r="U584" t="s">
        <v>105</v>
      </c>
    </row>
    <row r="585" spans="1:21" x14ac:dyDescent="0.35">
      <c r="A585" s="1">
        <v>45175</v>
      </c>
      <c r="B585" t="s">
        <v>21</v>
      </c>
      <c r="C585" t="s">
        <v>22</v>
      </c>
      <c r="D585" t="s">
        <v>23</v>
      </c>
      <c r="E585">
        <v>484</v>
      </c>
      <c r="F585">
        <v>8</v>
      </c>
      <c r="G585">
        <f t="shared" si="27"/>
        <v>3872</v>
      </c>
      <c r="H585">
        <v>5</v>
      </c>
      <c r="I585">
        <f t="shared" si="28"/>
        <v>2420</v>
      </c>
      <c r="J585">
        <f t="shared" si="29"/>
        <v>1452</v>
      </c>
      <c r="K585" t="s">
        <v>42</v>
      </c>
      <c r="L585" t="s">
        <v>73</v>
      </c>
      <c r="M585" t="s">
        <v>61</v>
      </c>
      <c r="N585" t="s">
        <v>43</v>
      </c>
      <c r="O585">
        <v>742</v>
      </c>
      <c r="P585">
        <v>484</v>
      </c>
      <c r="Q585" t="s">
        <v>77</v>
      </c>
      <c r="R585" t="s">
        <v>78</v>
      </c>
      <c r="S585" t="s">
        <v>79</v>
      </c>
      <c r="T585">
        <v>2020</v>
      </c>
      <c r="U585" t="s">
        <v>86</v>
      </c>
    </row>
    <row r="586" spans="1:21" x14ac:dyDescent="0.35">
      <c r="A586" s="1">
        <v>45176</v>
      </c>
      <c r="B586" t="s">
        <v>48</v>
      </c>
      <c r="C586" t="s">
        <v>49</v>
      </c>
      <c r="D586" t="s">
        <v>50</v>
      </c>
      <c r="E586">
        <v>190</v>
      </c>
      <c r="F586">
        <v>150</v>
      </c>
      <c r="G586">
        <f t="shared" si="27"/>
        <v>28500</v>
      </c>
      <c r="H586">
        <v>100</v>
      </c>
      <c r="I586">
        <f t="shared" si="28"/>
        <v>19000</v>
      </c>
      <c r="J586">
        <f t="shared" si="29"/>
        <v>9500</v>
      </c>
      <c r="K586" t="s">
        <v>35</v>
      </c>
      <c r="L586" t="s">
        <v>25</v>
      </c>
      <c r="M586" t="s">
        <v>26</v>
      </c>
      <c r="N586" t="s">
        <v>43</v>
      </c>
      <c r="O586">
        <v>849</v>
      </c>
      <c r="P586">
        <v>190</v>
      </c>
      <c r="Q586" t="s">
        <v>67</v>
      </c>
      <c r="R586" t="s">
        <v>68</v>
      </c>
      <c r="S586" t="s">
        <v>69</v>
      </c>
      <c r="T586">
        <v>2020</v>
      </c>
      <c r="U586" t="s">
        <v>97</v>
      </c>
    </row>
    <row r="587" spans="1:21" x14ac:dyDescent="0.35">
      <c r="A587" s="1">
        <v>45177</v>
      </c>
      <c r="B587" t="s">
        <v>21</v>
      </c>
      <c r="C587" t="s">
        <v>22</v>
      </c>
      <c r="D587" t="s">
        <v>23</v>
      </c>
      <c r="E587">
        <v>50</v>
      </c>
      <c r="F587">
        <v>8</v>
      </c>
      <c r="G587">
        <f t="shared" si="27"/>
        <v>400</v>
      </c>
      <c r="H587">
        <v>5</v>
      </c>
      <c r="I587">
        <f t="shared" si="28"/>
        <v>250</v>
      </c>
      <c r="J587">
        <f t="shared" si="29"/>
        <v>150</v>
      </c>
      <c r="K587" t="s">
        <v>42</v>
      </c>
      <c r="L587" t="s">
        <v>36</v>
      </c>
      <c r="M587" t="s">
        <v>37</v>
      </c>
      <c r="N587" t="s">
        <v>38</v>
      </c>
      <c r="O587">
        <v>625</v>
      </c>
      <c r="P587">
        <v>50</v>
      </c>
      <c r="Q587" t="s">
        <v>94</v>
      </c>
      <c r="R587" t="s">
        <v>75</v>
      </c>
      <c r="S587" t="s">
        <v>95</v>
      </c>
      <c r="T587">
        <v>2022</v>
      </c>
      <c r="U587" t="s">
        <v>47</v>
      </c>
    </row>
    <row r="588" spans="1:21" x14ac:dyDescent="0.35">
      <c r="A588" s="1">
        <v>45178</v>
      </c>
      <c r="B588" t="s">
        <v>48</v>
      </c>
      <c r="C588" t="s">
        <v>49</v>
      </c>
      <c r="D588" t="s">
        <v>50</v>
      </c>
      <c r="E588">
        <v>317</v>
      </c>
      <c r="F588">
        <v>150</v>
      </c>
      <c r="G588">
        <f t="shared" si="27"/>
        <v>47550</v>
      </c>
      <c r="H588">
        <v>100</v>
      </c>
      <c r="I588">
        <f t="shared" si="28"/>
        <v>31700</v>
      </c>
      <c r="J588">
        <f t="shared" si="29"/>
        <v>15850</v>
      </c>
      <c r="K588" t="s">
        <v>42</v>
      </c>
      <c r="L588" t="s">
        <v>36</v>
      </c>
      <c r="M588" t="s">
        <v>37</v>
      </c>
      <c r="N588" t="s">
        <v>27</v>
      </c>
      <c r="O588">
        <v>546</v>
      </c>
      <c r="P588">
        <v>317</v>
      </c>
      <c r="Q588" t="s">
        <v>51</v>
      </c>
      <c r="R588" t="s">
        <v>45</v>
      </c>
      <c r="S588" t="s">
        <v>52</v>
      </c>
      <c r="T588">
        <v>2020</v>
      </c>
      <c r="U588" t="s">
        <v>53</v>
      </c>
    </row>
    <row r="589" spans="1:21" x14ac:dyDescent="0.35">
      <c r="A589" s="1">
        <v>45179</v>
      </c>
      <c r="B589" t="s">
        <v>32</v>
      </c>
      <c r="C589" t="s">
        <v>33</v>
      </c>
      <c r="D589" t="s">
        <v>34</v>
      </c>
      <c r="E589">
        <v>325</v>
      </c>
      <c r="F589">
        <v>20</v>
      </c>
      <c r="G589">
        <f t="shared" si="27"/>
        <v>6500</v>
      </c>
      <c r="H589">
        <v>12</v>
      </c>
      <c r="I589">
        <f t="shared" si="28"/>
        <v>3900</v>
      </c>
      <c r="J589">
        <f t="shared" si="29"/>
        <v>2600</v>
      </c>
      <c r="K589" t="s">
        <v>42</v>
      </c>
      <c r="L589" t="s">
        <v>25</v>
      </c>
      <c r="M589" t="s">
        <v>37</v>
      </c>
      <c r="N589" t="s">
        <v>43</v>
      </c>
      <c r="O589">
        <v>830</v>
      </c>
      <c r="P589">
        <v>325</v>
      </c>
      <c r="Q589" t="s">
        <v>70</v>
      </c>
      <c r="R589" t="s">
        <v>71</v>
      </c>
      <c r="S589" t="s">
        <v>72</v>
      </c>
      <c r="T589">
        <v>2020</v>
      </c>
      <c r="U589" t="s">
        <v>86</v>
      </c>
    </row>
    <row r="590" spans="1:21" x14ac:dyDescent="0.35">
      <c r="A590" s="1">
        <v>45180</v>
      </c>
      <c r="B590" t="s">
        <v>21</v>
      </c>
      <c r="C590" t="s">
        <v>22</v>
      </c>
      <c r="D590" t="s">
        <v>23</v>
      </c>
      <c r="E590">
        <v>235</v>
      </c>
      <c r="F590">
        <v>8</v>
      </c>
      <c r="G590">
        <f t="shared" si="27"/>
        <v>1880</v>
      </c>
      <c r="H590">
        <v>5</v>
      </c>
      <c r="I590">
        <f t="shared" si="28"/>
        <v>1175</v>
      </c>
      <c r="J590">
        <f t="shared" si="29"/>
        <v>705</v>
      </c>
      <c r="K590" t="s">
        <v>35</v>
      </c>
      <c r="L590" t="s">
        <v>25</v>
      </c>
      <c r="M590" t="s">
        <v>26</v>
      </c>
      <c r="N590" t="s">
        <v>43</v>
      </c>
      <c r="O590">
        <v>712</v>
      </c>
      <c r="P590">
        <v>235</v>
      </c>
      <c r="Q590" t="s">
        <v>101</v>
      </c>
      <c r="R590" t="s">
        <v>101</v>
      </c>
      <c r="S590" t="s">
        <v>102</v>
      </c>
      <c r="T590">
        <v>2020</v>
      </c>
      <c r="U590" t="s">
        <v>96</v>
      </c>
    </row>
    <row r="591" spans="1:21" x14ac:dyDescent="0.35">
      <c r="A591" s="1">
        <v>45181</v>
      </c>
      <c r="B591" t="s">
        <v>48</v>
      </c>
      <c r="C591" t="s">
        <v>49</v>
      </c>
      <c r="D591" t="s">
        <v>50</v>
      </c>
      <c r="E591">
        <v>73</v>
      </c>
      <c r="F591">
        <v>150</v>
      </c>
      <c r="G591">
        <f t="shared" si="27"/>
        <v>10950</v>
      </c>
      <c r="H591">
        <v>100</v>
      </c>
      <c r="I591">
        <f t="shared" si="28"/>
        <v>7300</v>
      </c>
      <c r="J591">
        <f t="shared" si="29"/>
        <v>3650</v>
      </c>
      <c r="K591" t="s">
        <v>24</v>
      </c>
      <c r="L591" t="s">
        <v>73</v>
      </c>
      <c r="M591" t="s">
        <v>61</v>
      </c>
      <c r="N591" t="s">
        <v>27</v>
      </c>
      <c r="O591">
        <v>856</v>
      </c>
      <c r="P591">
        <v>73</v>
      </c>
      <c r="Q591" t="s">
        <v>90</v>
      </c>
      <c r="R591" t="s">
        <v>55</v>
      </c>
      <c r="S591" t="s">
        <v>85</v>
      </c>
      <c r="T591">
        <v>2023</v>
      </c>
      <c r="U591" t="s">
        <v>86</v>
      </c>
    </row>
    <row r="592" spans="1:21" x14ac:dyDescent="0.35">
      <c r="A592" s="1">
        <v>45182</v>
      </c>
      <c r="B592" t="s">
        <v>32</v>
      </c>
      <c r="C592" t="s">
        <v>33</v>
      </c>
      <c r="D592" t="s">
        <v>34</v>
      </c>
      <c r="E592">
        <v>156</v>
      </c>
      <c r="F592">
        <v>20</v>
      </c>
      <c r="G592">
        <f t="shared" si="27"/>
        <v>3120</v>
      </c>
      <c r="H592">
        <v>12</v>
      </c>
      <c r="I592">
        <f t="shared" si="28"/>
        <v>1872</v>
      </c>
      <c r="J592">
        <f t="shared" si="29"/>
        <v>1248</v>
      </c>
      <c r="K592" t="s">
        <v>24</v>
      </c>
      <c r="L592" t="s">
        <v>36</v>
      </c>
      <c r="M592" t="s">
        <v>26</v>
      </c>
      <c r="N592" t="s">
        <v>38</v>
      </c>
      <c r="O592">
        <v>548</v>
      </c>
      <c r="P592">
        <v>156</v>
      </c>
      <c r="Q592" t="s">
        <v>77</v>
      </c>
      <c r="R592" t="s">
        <v>78</v>
      </c>
      <c r="S592" t="s">
        <v>79</v>
      </c>
      <c r="T592">
        <v>2023</v>
      </c>
      <c r="U592" t="s">
        <v>57</v>
      </c>
    </row>
    <row r="593" spans="1:21" x14ac:dyDescent="0.35">
      <c r="A593" s="1">
        <v>45183</v>
      </c>
      <c r="B593" t="s">
        <v>58</v>
      </c>
      <c r="C593" t="s">
        <v>59</v>
      </c>
      <c r="D593" t="s">
        <v>60</v>
      </c>
      <c r="E593">
        <v>28</v>
      </c>
      <c r="F593">
        <v>5</v>
      </c>
      <c r="G593">
        <f t="shared" si="27"/>
        <v>140</v>
      </c>
      <c r="H593">
        <v>3</v>
      </c>
      <c r="I593">
        <f t="shared" si="28"/>
        <v>84</v>
      </c>
      <c r="J593">
        <f t="shared" si="29"/>
        <v>56</v>
      </c>
      <c r="K593" t="s">
        <v>42</v>
      </c>
      <c r="L593" t="s">
        <v>36</v>
      </c>
      <c r="M593" t="s">
        <v>61</v>
      </c>
      <c r="N593" t="s">
        <v>43</v>
      </c>
      <c r="O593">
        <v>526</v>
      </c>
      <c r="P593">
        <v>28</v>
      </c>
      <c r="Q593" t="s">
        <v>106</v>
      </c>
      <c r="R593" t="s">
        <v>107</v>
      </c>
      <c r="S593" t="s">
        <v>108</v>
      </c>
      <c r="T593">
        <v>2024</v>
      </c>
      <c r="U593" t="s">
        <v>47</v>
      </c>
    </row>
    <row r="594" spans="1:21" x14ac:dyDescent="0.35">
      <c r="A594" s="1">
        <v>45184</v>
      </c>
      <c r="B594" t="s">
        <v>48</v>
      </c>
      <c r="C594" t="s">
        <v>49</v>
      </c>
      <c r="D594" t="s">
        <v>50</v>
      </c>
      <c r="E594">
        <v>230</v>
      </c>
      <c r="F594">
        <v>150</v>
      </c>
      <c r="G594">
        <f t="shared" si="27"/>
        <v>34500</v>
      </c>
      <c r="H594">
        <v>100</v>
      </c>
      <c r="I594">
        <f t="shared" si="28"/>
        <v>23000</v>
      </c>
      <c r="J594">
        <f t="shared" si="29"/>
        <v>11500</v>
      </c>
      <c r="K594" t="s">
        <v>24</v>
      </c>
      <c r="L594" t="s">
        <v>36</v>
      </c>
      <c r="M594" t="s">
        <v>37</v>
      </c>
      <c r="N594" t="s">
        <v>27</v>
      </c>
      <c r="O594">
        <v>573</v>
      </c>
      <c r="P594">
        <v>230</v>
      </c>
      <c r="Q594" t="s">
        <v>110</v>
      </c>
      <c r="R594" t="s">
        <v>111</v>
      </c>
      <c r="S594" t="s">
        <v>112</v>
      </c>
      <c r="T594">
        <v>2024</v>
      </c>
      <c r="U594" t="s">
        <v>97</v>
      </c>
    </row>
    <row r="595" spans="1:21" x14ac:dyDescent="0.35">
      <c r="A595" s="1">
        <v>45185</v>
      </c>
      <c r="B595" t="s">
        <v>58</v>
      </c>
      <c r="C595" t="s">
        <v>59</v>
      </c>
      <c r="D595" t="s">
        <v>60</v>
      </c>
      <c r="E595">
        <v>370</v>
      </c>
      <c r="F595">
        <v>5</v>
      </c>
      <c r="G595">
        <f t="shared" si="27"/>
        <v>1850</v>
      </c>
      <c r="H595">
        <v>3</v>
      </c>
      <c r="I595">
        <f t="shared" si="28"/>
        <v>1110</v>
      </c>
      <c r="J595">
        <f t="shared" si="29"/>
        <v>740</v>
      </c>
      <c r="K595" t="s">
        <v>24</v>
      </c>
      <c r="L595" t="s">
        <v>63</v>
      </c>
      <c r="M595" t="s">
        <v>61</v>
      </c>
      <c r="N595" t="s">
        <v>38</v>
      </c>
      <c r="O595">
        <v>945</v>
      </c>
      <c r="P595">
        <v>370</v>
      </c>
      <c r="Q595" t="s">
        <v>94</v>
      </c>
      <c r="R595" t="s">
        <v>75</v>
      </c>
      <c r="S595" t="s">
        <v>95</v>
      </c>
      <c r="T595">
        <v>2024</v>
      </c>
      <c r="U595" t="s">
        <v>96</v>
      </c>
    </row>
    <row r="596" spans="1:21" x14ac:dyDescent="0.35">
      <c r="A596" s="1">
        <v>45186</v>
      </c>
      <c r="B596" t="s">
        <v>98</v>
      </c>
      <c r="C596" t="s">
        <v>99</v>
      </c>
      <c r="D596" t="s">
        <v>100</v>
      </c>
      <c r="E596">
        <v>244</v>
      </c>
      <c r="F596">
        <v>6</v>
      </c>
      <c r="G596">
        <f t="shared" si="27"/>
        <v>1464</v>
      </c>
      <c r="H596">
        <v>4</v>
      </c>
      <c r="I596">
        <f t="shared" si="28"/>
        <v>976</v>
      </c>
      <c r="J596">
        <f t="shared" si="29"/>
        <v>488</v>
      </c>
      <c r="K596" t="s">
        <v>24</v>
      </c>
      <c r="L596" t="s">
        <v>73</v>
      </c>
      <c r="M596" t="s">
        <v>61</v>
      </c>
      <c r="N596" t="s">
        <v>38</v>
      </c>
      <c r="O596">
        <v>945</v>
      </c>
      <c r="P596">
        <v>244</v>
      </c>
      <c r="Q596" t="s">
        <v>87</v>
      </c>
      <c r="R596" t="s">
        <v>88</v>
      </c>
      <c r="S596" t="s">
        <v>89</v>
      </c>
      <c r="T596">
        <v>2022</v>
      </c>
      <c r="U596" t="s">
        <v>97</v>
      </c>
    </row>
    <row r="597" spans="1:21" x14ac:dyDescent="0.35">
      <c r="A597" s="1">
        <v>45187</v>
      </c>
      <c r="B597" t="s">
        <v>48</v>
      </c>
      <c r="C597" t="s">
        <v>49</v>
      </c>
      <c r="D597" t="s">
        <v>50</v>
      </c>
      <c r="E597">
        <v>226</v>
      </c>
      <c r="F597">
        <v>150</v>
      </c>
      <c r="G597">
        <f t="shared" si="27"/>
        <v>33900</v>
      </c>
      <c r="H597">
        <v>100</v>
      </c>
      <c r="I597">
        <f t="shared" si="28"/>
        <v>22600</v>
      </c>
      <c r="J597">
        <f t="shared" si="29"/>
        <v>11300</v>
      </c>
      <c r="K597" t="s">
        <v>24</v>
      </c>
      <c r="L597" t="s">
        <v>63</v>
      </c>
      <c r="M597" t="s">
        <v>26</v>
      </c>
      <c r="N597" t="s">
        <v>43</v>
      </c>
      <c r="O597">
        <v>828</v>
      </c>
      <c r="P597">
        <v>226</v>
      </c>
      <c r="Q597" t="s">
        <v>94</v>
      </c>
      <c r="R597" t="s">
        <v>75</v>
      </c>
      <c r="S597" t="s">
        <v>95</v>
      </c>
      <c r="T597">
        <v>2021</v>
      </c>
      <c r="U597" t="s">
        <v>96</v>
      </c>
    </row>
    <row r="598" spans="1:21" x14ac:dyDescent="0.35">
      <c r="A598" s="1">
        <v>45188</v>
      </c>
      <c r="B598" t="s">
        <v>98</v>
      </c>
      <c r="C598" t="s">
        <v>99</v>
      </c>
      <c r="D598" t="s">
        <v>100</v>
      </c>
      <c r="E598">
        <v>84</v>
      </c>
      <c r="F598">
        <v>6</v>
      </c>
      <c r="G598">
        <f t="shared" si="27"/>
        <v>504</v>
      </c>
      <c r="H598">
        <v>4</v>
      </c>
      <c r="I598">
        <f t="shared" si="28"/>
        <v>336</v>
      </c>
      <c r="J598">
        <f t="shared" si="29"/>
        <v>168</v>
      </c>
      <c r="K598" t="s">
        <v>42</v>
      </c>
      <c r="L598" t="s">
        <v>73</v>
      </c>
      <c r="M598" t="s">
        <v>26</v>
      </c>
      <c r="N598" t="s">
        <v>27</v>
      </c>
      <c r="O598">
        <v>889</v>
      </c>
      <c r="P598">
        <v>84</v>
      </c>
      <c r="Q598" t="s">
        <v>103</v>
      </c>
      <c r="R598" t="s">
        <v>68</v>
      </c>
      <c r="S598" t="s">
        <v>104</v>
      </c>
      <c r="T598">
        <v>2020</v>
      </c>
      <c r="U598" t="s">
        <v>105</v>
      </c>
    </row>
    <row r="599" spans="1:21" x14ac:dyDescent="0.35">
      <c r="A599" s="1">
        <v>45189</v>
      </c>
      <c r="B599" t="s">
        <v>48</v>
      </c>
      <c r="C599" t="s">
        <v>49</v>
      </c>
      <c r="D599" t="s">
        <v>50</v>
      </c>
      <c r="E599">
        <v>126</v>
      </c>
      <c r="F599">
        <v>150</v>
      </c>
      <c r="G599">
        <f t="shared" si="27"/>
        <v>18900</v>
      </c>
      <c r="H599">
        <v>100</v>
      </c>
      <c r="I599">
        <f t="shared" si="28"/>
        <v>12600</v>
      </c>
      <c r="J599">
        <f t="shared" si="29"/>
        <v>6300</v>
      </c>
      <c r="K599" t="s">
        <v>42</v>
      </c>
      <c r="L599" t="s">
        <v>25</v>
      </c>
      <c r="M599" t="s">
        <v>26</v>
      </c>
      <c r="N599" t="s">
        <v>27</v>
      </c>
      <c r="O599">
        <v>839</v>
      </c>
      <c r="P599">
        <v>126</v>
      </c>
      <c r="Q599" t="s">
        <v>64</v>
      </c>
      <c r="R599" t="s">
        <v>29</v>
      </c>
      <c r="S599" t="s">
        <v>65</v>
      </c>
      <c r="T599">
        <v>2022</v>
      </c>
      <c r="U599" t="s">
        <v>96</v>
      </c>
    </row>
    <row r="600" spans="1:21" x14ac:dyDescent="0.35">
      <c r="A600" s="1">
        <v>45190</v>
      </c>
      <c r="B600" t="s">
        <v>98</v>
      </c>
      <c r="C600" t="s">
        <v>99</v>
      </c>
      <c r="D600" t="s">
        <v>100</v>
      </c>
      <c r="E600">
        <v>66</v>
      </c>
      <c r="F600">
        <v>6</v>
      </c>
      <c r="G600">
        <f t="shared" si="27"/>
        <v>396</v>
      </c>
      <c r="H600">
        <v>4</v>
      </c>
      <c r="I600">
        <f t="shared" si="28"/>
        <v>264</v>
      </c>
      <c r="J600">
        <f t="shared" si="29"/>
        <v>132</v>
      </c>
      <c r="K600" t="s">
        <v>35</v>
      </c>
      <c r="L600" t="s">
        <v>25</v>
      </c>
      <c r="M600" t="s">
        <v>61</v>
      </c>
      <c r="N600" t="s">
        <v>38</v>
      </c>
      <c r="O600">
        <v>815</v>
      </c>
      <c r="P600">
        <v>66</v>
      </c>
      <c r="Q600" t="s">
        <v>74</v>
      </c>
      <c r="R600" t="s">
        <v>75</v>
      </c>
      <c r="S600" t="s">
        <v>76</v>
      </c>
      <c r="T600">
        <v>2020</v>
      </c>
      <c r="U600" t="s">
        <v>86</v>
      </c>
    </row>
    <row r="601" spans="1:21" x14ac:dyDescent="0.35">
      <c r="A601" s="1">
        <v>45191</v>
      </c>
      <c r="B601" t="s">
        <v>48</v>
      </c>
      <c r="C601" t="s">
        <v>49</v>
      </c>
      <c r="D601" t="s">
        <v>50</v>
      </c>
      <c r="E601">
        <v>403</v>
      </c>
      <c r="F601">
        <v>150</v>
      </c>
      <c r="G601">
        <f t="shared" si="27"/>
        <v>60450</v>
      </c>
      <c r="H601">
        <v>100</v>
      </c>
      <c r="I601">
        <f t="shared" si="28"/>
        <v>40300</v>
      </c>
      <c r="J601">
        <f t="shared" si="29"/>
        <v>20150</v>
      </c>
      <c r="K601" t="s">
        <v>24</v>
      </c>
      <c r="L601" t="s">
        <v>25</v>
      </c>
      <c r="M601" t="s">
        <v>26</v>
      </c>
      <c r="N601" t="s">
        <v>38</v>
      </c>
      <c r="O601">
        <v>860</v>
      </c>
      <c r="P601">
        <v>403</v>
      </c>
      <c r="Q601" t="s">
        <v>87</v>
      </c>
      <c r="R601" t="s">
        <v>88</v>
      </c>
      <c r="S601" t="s">
        <v>89</v>
      </c>
      <c r="T601">
        <v>2021</v>
      </c>
      <c r="U601" t="s">
        <v>53</v>
      </c>
    </row>
    <row r="602" spans="1:21" x14ac:dyDescent="0.35">
      <c r="A602" s="1">
        <v>45192</v>
      </c>
      <c r="B602" t="s">
        <v>32</v>
      </c>
      <c r="C602" t="s">
        <v>33</v>
      </c>
      <c r="D602" t="s">
        <v>34</v>
      </c>
      <c r="E602">
        <v>323</v>
      </c>
      <c r="F602">
        <v>20</v>
      </c>
      <c r="G602">
        <f t="shared" si="27"/>
        <v>6460</v>
      </c>
      <c r="H602">
        <v>12</v>
      </c>
      <c r="I602">
        <f t="shared" si="28"/>
        <v>3876</v>
      </c>
      <c r="J602">
        <f t="shared" si="29"/>
        <v>2584</v>
      </c>
      <c r="K602" t="s">
        <v>42</v>
      </c>
      <c r="L602" t="s">
        <v>63</v>
      </c>
      <c r="M602" t="s">
        <v>26</v>
      </c>
      <c r="N602" t="s">
        <v>27</v>
      </c>
      <c r="O602">
        <v>615</v>
      </c>
      <c r="P602">
        <v>323</v>
      </c>
      <c r="Q602" t="s">
        <v>110</v>
      </c>
      <c r="R602" t="s">
        <v>111</v>
      </c>
      <c r="S602" t="s">
        <v>112</v>
      </c>
      <c r="T602">
        <v>2020</v>
      </c>
      <c r="U602" t="s">
        <v>105</v>
      </c>
    </row>
    <row r="603" spans="1:21" x14ac:dyDescent="0.35">
      <c r="A603" s="1">
        <v>45193</v>
      </c>
      <c r="B603" t="s">
        <v>48</v>
      </c>
      <c r="C603" t="s">
        <v>49</v>
      </c>
      <c r="D603" t="s">
        <v>50</v>
      </c>
      <c r="E603">
        <v>498</v>
      </c>
      <c r="F603">
        <v>150</v>
      </c>
      <c r="G603">
        <f t="shared" si="27"/>
        <v>74700</v>
      </c>
      <c r="H603">
        <v>100</v>
      </c>
      <c r="I603">
        <f t="shared" si="28"/>
        <v>49800</v>
      </c>
      <c r="J603">
        <f t="shared" si="29"/>
        <v>24900</v>
      </c>
      <c r="K603" t="s">
        <v>24</v>
      </c>
      <c r="L603" t="s">
        <v>25</v>
      </c>
      <c r="M603" t="s">
        <v>37</v>
      </c>
      <c r="N603" t="s">
        <v>38</v>
      </c>
      <c r="O603">
        <v>826</v>
      </c>
      <c r="P603">
        <v>498</v>
      </c>
      <c r="Q603" t="s">
        <v>64</v>
      </c>
      <c r="R603" t="s">
        <v>29</v>
      </c>
      <c r="S603" t="s">
        <v>65</v>
      </c>
      <c r="T603">
        <v>2020</v>
      </c>
      <c r="U603" t="s">
        <v>109</v>
      </c>
    </row>
    <row r="604" spans="1:21" x14ac:dyDescent="0.35">
      <c r="A604" s="1">
        <v>45194</v>
      </c>
      <c r="B604" t="s">
        <v>48</v>
      </c>
      <c r="C604" t="s">
        <v>49</v>
      </c>
      <c r="D604" t="s">
        <v>50</v>
      </c>
      <c r="E604">
        <v>477</v>
      </c>
      <c r="F604">
        <v>150</v>
      </c>
      <c r="G604">
        <f t="shared" si="27"/>
        <v>71550</v>
      </c>
      <c r="H604">
        <v>100</v>
      </c>
      <c r="I604">
        <f t="shared" si="28"/>
        <v>47700</v>
      </c>
      <c r="J604">
        <f t="shared" si="29"/>
        <v>23850</v>
      </c>
      <c r="K604" t="s">
        <v>24</v>
      </c>
      <c r="L604" t="s">
        <v>36</v>
      </c>
      <c r="M604" t="s">
        <v>37</v>
      </c>
      <c r="N604" t="s">
        <v>38</v>
      </c>
      <c r="O604">
        <v>869</v>
      </c>
      <c r="P604">
        <v>477</v>
      </c>
      <c r="Q604" t="s">
        <v>54</v>
      </c>
      <c r="R604" t="s">
        <v>55</v>
      </c>
      <c r="S604" t="s">
        <v>56</v>
      </c>
      <c r="T604">
        <v>2024</v>
      </c>
      <c r="U604" t="s">
        <v>97</v>
      </c>
    </row>
    <row r="605" spans="1:21" x14ac:dyDescent="0.35">
      <c r="A605" s="1">
        <v>45195</v>
      </c>
      <c r="B605" t="s">
        <v>32</v>
      </c>
      <c r="C605" t="s">
        <v>33</v>
      </c>
      <c r="D605" t="s">
        <v>34</v>
      </c>
      <c r="E605">
        <v>467</v>
      </c>
      <c r="F605">
        <v>20</v>
      </c>
      <c r="G605">
        <f t="shared" si="27"/>
        <v>9340</v>
      </c>
      <c r="H605">
        <v>12</v>
      </c>
      <c r="I605">
        <f t="shared" si="28"/>
        <v>5604</v>
      </c>
      <c r="J605">
        <f t="shared" si="29"/>
        <v>3736</v>
      </c>
      <c r="K605" t="s">
        <v>35</v>
      </c>
      <c r="L605" t="s">
        <v>73</v>
      </c>
      <c r="M605" t="s">
        <v>37</v>
      </c>
      <c r="N605" t="s">
        <v>27</v>
      </c>
      <c r="O605">
        <v>720</v>
      </c>
      <c r="P605">
        <v>467</v>
      </c>
      <c r="Q605" t="s">
        <v>74</v>
      </c>
      <c r="R605" t="s">
        <v>75</v>
      </c>
      <c r="S605" t="s">
        <v>76</v>
      </c>
      <c r="T605">
        <v>2020</v>
      </c>
      <c r="U605" t="s">
        <v>91</v>
      </c>
    </row>
    <row r="606" spans="1:21" x14ac:dyDescent="0.35">
      <c r="A606" s="1">
        <v>45196</v>
      </c>
      <c r="B606" t="s">
        <v>80</v>
      </c>
      <c r="C606" t="s">
        <v>81</v>
      </c>
      <c r="D606" t="s">
        <v>82</v>
      </c>
      <c r="E606">
        <v>459</v>
      </c>
      <c r="F606">
        <v>2.5</v>
      </c>
      <c r="G606">
        <f t="shared" si="27"/>
        <v>1147.5</v>
      </c>
      <c r="H606">
        <v>1.5</v>
      </c>
      <c r="I606">
        <f t="shared" si="28"/>
        <v>688.5</v>
      </c>
      <c r="J606">
        <f t="shared" si="29"/>
        <v>459</v>
      </c>
      <c r="K606" t="s">
        <v>24</v>
      </c>
      <c r="L606" t="s">
        <v>73</v>
      </c>
      <c r="M606" t="s">
        <v>37</v>
      </c>
      <c r="N606" t="s">
        <v>27</v>
      </c>
      <c r="O606">
        <v>548</v>
      </c>
      <c r="P606">
        <v>459</v>
      </c>
      <c r="Q606" t="s">
        <v>70</v>
      </c>
      <c r="R606" t="s">
        <v>71</v>
      </c>
      <c r="S606" t="s">
        <v>72</v>
      </c>
      <c r="T606">
        <v>2021</v>
      </c>
      <c r="U606" t="s">
        <v>66</v>
      </c>
    </row>
    <row r="607" spans="1:21" x14ac:dyDescent="0.35">
      <c r="A607" s="1">
        <v>45197</v>
      </c>
      <c r="B607" t="s">
        <v>21</v>
      </c>
      <c r="C607" t="s">
        <v>22</v>
      </c>
      <c r="D607" t="s">
        <v>23</v>
      </c>
      <c r="E607">
        <v>372</v>
      </c>
      <c r="F607">
        <v>8</v>
      </c>
      <c r="G607">
        <f t="shared" si="27"/>
        <v>2976</v>
      </c>
      <c r="H607">
        <v>5</v>
      </c>
      <c r="I607">
        <f t="shared" si="28"/>
        <v>1860</v>
      </c>
      <c r="J607">
        <f t="shared" si="29"/>
        <v>1116</v>
      </c>
      <c r="K607" t="s">
        <v>35</v>
      </c>
      <c r="L607" t="s">
        <v>63</v>
      </c>
      <c r="M607" t="s">
        <v>37</v>
      </c>
      <c r="N607" t="s">
        <v>43</v>
      </c>
      <c r="O607">
        <v>817</v>
      </c>
      <c r="P607">
        <v>372</v>
      </c>
      <c r="Q607" t="s">
        <v>64</v>
      </c>
      <c r="R607" t="s">
        <v>29</v>
      </c>
      <c r="S607" t="s">
        <v>65</v>
      </c>
      <c r="T607">
        <v>2022</v>
      </c>
      <c r="U607" t="s">
        <v>86</v>
      </c>
    </row>
    <row r="608" spans="1:21" x14ac:dyDescent="0.35">
      <c r="A608" s="1">
        <v>45198</v>
      </c>
      <c r="B608" t="s">
        <v>80</v>
      </c>
      <c r="C608" t="s">
        <v>81</v>
      </c>
      <c r="D608" t="s">
        <v>82</v>
      </c>
      <c r="E608">
        <v>339</v>
      </c>
      <c r="F608">
        <v>2.5</v>
      </c>
      <c r="G608">
        <f t="shared" si="27"/>
        <v>847.5</v>
      </c>
      <c r="H608">
        <v>1.5</v>
      </c>
      <c r="I608">
        <f t="shared" si="28"/>
        <v>508.5</v>
      </c>
      <c r="J608">
        <f t="shared" si="29"/>
        <v>339</v>
      </c>
      <c r="K608" t="s">
        <v>42</v>
      </c>
      <c r="L608" t="s">
        <v>63</v>
      </c>
      <c r="M608" t="s">
        <v>37</v>
      </c>
      <c r="N608" t="s">
        <v>43</v>
      </c>
      <c r="O608">
        <v>847</v>
      </c>
      <c r="P608">
        <v>339</v>
      </c>
      <c r="Q608" t="s">
        <v>67</v>
      </c>
      <c r="R608" t="s">
        <v>68</v>
      </c>
      <c r="S608" t="s">
        <v>69</v>
      </c>
      <c r="T608">
        <v>2021</v>
      </c>
      <c r="U608" t="s">
        <v>57</v>
      </c>
    </row>
    <row r="609" spans="1:21" x14ac:dyDescent="0.35">
      <c r="A609" s="1">
        <v>45199</v>
      </c>
      <c r="B609" t="s">
        <v>48</v>
      </c>
      <c r="C609" t="s">
        <v>49</v>
      </c>
      <c r="D609" t="s">
        <v>50</v>
      </c>
      <c r="E609">
        <v>69</v>
      </c>
      <c r="F609">
        <v>150</v>
      </c>
      <c r="G609">
        <f t="shared" si="27"/>
        <v>10350</v>
      </c>
      <c r="H609">
        <v>100</v>
      </c>
      <c r="I609">
        <f t="shared" si="28"/>
        <v>6900</v>
      </c>
      <c r="J609">
        <f t="shared" si="29"/>
        <v>3450</v>
      </c>
      <c r="K609" t="s">
        <v>42</v>
      </c>
      <c r="L609" t="s">
        <v>73</v>
      </c>
      <c r="M609" t="s">
        <v>37</v>
      </c>
      <c r="N609" t="s">
        <v>43</v>
      </c>
      <c r="O609">
        <v>624</v>
      </c>
      <c r="P609">
        <v>69</v>
      </c>
      <c r="Q609" t="s">
        <v>87</v>
      </c>
      <c r="R609" t="s">
        <v>88</v>
      </c>
      <c r="S609" t="s">
        <v>89</v>
      </c>
      <c r="T609">
        <v>2022</v>
      </c>
      <c r="U609" t="s">
        <v>91</v>
      </c>
    </row>
    <row r="610" spans="1:21" x14ac:dyDescent="0.35">
      <c r="A610" s="1">
        <v>45200</v>
      </c>
      <c r="B610" t="s">
        <v>32</v>
      </c>
      <c r="C610" t="s">
        <v>33</v>
      </c>
      <c r="D610" t="s">
        <v>34</v>
      </c>
      <c r="E610">
        <v>68</v>
      </c>
      <c r="F610">
        <v>20</v>
      </c>
      <c r="G610">
        <f t="shared" si="27"/>
        <v>1360</v>
      </c>
      <c r="H610">
        <v>12</v>
      </c>
      <c r="I610">
        <f t="shared" si="28"/>
        <v>816</v>
      </c>
      <c r="J610">
        <f t="shared" si="29"/>
        <v>544</v>
      </c>
      <c r="K610" t="s">
        <v>35</v>
      </c>
      <c r="L610" t="s">
        <v>36</v>
      </c>
      <c r="M610" t="s">
        <v>61</v>
      </c>
      <c r="N610" t="s">
        <v>27</v>
      </c>
      <c r="O610">
        <v>597</v>
      </c>
      <c r="P610">
        <v>68</v>
      </c>
      <c r="Q610" t="s">
        <v>44</v>
      </c>
      <c r="R610" t="s">
        <v>45</v>
      </c>
      <c r="S610" t="s">
        <v>46</v>
      </c>
      <c r="T610">
        <v>2021</v>
      </c>
      <c r="U610" t="s">
        <v>53</v>
      </c>
    </row>
    <row r="611" spans="1:21" x14ac:dyDescent="0.35">
      <c r="A611" s="1">
        <v>45201</v>
      </c>
      <c r="B611" t="s">
        <v>58</v>
      </c>
      <c r="C611" t="s">
        <v>59</v>
      </c>
      <c r="D611" t="s">
        <v>60</v>
      </c>
      <c r="E611">
        <v>31</v>
      </c>
      <c r="F611">
        <v>5</v>
      </c>
      <c r="G611">
        <f t="shared" si="27"/>
        <v>155</v>
      </c>
      <c r="H611">
        <v>3</v>
      </c>
      <c r="I611">
        <f t="shared" si="28"/>
        <v>93</v>
      </c>
      <c r="J611">
        <f t="shared" si="29"/>
        <v>62</v>
      </c>
      <c r="K611" t="s">
        <v>35</v>
      </c>
      <c r="L611" t="s">
        <v>25</v>
      </c>
      <c r="M611" t="s">
        <v>61</v>
      </c>
      <c r="N611" t="s">
        <v>43</v>
      </c>
      <c r="O611">
        <v>744</v>
      </c>
      <c r="P611">
        <v>31</v>
      </c>
      <c r="Q611" t="s">
        <v>83</v>
      </c>
      <c r="R611" t="s">
        <v>84</v>
      </c>
      <c r="S611" t="s">
        <v>85</v>
      </c>
      <c r="T611">
        <v>2020</v>
      </c>
      <c r="U611" t="s">
        <v>31</v>
      </c>
    </row>
    <row r="612" spans="1:21" x14ac:dyDescent="0.35">
      <c r="A612" s="1">
        <v>45202</v>
      </c>
      <c r="B612" t="s">
        <v>48</v>
      </c>
      <c r="C612" t="s">
        <v>49</v>
      </c>
      <c r="D612" t="s">
        <v>50</v>
      </c>
      <c r="E612">
        <v>82</v>
      </c>
      <c r="F612">
        <v>150</v>
      </c>
      <c r="G612">
        <f t="shared" si="27"/>
        <v>12300</v>
      </c>
      <c r="H612">
        <v>100</v>
      </c>
      <c r="I612">
        <f t="shared" si="28"/>
        <v>8200</v>
      </c>
      <c r="J612">
        <f t="shared" si="29"/>
        <v>4100</v>
      </c>
      <c r="K612" t="s">
        <v>42</v>
      </c>
      <c r="L612" t="s">
        <v>36</v>
      </c>
      <c r="M612" t="s">
        <v>61</v>
      </c>
      <c r="N612" t="s">
        <v>38</v>
      </c>
      <c r="O612">
        <v>825</v>
      </c>
      <c r="P612">
        <v>82</v>
      </c>
      <c r="Q612" t="s">
        <v>54</v>
      </c>
      <c r="R612" t="s">
        <v>55</v>
      </c>
      <c r="S612" t="s">
        <v>56</v>
      </c>
      <c r="T612">
        <v>2020</v>
      </c>
      <c r="U612" t="s">
        <v>62</v>
      </c>
    </row>
    <row r="613" spans="1:21" x14ac:dyDescent="0.35">
      <c r="A613" s="1">
        <v>45203</v>
      </c>
      <c r="B613" t="s">
        <v>48</v>
      </c>
      <c r="C613" t="s">
        <v>49</v>
      </c>
      <c r="D613" t="s">
        <v>50</v>
      </c>
      <c r="E613">
        <v>397</v>
      </c>
      <c r="F613">
        <v>150</v>
      </c>
      <c r="G613">
        <f t="shared" si="27"/>
        <v>59550</v>
      </c>
      <c r="H613">
        <v>100</v>
      </c>
      <c r="I613">
        <f t="shared" si="28"/>
        <v>39700</v>
      </c>
      <c r="J613">
        <f t="shared" si="29"/>
        <v>19850</v>
      </c>
      <c r="K613" t="s">
        <v>24</v>
      </c>
      <c r="L613" t="s">
        <v>73</v>
      </c>
      <c r="M613" t="s">
        <v>37</v>
      </c>
      <c r="N613" t="s">
        <v>27</v>
      </c>
      <c r="O613">
        <v>783</v>
      </c>
      <c r="P613">
        <v>397</v>
      </c>
      <c r="Q613" t="s">
        <v>87</v>
      </c>
      <c r="R613" t="s">
        <v>88</v>
      </c>
      <c r="S613" t="s">
        <v>89</v>
      </c>
      <c r="T613">
        <v>2024</v>
      </c>
      <c r="U613" t="s">
        <v>47</v>
      </c>
    </row>
    <row r="614" spans="1:21" x14ac:dyDescent="0.35">
      <c r="A614" s="1">
        <v>45204</v>
      </c>
      <c r="B614" t="s">
        <v>32</v>
      </c>
      <c r="C614" t="s">
        <v>33</v>
      </c>
      <c r="D614" t="s">
        <v>34</v>
      </c>
      <c r="E614">
        <v>61</v>
      </c>
      <c r="F614">
        <v>20</v>
      </c>
      <c r="G614">
        <f t="shared" si="27"/>
        <v>1220</v>
      </c>
      <c r="H614">
        <v>12</v>
      </c>
      <c r="I614">
        <f t="shared" si="28"/>
        <v>732</v>
      </c>
      <c r="J614">
        <f t="shared" si="29"/>
        <v>488</v>
      </c>
      <c r="K614" t="s">
        <v>24</v>
      </c>
      <c r="L614" t="s">
        <v>25</v>
      </c>
      <c r="M614" t="s">
        <v>37</v>
      </c>
      <c r="N614" t="s">
        <v>27</v>
      </c>
      <c r="O614">
        <v>973</v>
      </c>
      <c r="P614">
        <v>61</v>
      </c>
      <c r="Q614" t="s">
        <v>83</v>
      </c>
      <c r="R614" t="s">
        <v>84</v>
      </c>
      <c r="S614" t="s">
        <v>85</v>
      </c>
      <c r="T614">
        <v>2022</v>
      </c>
      <c r="U614" t="s">
        <v>31</v>
      </c>
    </row>
    <row r="615" spans="1:21" x14ac:dyDescent="0.35">
      <c r="A615" s="1">
        <v>45205</v>
      </c>
      <c r="B615" t="s">
        <v>80</v>
      </c>
      <c r="C615" t="s">
        <v>81</v>
      </c>
      <c r="D615" t="s">
        <v>82</v>
      </c>
      <c r="E615">
        <v>496</v>
      </c>
      <c r="F615">
        <v>2.5</v>
      </c>
      <c r="G615">
        <f t="shared" si="27"/>
        <v>1240</v>
      </c>
      <c r="H615">
        <v>1.5</v>
      </c>
      <c r="I615">
        <f t="shared" si="28"/>
        <v>744</v>
      </c>
      <c r="J615">
        <f t="shared" si="29"/>
        <v>496</v>
      </c>
      <c r="K615" t="s">
        <v>24</v>
      </c>
      <c r="L615" t="s">
        <v>25</v>
      </c>
      <c r="M615" t="s">
        <v>37</v>
      </c>
      <c r="N615" t="s">
        <v>43</v>
      </c>
      <c r="O615">
        <v>639</v>
      </c>
      <c r="P615">
        <v>496</v>
      </c>
      <c r="Q615" t="s">
        <v>94</v>
      </c>
      <c r="R615" t="s">
        <v>75</v>
      </c>
      <c r="S615" t="s">
        <v>95</v>
      </c>
      <c r="T615">
        <v>2021</v>
      </c>
      <c r="U615" t="s">
        <v>105</v>
      </c>
    </row>
    <row r="616" spans="1:21" x14ac:dyDescent="0.35">
      <c r="A616" s="1">
        <v>45206</v>
      </c>
      <c r="B616" t="s">
        <v>48</v>
      </c>
      <c r="C616" t="s">
        <v>49</v>
      </c>
      <c r="D616" t="s">
        <v>50</v>
      </c>
      <c r="E616">
        <v>142</v>
      </c>
      <c r="F616">
        <v>150</v>
      </c>
      <c r="G616">
        <f t="shared" si="27"/>
        <v>21300</v>
      </c>
      <c r="H616">
        <v>100</v>
      </c>
      <c r="I616">
        <f t="shared" si="28"/>
        <v>14200</v>
      </c>
      <c r="J616">
        <f t="shared" si="29"/>
        <v>7100</v>
      </c>
      <c r="K616" t="s">
        <v>35</v>
      </c>
      <c r="L616" t="s">
        <v>25</v>
      </c>
      <c r="M616" t="s">
        <v>26</v>
      </c>
      <c r="N616" t="s">
        <v>38</v>
      </c>
      <c r="O616">
        <v>603</v>
      </c>
      <c r="P616">
        <v>142</v>
      </c>
      <c r="Q616" t="s">
        <v>110</v>
      </c>
      <c r="R616" t="s">
        <v>111</v>
      </c>
      <c r="S616" t="s">
        <v>112</v>
      </c>
      <c r="T616">
        <v>2021</v>
      </c>
      <c r="U616" t="s">
        <v>53</v>
      </c>
    </row>
    <row r="617" spans="1:21" x14ac:dyDescent="0.35">
      <c r="A617" s="1">
        <v>45207</v>
      </c>
      <c r="B617" t="s">
        <v>21</v>
      </c>
      <c r="C617" t="s">
        <v>22</v>
      </c>
      <c r="D617" t="s">
        <v>23</v>
      </c>
      <c r="E617">
        <v>319</v>
      </c>
      <c r="F617">
        <v>8</v>
      </c>
      <c r="G617">
        <f t="shared" si="27"/>
        <v>2552</v>
      </c>
      <c r="H617">
        <v>5</v>
      </c>
      <c r="I617">
        <f t="shared" si="28"/>
        <v>1595</v>
      </c>
      <c r="J617">
        <f t="shared" si="29"/>
        <v>957</v>
      </c>
      <c r="K617" t="s">
        <v>24</v>
      </c>
      <c r="L617" t="s">
        <v>73</v>
      </c>
      <c r="M617" t="s">
        <v>61</v>
      </c>
      <c r="N617" t="s">
        <v>38</v>
      </c>
      <c r="O617">
        <v>972</v>
      </c>
      <c r="P617">
        <v>319</v>
      </c>
      <c r="Q617" t="s">
        <v>87</v>
      </c>
      <c r="R617" t="s">
        <v>88</v>
      </c>
      <c r="S617" t="s">
        <v>89</v>
      </c>
      <c r="T617">
        <v>2020</v>
      </c>
      <c r="U617" t="s">
        <v>31</v>
      </c>
    </row>
    <row r="618" spans="1:21" x14ac:dyDescent="0.35">
      <c r="A618" s="1">
        <v>45208</v>
      </c>
      <c r="B618" t="s">
        <v>80</v>
      </c>
      <c r="C618" t="s">
        <v>81</v>
      </c>
      <c r="D618" t="s">
        <v>82</v>
      </c>
      <c r="E618">
        <v>259</v>
      </c>
      <c r="F618">
        <v>2.5</v>
      </c>
      <c r="G618">
        <f t="shared" si="27"/>
        <v>647.5</v>
      </c>
      <c r="H618">
        <v>1.5</v>
      </c>
      <c r="I618">
        <f t="shared" si="28"/>
        <v>388.5</v>
      </c>
      <c r="J618">
        <f t="shared" si="29"/>
        <v>259</v>
      </c>
      <c r="K618" t="s">
        <v>42</v>
      </c>
      <c r="L618" t="s">
        <v>36</v>
      </c>
      <c r="M618" t="s">
        <v>37</v>
      </c>
      <c r="N618" t="s">
        <v>27</v>
      </c>
      <c r="O618">
        <v>638</v>
      </c>
      <c r="P618">
        <v>259</v>
      </c>
      <c r="Q618" t="s">
        <v>87</v>
      </c>
      <c r="R618" t="s">
        <v>88</v>
      </c>
      <c r="S618" t="s">
        <v>89</v>
      </c>
      <c r="T618">
        <v>2022</v>
      </c>
      <c r="U618" t="s">
        <v>57</v>
      </c>
    </row>
    <row r="619" spans="1:21" x14ac:dyDescent="0.35">
      <c r="A619" s="1">
        <v>45209</v>
      </c>
      <c r="B619" t="s">
        <v>32</v>
      </c>
      <c r="C619" t="s">
        <v>33</v>
      </c>
      <c r="D619" t="s">
        <v>34</v>
      </c>
      <c r="E619">
        <v>216</v>
      </c>
      <c r="F619">
        <v>20</v>
      </c>
      <c r="G619">
        <f t="shared" si="27"/>
        <v>4320</v>
      </c>
      <c r="H619">
        <v>12</v>
      </c>
      <c r="I619">
        <f t="shared" si="28"/>
        <v>2592</v>
      </c>
      <c r="J619">
        <f t="shared" si="29"/>
        <v>1728</v>
      </c>
      <c r="K619" t="s">
        <v>24</v>
      </c>
      <c r="L619" t="s">
        <v>36</v>
      </c>
      <c r="M619" t="s">
        <v>37</v>
      </c>
      <c r="N619" t="s">
        <v>38</v>
      </c>
      <c r="O619">
        <v>725</v>
      </c>
      <c r="P619">
        <v>216</v>
      </c>
      <c r="Q619" t="s">
        <v>113</v>
      </c>
      <c r="R619" t="s">
        <v>114</v>
      </c>
      <c r="S619" t="s">
        <v>115</v>
      </c>
      <c r="T619">
        <v>2022</v>
      </c>
      <c r="U619" t="s">
        <v>62</v>
      </c>
    </row>
    <row r="620" spans="1:21" x14ac:dyDescent="0.35">
      <c r="A620" s="1">
        <v>45210</v>
      </c>
      <c r="B620" t="s">
        <v>21</v>
      </c>
      <c r="C620" t="s">
        <v>22</v>
      </c>
      <c r="D620" t="s">
        <v>23</v>
      </c>
      <c r="E620">
        <v>115</v>
      </c>
      <c r="F620">
        <v>8</v>
      </c>
      <c r="G620">
        <f t="shared" si="27"/>
        <v>920</v>
      </c>
      <c r="H620">
        <v>5</v>
      </c>
      <c r="I620">
        <f t="shared" si="28"/>
        <v>575</v>
      </c>
      <c r="J620">
        <f t="shared" si="29"/>
        <v>345</v>
      </c>
      <c r="K620" t="s">
        <v>24</v>
      </c>
      <c r="L620" t="s">
        <v>63</v>
      </c>
      <c r="M620" t="s">
        <v>37</v>
      </c>
      <c r="N620" t="s">
        <v>27</v>
      </c>
      <c r="O620">
        <v>768</v>
      </c>
      <c r="P620">
        <v>115</v>
      </c>
      <c r="Q620" t="s">
        <v>51</v>
      </c>
      <c r="R620" t="s">
        <v>45</v>
      </c>
      <c r="S620" t="s">
        <v>52</v>
      </c>
      <c r="T620">
        <v>2020</v>
      </c>
      <c r="U620" t="s">
        <v>31</v>
      </c>
    </row>
    <row r="621" spans="1:21" x14ac:dyDescent="0.35">
      <c r="A621" s="1">
        <v>45211</v>
      </c>
      <c r="B621" t="s">
        <v>32</v>
      </c>
      <c r="C621" t="s">
        <v>33</v>
      </c>
      <c r="D621" t="s">
        <v>34</v>
      </c>
      <c r="E621">
        <v>80</v>
      </c>
      <c r="F621">
        <v>20</v>
      </c>
      <c r="G621">
        <f t="shared" si="27"/>
        <v>1600</v>
      </c>
      <c r="H621">
        <v>12</v>
      </c>
      <c r="I621">
        <f t="shared" si="28"/>
        <v>960</v>
      </c>
      <c r="J621">
        <f t="shared" si="29"/>
        <v>640</v>
      </c>
      <c r="K621" t="s">
        <v>42</v>
      </c>
      <c r="L621" t="s">
        <v>63</v>
      </c>
      <c r="M621" t="s">
        <v>37</v>
      </c>
      <c r="N621" t="s">
        <v>27</v>
      </c>
      <c r="O621">
        <v>560</v>
      </c>
      <c r="P621">
        <v>80</v>
      </c>
      <c r="Q621" t="s">
        <v>44</v>
      </c>
      <c r="R621" t="s">
        <v>45</v>
      </c>
      <c r="S621" t="s">
        <v>46</v>
      </c>
      <c r="T621">
        <v>2021</v>
      </c>
      <c r="U621" t="s">
        <v>96</v>
      </c>
    </row>
    <row r="622" spans="1:21" x14ac:dyDescent="0.35">
      <c r="A622" s="1">
        <v>45212</v>
      </c>
      <c r="B622" t="s">
        <v>48</v>
      </c>
      <c r="C622" t="s">
        <v>49</v>
      </c>
      <c r="D622" t="s">
        <v>50</v>
      </c>
      <c r="E622">
        <v>464</v>
      </c>
      <c r="F622">
        <v>150</v>
      </c>
      <c r="G622">
        <f t="shared" si="27"/>
        <v>69600</v>
      </c>
      <c r="H622">
        <v>100</v>
      </c>
      <c r="I622">
        <f t="shared" si="28"/>
        <v>46400</v>
      </c>
      <c r="J622">
        <f t="shared" si="29"/>
        <v>23200</v>
      </c>
      <c r="K622" t="s">
        <v>35</v>
      </c>
      <c r="L622" t="s">
        <v>36</v>
      </c>
      <c r="M622" t="s">
        <v>26</v>
      </c>
      <c r="N622" t="s">
        <v>38</v>
      </c>
      <c r="O622">
        <v>941</v>
      </c>
      <c r="P622">
        <v>464</v>
      </c>
      <c r="Q622" t="s">
        <v>90</v>
      </c>
      <c r="R622" t="s">
        <v>55</v>
      </c>
      <c r="S622" t="s">
        <v>85</v>
      </c>
      <c r="T622">
        <v>2020</v>
      </c>
      <c r="U622" t="s">
        <v>97</v>
      </c>
    </row>
    <row r="623" spans="1:21" x14ac:dyDescent="0.35">
      <c r="A623" s="1">
        <v>45213</v>
      </c>
      <c r="B623" t="s">
        <v>80</v>
      </c>
      <c r="C623" t="s">
        <v>81</v>
      </c>
      <c r="D623" t="s">
        <v>82</v>
      </c>
      <c r="E623">
        <v>94</v>
      </c>
      <c r="F623">
        <v>2.5</v>
      </c>
      <c r="G623">
        <f t="shared" si="27"/>
        <v>235</v>
      </c>
      <c r="H623">
        <v>1.5</v>
      </c>
      <c r="I623">
        <f t="shared" si="28"/>
        <v>141</v>
      </c>
      <c r="J623">
        <f t="shared" si="29"/>
        <v>94</v>
      </c>
      <c r="K623" t="s">
        <v>24</v>
      </c>
      <c r="L623" t="s">
        <v>63</v>
      </c>
      <c r="M623" t="s">
        <v>37</v>
      </c>
      <c r="N623" t="s">
        <v>43</v>
      </c>
      <c r="O623">
        <v>571</v>
      </c>
      <c r="P623">
        <v>94</v>
      </c>
      <c r="Q623" t="s">
        <v>70</v>
      </c>
      <c r="R623" t="s">
        <v>71</v>
      </c>
      <c r="S623" t="s">
        <v>72</v>
      </c>
      <c r="T623">
        <v>2020</v>
      </c>
      <c r="U623" t="s">
        <v>62</v>
      </c>
    </row>
    <row r="624" spans="1:21" x14ac:dyDescent="0.35">
      <c r="A624" s="1">
        <v>45214</v>
      </c>
      <c r="B624" t="s">
        <v>21</v>
      </c>
      <c r="C624" t="s">
        <v>22</v>
      </c>
      <c r="D624" t="s">
        <v>23</v>
      </c>
      <c r="E624">
        <v>405</v>
      </c>
      <c r="F624">
        <v>8</v>
      </c>
      <c r="G624">
        <f t="shared" si="27"/>
        <v>3240</v>
      </c>
      <c r="H624">
        <v>5</v>
      </c>
      <c r="I624">
        <f t="shared" si="28"/>
        <v>2025</v>
      </c>
      <c r="J624">
        <f t="shared" si="29"/>
        <v>1215</v>
      </c>
      <c r="K624" t="s">
        <v>35</v>
      </c>
      <c r="L624" t="s">
        <v>73</v>
      </c>
      <c r="M624" t="s">
        <v>26</v>
      </c>
      <c r="N624" t="s">
        <v>43</v>
      </c>
      <c r="O624">
        <v>671</v>
      </c>
      <c r="P624">
        <v>405</v>
      </c>
      <c r="Q624" t="s">
        <v>113</v>
      </c>
      <c r="R624" t="s">
        <v>114</v>
      </c>
      <c r="S624" t="s">
        <v>115</v>
      </c>
      <c r="T624">
        <v>2022</v>
      </c>
      <c r="U624" t="s">
        <v>53</v>
      </c>
    </row>
    <row r="625" spans="1:21" x14ac:dyDescent="0.35">
      <c r="A625" s="1">
        <v>45215</v>
      </c>
      <c r="B625" t="s">
        <v>98</v>
      </c>
      <c r="C625" t="s">
        <v>99</v>
      </c>
      <c r="D625" t="s">
        <v>100</v>
      </c>
      <c r="E625">
        <v>207</v>
      </c>
      <c r="F625">
        <v>6</v>
      </c>
      <c r="G625">
        <f t="shared" si="27"/>
        <v>1242</v>
      </c>
      <c r="H625">
        <v>4</v>
      </c>
      <c r="I625">
        <f t="shared" si="28"/>
        <v>828</v>
      </c>
      <c r="J625">
        <f t="shared" si="29"/>
        <v>414</v>
      </c>
      <c r="K625" t="s">
        <v>24</v>
      </c>
      <c r="L625" t="s">
        <v>25</v>
      </c>
      <c r="M625" t="s">
        <v>37</v>
      </c>
      <c r="N625" t="s">
        <v>38</v>
      </c>
      <c r="O625">
        <v>990</v>
      </c>
      <c r="P625">
        <v>207</v>
      </c>
      <c r="Q625" t="s">
        <v>92</v>
      </c>
      <c r="R625" t="s">
        <v>45</v>
      </c>
      <c r="S625" t="s">
        <v>93</v>
      </c>
      <c r="T625">
        <v>2024</v>
      </c>
      <c r="U625" t="s">
        <v>96</v>
      </c>
    </row>
    <row r="626" spans="1:21" x14ac:dyDescent="0.35">
      <c r="A626" s="1">
        <v>45216</v>
      </c>
      <c r="B626" t="s">
        <v>98</v>
      </c>
      <c r="C626" t="s">
        <v>99</v>
      </c>
      <c r="D626" t="s">
        <v>100</v>
      </c>
      <c r="E626">
        <v>255</v>
      </c>
      <c r="F626">
        <v>6</v>
      </c>
      <c r="G626">
        <f t="shared" si="27"/>
        <v>1530</v>
      </c>
      <c r="H626">
        <v>4</v>
      </c>
      <c r="I626">
        <f t="shared" si="28"/>
        <v>1020</v>
      </c>
      <c r="J626">
        <f t="shared" si="29"/>
        <v>510</v>
      </c>
      <c r="K626" t="s">
        <v>24</v>
      </c>
      <c r="L626" t="s">
        <v>36</v>
      </c>
      <c r="M626" t="s">
        <v>61</v>
      </c>
      <c r="N626" t="s">
        <v>27</v>
      </c>
      <c r="O626">
        <v>623</v>
      </c>
      <c r="P626">
        <v>255</v>
      </c>
      <c r="Q626" t="s">
        <v>64</v>
      </c>
      <c r="R626" t="s">
        <v>29</v>
      </c>
      <c r="S626" t="s">
        <v>65</v>
      </c>
      <c r="T626">
        <v>2020</v>
      </c>
      <c r="U626" t="s">
        <v>31</v>
      </c>
    </row>
    <row r="627" spans="1:21" x14ac:dyDescent="0.35">
      <c r="A627" s="1">
        <v>45217</v>
      </c>
      <c r="B627" t="s">
        <v>98</v>
      </c>
      <c r="C627" t="s">
        <v>99</v>
      </c>
      <c r="D627" t="s">
        <v>100</v>
      </c>
      <c r="E627">
        <v>81</v>
      </c>
      <c r="F627">
        <v>6</v>
      </c>
      <c r="G627">
        <f t="shared" si="27"/>
        <v>486</v>
      </c>
      <c r="H627">
        <v>4</v>
      </c>
      <c r="I627">
        <f t="shared" si="28"/>
        <v>324</v>
      </c>
      <c r="J627">
        <f t="shared" si="29"/>
        <v>162</v>
      </c>
      <c r="K627" t="s">
        <v>42</v>
      </c>
      <c r="L627" t="s">
        <v>73</v>
      </c>
      <c r="M627" t="s">
        <v>26</v>
      </c>
      <c r="N627" t="s">
        <v>38</v>
      </c>
      <c r="O627">
        <v>870</v>
      </c>
      <c r="P627">
        <v>81</v>
      </c>
      <c r="Q627" t="s">
        <v>106</v>
      </c>
      <c r="R627" t="s">
        <v>107</v>
      </c>
      <c r="S627" t="s">
        <v>108</v>
      </c>
      <c r="T627">
        <v>2022</v>
      </c>
      <c r="U627" t="s">
        <v>96</v>
      </c>
    </row>
    <row r="628" spans="1:21" x14ac:dyDescent="0.35">
      <c r="A628" s="1">
        <v>45218</v>
      </c>
      <c r="B628" t="s">
        <v>98</v>
      </c>
      <c r="C628" t="s">
        <v>99</v>
      </c>
      <c r="D628" t="s">
        <v>100</v>
      </c>
      <c r="E628">
        <v>430</v>
      </c>
      <c r="F628">
        <v>6</v>
      </c>
      <c r="G628">
        <f t="shared" si="27"/>
        <v>2580</v>
      </c>
      <c r="H628">
        <v>4</v>
      </c>
      <c r="I628">
        <f t="shared" si="28"/>
        <v>1720</v>
      </c>
      <c r="J628">
        <f t="shared" si="29"/>
        <v>860</v>
      </c>
      <c r="K628" t="s">
        <v>35</v>
      </c>
      <c r="L628" t="s">
        <v>25</v>
      </c>
      <c r="M628" t="s">
        <v>26</v>
      </c>
      <c r="N628" t="s">
        <v>43</v>
      </c>
      <c r="O628">
        <v>853</v>
      </c>
      <c r="P628">
        <v>430</v>
      </c>
      <c r="Q628" t="s">
        <v>94</v>
      </c>
      <c r="R628" t="s">
        <v>75</v>
      </c>
      <c r="S628" t="s">
        <v>95</v>
      </c>
      <c r="T628">
        <v>2022</v>
      </c>
      <c r="U628" t="s">
        <v>47</v>
      </c>
    </row>
    <row r="629" spans="1:21" x14ac:dyDescent="0.35">
      <c r="A629" s="1">
        <v>45219</v>
      </c>
      <c r="B629" t="s">
        <v>32</v>
      </c>
      <c r="C629" t="s">
        <v>33</v>
      </c>
      <c r="D629" t="s">
        <v>34</v>
      </c>
      <c r="E629">
        <v>37</v>
      </c>
      <c r="F629">
        <v>20</v>
      </c>
      <c r="G629">
        <f t="shared" si="27"/>
        <v>740</v>
      </c>
      <c r="H629">
        <v>12</v>
      </c>
      <c r="I629">
        <f t="shared" si="28"/>
        <v>444</v>
      </c>
      <c r="J629">
        <f t="shared" si="29"/>
        <v>296</v>
      </c>
      <c r="K629" t="s">
        <v>24</v>
      </c>
      <c r="L629" t="s">
        <v>36</v>
      </c>
      <c r="M629" t="s">
        <v>26</v>
      </c>
      <c r="N629" t="s">
        <v>38</v>
      </c>
      <c r="O629">
        <v>973</v>
      </c>
      <c r="P629">
        <v>37</v>
      </c>
      <c r="Q629" t="s">
        <v>110</v>
      </c>
      <c r="R629" t="s">
        <v>111</v>
      </c>
      <c r="S629" t="s">
        <v>112</v>
      </c>
      <c r="T629">
        <v>2020</v>
      </c>
      <c r="U629" t="s">
        <v>31</v>
      </c>
    </row>
    <row r="630" spans="1:21" x14ac:dyDescent="0.35">
      <c r="A630" s="1">
        <v>45220</v>
      </c>
      <c r="B630" t="s">
        <v>48</v>
      </c>
      <c r="C630" t="s">
        <v>49</v>
      </c>
      <c r="D630" t="s">
        <v>50</v>
      </c>
      <c r="E630">
        <v>340</v>
      </c>
      <c r="F630">
        <v>150</v>
      </c>
      <c r="G630">
        <f t="shared" si="27"/>
        <v>51000</v>
      </c>
      <c r="H630">
        <v>100</v>
      </c>
      <c r="I630">
        <f t="shared" si="28"/>
        <v>34000</v>
      </c>
      <c r="J630">
        <f t="shared" si="29"/>
        <v>17000</v>
      </c>
      <c r="K630" t="s">
        <v>24</v>
      </c>
      <c r="L630" t="s">
        <v>36</v>
      </c>
      <c r="M630" t="s">
        <v>61</v>
      </c>
      <c r="N630" t="s">
        <v>43</v>
      </c>
      <c r="O630">
        <v>612</v>
      </c>
      <c r="P630">
        <v>340</v>
      </c>
      <c r="Q630" t="s">
        <v>74</v>
      </c>
      <c r="R630" t="s">
        <v>75</v>
      </c>
      <c r="S630" t="s">
        <v>76</v>
      </c>
      <c r="T630">
        <v>2023</v>
      </c>
      <c r="U630" t="s">
        <v>97</v>
      </c>
    </row>
    <row r="631" spans="1:21" x14ac:dyDescent="0.35">
      <c r="A631" s="1">
        <v>45221</v>
      </c>
      <c r="B631" t="s">
        <v>48</v>
      </c>
      <c r="C631" t="s">
        <v>49</v>
      </c>
      <c r="D631" t="s">
        <v>50</v>
      </c>
      <c r="E631">
        <v>200</v>
      </c>
      <c r="F631">
        <v>150</v>
      </c>
      <c r="G631">
        <f t="shared" si="27"/>
        <v>30000</v>
      </c>
      <c r="H631">
        <v>100</v>
      </c>
      <c r="I631">
        <f t="shared" si="28"/>
        <v>20000</v>
      </c>
      <c r="J631">
        <f t="shared" si="29"/>
        <v>10000</v>
      </c>
      <c r="K631" t="s">
        <v>42</v>
      </c>
      <c r="L631" t="s">
        <v>25</v>
      </c>
      <c r="M631" t="s">
        <v>61</v>
      </c>
      <c r="N631" t="s">
        <v>27</v>
      </c>
      <c r="O631">
        <v>588</v>
      </c>
      <c r="P631">
        <v>200</v>
      </c>
      <c r="Q631" t="s">
        <v>101</v>
      </c>
      <c r="R631" t="s">
        <v>101</v>
      </c>
      <c r="S631" t="s">
        <v>102</v>
      </c>
      <c r="T631">
        <v>2024</v>
      </c>
      <c r="U631" t="s">
        <v>97</v>
      </c>
    </row>
    <row r="632" spans="1:21" x14ac:dyDescent="0.35">
      <c r="A632" s="1">
        <v>45222</v>
      </c>
      <c r="B632" t="s">
        <v>58</v>
      </c>
      <c r="C632" t="s">
        <v>59</v>
      </c>
      <c r="D632" t="s">
        <v>60</v>
      </c>
      <c r="E632">
        <v>257</v>
      </c>
      <c r="F632">
        <v>5</v>
      </c>
      <c r="G632">
        <f t="shared" si="27"/>
        <v>1285</v>
      </c>
      <c r="H632">
        <v>3</v>
      </c>
      <c r="I632">
        <f t="shared" si="28"/>
        <v>771</v>
      </c>
      <c r="J632">
        <f t="shared" si="29"/>
        <v>514</v>
      </c>
      <c r="K632" t="s">
        <v>24</v>
      </c>
      <c r="L632" t="s">
        <v>73</v>
      </c>
      <c r="M632" t="s">
        <v>37</v>
      </c>
      <c r="N632" t="s">
        <v>27</v>
      </c>
      <c r="O632">
        <v>977</v>
      </c>
      <c r="P632">
        <v>257</v>
      </c>
      <c r="Q632" t="s">
        <v>106</v>
      </c>
      <c r="R632" t="s">
        <v>107</v>
      </c>
      <c r="S632" t="s">
        <v>108</v>
      </c>
      <c r="T632">
        <v>2022</v>
      </c>
      <c r="U632" t="s">
        <v>86</v>
      </c>
    </row>
    <row r="633" spans="1:21" x14ac:dyDescent="0.35">
      <c r="A633" s="1">
        <v>45223</v>
      </c>
      <c r="B633" t="s">
        <v>32</v>
      </c>
      <c r="C633" t="s">
        <v>33</v>
      </c>
      <c r="D633" t="s">
        <v>34</v>
      </c>
      <c r="E633">
        <v>373</v>
      </c>
      <c r="F633">
        <v>20</v>
      </c>
      <c r="G633">
        <f t="shared" si="27"/>
        <v>7460</v>
      </c>
      <c r="H633">
        <v>12</v>
      </c>
      <c r="I633">
        <f t="shared" si="28"/>
        <v>4476</v>
      </c>
      <c r="J633">
        <f t="shared" si="29"/>
        <v>2984</v>
      </c>
      <c r="K633" t="s">
        <v>35</v>
      </c>
      <c r="L633" t="s">
        <v>36</v>
      </c>
      <c r="M633" t="s">
        <v>37</v>
      </c>
      <c r="N633" t="s">
        <v>38</v>
      </c>
      <c r="O633">
        <v>591</v>
      </c>
      <c r="P633">
        <v>373</v>
      </c>
      <c r="Q633" t="s">
        <v>70</v>
      </c>
      <c r="R633" t="s">
        <v>71</v>
      </c>
      <c r="S633" t="s">
        <v>72</v>
      </c>
      <c r="T633">
        <v>2021</v>
      </c>
      <c r="U633" t="s">
        <v>31</v>
      </c>
    </row>
    <row r="634" spans="1:21" x14ac:dyDescent="0.35">
      <c r="A634" s="1">
        <v>45224</v>
      </c>
      <c r="B634" t="s">
        <v>98</v>
      </c>
      <c r="C634" t="s">
        <v>99</v>
      </c>
      <c r="D634" t="s">
        <v>100</v>
      </c>
      <c r="E634">
        <v>489</v>
      </c>
      <c r="F634">
        <v>6</v>
      </c>
      <c r="G634">
        <f t="shared" si="27"/>
        <v>2934</v>
      </c>
      <c r="H634">
        <v>4</v>
      </c>
      <c r="I634">
        <f t="shared" si="28"/>
        <v>1956</v>
      </c>
      <c r="J634">
        <f t="shared" si="29"/>
        <v>978</v>
      </c>
      <c r="K634" t="s">
        <v>24</v>
      </c>
      <c r="L634" t="s">
        <v>36</v>
      </c>
      <c r="M634" t="s">
        <v>26</v>
      </c>
      <c r="N634" t="s">
        <v>43</v>
      </c>
      <c r="O634">
        <v>744</v>
      </c>
      <c r="P634">
        <v>489</v>
      </c>
      <c r="Q634" t="s">
        <v>103</v>
      </c>
      <c r="R634" t="s">
        <v>68</v>
      </c>
      <c r="S634" t="s">
        <v>104</v>
      </c>
      <c r="T634">
        <v>2022</v>
      </c>
      <c r="U634" t="s">
        <v>66</v>
      </c>
    </row>
    <row r="635" spans="1:21" x14ac:dyDescent="0.35">
      <c r="A635" s="1">
        <v>45225</v>
      </c>
      <c r="B635" t="s">
        <v>21</v>
      </c>
      <c r="C635" t="s">
        <v>22</v>
      </c>
      <c r="D635" t="s">
        <v>23</v>
      </c>
      <c r="E635">
        <v>411</v>
      </c>
      <c r="F635">
        <v>8</v>
      </c>
      <c r="G635">
        <f t="shared" si="27"/>
        <v>3288</v>
      </c>
      <c r="H635">
        <v>5</v>
      </c>
      <c r="I635">
        <f t="shared" si="28"/>
        <v>2055</v>
      </c>
      <c r="J635">
        <f t="shared" si="29"/>
        <v>1233</v>
      </c>
      <c r="K635" t="s">
        <v>35</v>
      </c>
      <c r="L635" t="s">
        <v>73</v>
      </c>
      <c r="M635" t="s">
        <v>37</v>
      </c>
      <c r="N635" t="s">
        <v>38</v>
      </c>
      <c r="O635">
        <v>700</v>
      </c>
      <c r="P635">
        <v>411</v>
      </c>
      <c r="Q635" t="s">
        <v>90</v>
      </c>
      <c r="R635" t="s">
        <v>55</v>
      </c>
      <c r="S635" t="s">
        <v>85</v>
      </c>
      <c r="T635">
        <v>2021</v>
      </c>
      <c r="U635" t="s">
        <v>109</v>
      </c>
    </row>
    <row r="636" spans="1:21" x14ac:dyDescent="0.35">
      <c r="A636" s="1">
        <v>45226</v>
      </c>
      <c r="B636" t="s">
        <v>80</v>
      </c>
      <c r="C636" t="s">
        <v>81</v>
      </c>
      <c r="D636" t="s">
        <v>82</v>
      </c>
      <c r="E636">
        <v>433</v>
      </c>
      <c r="F636">
        <v>2.5</v>
      </c>
      <c r="G636">
        <f t="shared" si="27"/>
        <v>1082.5</v>
      </c>
      <c r="H636">
        <v>1.5</v>
      </c>
      <c r="I636">
        <f t="shared" si="28"/>
        <v>649.5</v>
      </c>
      <c r="J636">
        <f t="shared" si="29"/>
        <v>433</v>
      </c>
      <c r="K636" t="s">
        <v>24</v>
      </c>
      <c r="L636" t="s">
        <v>73</v>
      </c>
      <c r="M636" t="s">
        <v>26</v>
      </c>
      <c r="N636" t="s">
        <v>38</v>
      </c>
      <c r="O636">
        <v>525</v>
      </c>
      <c r="P636">
        <v>433</v>
      </c>
      <c r="Q636" t="s">
        <v>54</v>
      </c>
      <c r="R636" t="s">
        <v>55</v>
      </c>
      <c r="S636" t="s">
        <v>56</v>
      </c>
      <c r="T636">
        <v>2021</v>
      </c>
      <c r="U636" t="s">
        <v>47</v>
      </c>
    </row>
    <row r="637" spans="1:21" x14ac:dyDescent="0.35">
      <c r="A637" s="1">
        <v>45227</v>
      </c>
      <c r="B637" t="s">
        <v>48</v>
      </c>
      <c r="C637" t="s">
        <v>49</v>
      </c>
      <c r="D637" t="s">
        <v>50</v>
      </c>
      <c r="E637">
        <v>308</v>
      </c>
      <c r="F637">
        <v>150</v>
      </c>
      <c r="G637">
        <f t="shared" si="27"/>
        <v>46200</v>
      </c>
      <c r="H637">
        <v>100</v>
      </c>
      <c r="I637">
        <f t="shared" si="28"/>
        <v>30800</v>
      </c>
      <c r="J637">
        <f t="shared" si="29"/>
        <v>15400</v>
      </c>
      <c r="K637" t="s">
        <v>42</v>
      </c>
      <c r="L637" t="s">
        <v>25</v>
      </c>
      <c r="M637" t="s">
        <v>26</v>
      </c>
      <c r="N637" t="s">
        <v>38</v>
      </c>
      <c r="O637">
        <v>580</v>
      </c>
      <c r="P637">
        <v>308</v>
      </c>
      <c r="Q637" t="s">
        <v>74</v>
      </c>
      <c r="R637" t="s">
        <v>75</v>
      </c>
      <c r="S637" t="s">
        <v>76</v>
      </c>
      <c r="T637">
        <v>2021</v>
      </c>
      <c r="U637" t="s">
        <v>66</v>
      </c>
    </row>
    <row r="638" spans="1:21" x14ac:dyDescent="0.35">
      <c r="A638" s="1">
        <v>45228</v>
      </c>
      <c r="B638" t="s">
        <v>32</v>
      </c>
      <c r="C638" t="s">
        <v>33</v>
      </c>
      <c r="D638" t="s">
        <v>34</v>
      </c>
      <c r="E638">
        <v>294</v>
      </c>
      <c r="F638">
        <v>20</v>
      </c>
      <c r="G638">
        <f t="shared" si="27"/>
        <v>5880</v>
      </c>
      <c r="H638">
        <v>12</v>
      </c>
      <c r="I638">
        <f t="shared" si="28"/>
        <v>3528</v>
      </c>
      <c r="J638">
        <f t="shared" si="29"/>
        <v>2352</v>
      </c>
      <c r="K638" t="s">
        <v>24</v>
      </c>
      <c r="L638" t="s">
        <v>25</v>
      </c>
      <c r="M638" t="s">
        <v>26</v>
      </c>
      <c r="N638" t="s">
        <v>27</v>
      </c>
      <c r="O638">
        <v>758</v>
      </c>
      <c r="P638">
        <v>294</v>
      </c>
      <c r="Q638" t="s">
        <v>51</v>
      </c>
      <c r="R638" t="s">
        <v>45</v>
      </c>
      <c r="S638" t="s">
        <v>52</v>
      </c>
      <c r="T638">
        <v>2021</v>
      </c>
      <c r="U638" t="s">
        <v>109</v>
      </c>
    </row>
    <row r="639" spans="1:21" x14ac:dyDescent="0.35">
      <c r="A639" s="1">
        <v>45229</v>
      </c>
      <c r="B639" t="s">
        <v>21</v>
      </c>
      <c r="C639" t="s">
        <v>22</v>
      </c>
      <c r="D639" t="s">
        <v>23</v>
      </c>
      <c r="E639">
        <v>331</v>
      </c>
      <c r="F639">
        <v>8</v>
      </c>
      <c r="G639">
        <f t="shared" si="27"/>
        <v>2648</v>
      </c>
      <c r="H639">
        <v>5</v>
      </c>
      <c r="I639">
        <f t="shared" si="28"/>
        <v>1655</v>
      </c>
      <c r="J639">
        <f t="shared" si="29"/>
        <v>993</v>
      </c>
      <c r="K639" t="s">
        <v>42</v>
      </c>
      <c r="L639" t="s">
        <v>36</v>
      </c>
      <c r="M639" t="s">
        <v>61</v>
      </c>
      <c r="N639" t="s">
        <v>27</v>
      </c>
      <c r="O639">
        <v>863</v>
      </c>
      <c r="P639">
        <v>331</v>
      </c>
      <c r="Q639" t="s">
        <v>106</v>
      </c>
      <c r="R639" t="s">
        <v>107</v>
      </c>
      <c r="S639" t="s">
        <v>108</v>
      </c>
      <c r="T639">
        <v>2021</v>
      </c>
      <c r="U639" t="s">
        <v>47</v>
      </c>
    </row>
    <row r="640" spans="1:21" x14ac:dyDescent="0.35">
      <c r="A640" s="1">
        <v>45230</v>
      </c>
      <c r="B640" t="s">
        <v>98</v>
      </c>
      <c r="C640" t="s">
        <v>99</v>
      </c>
      <c r="D640" t="s">
        <v>100</v>
      </c>
      <c r="E640">
        <v>408</v>
      </c>
      <c r="F640">
        <v>6</v>
      </c>
      <c r="G640">
        <f t="shared" si="27"/>
        <v>2448</v>
      </c>
      <c r="H640">
        <v>4</v>
      </c>
      <c r="I640">
        <f t="shared" si="28"/>
        <v>1632</v>
      </c>
      <c r="J640">
        <f t="shared" si="29"/>
        <v>816</v>
      </c>
      <c r="K640" t="s">
        <v>35</v>
      </c>
      <c r="L640" t="s">
        <v>63</v>
      </c>
      <c r="M640" t="s">
        <v>37</v>
      </c>
      <c r="N640" t="s">
        <v>38</v>
      </c>
      <c r="O640">
        <v>866</v>
      </c>
      <c r="P640">
        <v>408</v>
      </c>
      <c r="Q640" t="s">
        <v>44</v>
      </c>
      <c r="R640" t="s">
        <v>45</v>
      </c>
      <c r="S640" t="s">
        <v>46</v>
      </c>
      <c r="T640">
        <v>2021</v>
      </c>
      <c r="U640" t="s">
        <v>105</v>
      </c>
    </row>
    <row r="641" spans="1:21" x14ac:dyDescent="0.35">
      <c r="A641" s="1">
        <v>45231</v>
      </c>
      <c r="B641" t="s">
        <v>98</v>
      </c>
      <c r="C641" t="s">
        <v>99</v>
      </c>
      <c r="D641" t="s">
        <v>100</v>
      </c>
      <c r="E641">
        <v>361</v>
      </c>
      <c r="F641">
        <v>6</v>
      </c>
      <c r="G641">
        <f t="shared" si="27"/>
        <v>2166</v>
      </c>
      <c r="H641">
        <v>4</v>
      </c>
      <c r="I641">
        <f t="shared" si="28"/>
        <v>1444</v>
      </c>
      <c r="J641">
        <f t="shared" si="29"/>
        <v>722</v>
      </c>
      <c r="K641" t="s">
        <v>24</v>
      </c>
      <c r="L641" t="s">
        <v>63</v>
      </c>
      <c r="M641" t="s">
        <v>37</v>
      </c>
      <c r="N641" t="s">
        <v>38</v>
      </c>
      <c r="O641">
        <v>622</v>
      </c>
      <c r="P641">
        <v>361</v>
      </c>
      <c r="Q641" t="s">
        <v>113</v>
      </c>
      <c r="R641" t="s">
        <v>114</v>
      </c>
      <c r="S641" t="s">
        <v>115</v>
      </c>
      <c r="T641">
        <v>2021</v>
      </c>
      <c r="U641" t="s">
        <v>109</v>
      </c>
    </row>
    <row r="642" spans="1:21" x14ac:dyDescent="0.35">
      <c r="A642" s="1">
        <v>45232</v>
      </c>
      <c r="B642" t="s">
        <v>48</v>
      </c>
      <c r="C642" t="s">
        <v>49</v>
      </c>
      <c r="D642" t="s">
        <v>50</v>
      </c>
      <c r="E642">
        <v>123</v>
      </c>
      <c r="F642">
        <v>150</v>
      </c>
      <c r="G642">
        <f t="shared" si="27"/>
        <v>18450</v>
      </c>
      <c r="H642">
        <v>100</v>
      </c>
      <c r="I642">
        <f t="shared" si="28"/>
        <v>12300</v>
      </c>
      <c r="J642">
        <f t="shared" si="29"/>
        <v>6150</v>
      </c>
      <c r="K642" t="s">
        <v>35</v>
      </c>
      <c r="L642" t="s">
        <v>25</v>
      </c>
      <c r="M642" t="s">
        <v>26</v>
      </c>
      <c r="N642" t="s">
        <v>27</v>
      </c>
      <c r="O642">
        <v>644</v>
      </c>
      <c r="P642">
        <v>123</v>
      </c>
      <c r="Q642" t="s">
        <v>67</v>
      </c>
      <c r="R642" t="s">
        <v>68</v>
      </c>
      <c r="S642" t="s">
        <v>69</v>
      </c>
      <c r="T642">
        <v>2020</v>
      </c>
      <c r="U642" t="s">
        <v>66</v>
      </c>
    </row>
    <row r="643" spans="1:21" x14ac:dyDescent="0.35">
      <c r="A643" s="1">
        <v>45233</v>
      </c>
      <c r="B643" t="s">
        <v>98</v>
      </c>
      <c r="C643" t="s">
        <v>99</v>
      </c>
      <c r="D643" t="s">
        <v>100</v>
      </c>
      <c r="E643">
        <v>181</v>
      </c>
      <c r="F643">
        <v>6</v>
      </c>
      <c r="G643">
        <f t="shared" ref="G643:G706" si="30">E643*F643</f>
        <v>1086</v>
      </c>
      <c r="H643">
        <v>4</v>
      </c>
      <c r="I643">
        <f t="shared" ref="I643:I706" si="31">E643*H643</f>
        <v>724</v>
      </c>
      <c r="J643">
        <f t="shared" ref="J643:J706" si="32">G643-I643</f>
        <v>362</v>
      </c>
      <c r="K643" t="s">
        <v>35</v>
      </c>
      <c r="L643" t="s">
        <v>36</v>
      </c>
      <c r="M643" t="s">
        <v>26</v>
      </c>
      <c r="N643" t="s">
        <v>43</v>
      </c>
      <c r="O643">
        <v>923</v>
      </c>
      <c r="P643">
        <v>181</v>
      </c>
      <c r="Q643" t="s">
        <v>101</v>
      </c>
      <c r="R643" t="s">
        <v>101</v>
      </c>
      <c r="S643" t="s">
        <v>102</v>
      </c>
      <c r="T643">
        <v>2024</v>
      </c>
      <c r="U643" t="s">
        <v>109</v>
      </c>
    </row>
    <row r="644" spans="1:21" x14ac:dyDescent="0.35">
      <c r="A644" s="1">
        <v>45234</v>
      </c>
      <c r="B644" t="s">
        <v>21</v>
      </c>
      <c r="C644" t="s">
        <v>22</v>
      </c>
      <c r="D644" t="s">
        <v>23</v>
      </c>
      <c r="E644">
        <v>318</v>
      </c>
      <c r="F644">
        <v>8</v>
      </c>
      <c r="G644">
        <f t="shared" si="30"/>
        <v>2544</v>
      </c>
      <c r="H644">
        <v>5</v>
      </c>
      <c r="I644">
        <f t="shared" si="31"/>
        <v>1590</v>
      </c>
      <c r="J644">
        <f t="shared" si="32"/>
        <v>954</v>
      </c>
      <c r="K644" t="s">
        <v>35</v>
      </c>
      <c r="L644" t="s">
        <v>36</v>
      </c>
      <c r="M644" t="s">
        <v>26</v>
      </c>
      <c r="N644" t="s">
        <v>27</v>
      </c>
      <c r="O644">
        <v>685</v>
      </c>
      <c r="P644">
        <v>318</v>
      </c>
      <c r="Q644" t="s">
        <v>92</v>
      </c>
      <c r="R644" t="s">
        <v>45</v>
      </c>
      <c r="S644" t="s">
        <v>93</v>
      </c>
      <c r="T644">
        <v>2023</v>
      </c>
      <c r="U644" t="s">
        <v>62</v>
      </c>
    </row>
    <row r="645" spans="1:21" x14ac:dyDescent="0.35">
      <c r="A645" s="1">
        <v>45235</v>
      </c>
      <c r="B645" t="s">
        <v>80</v>
      </c>
      <c r="C645" t="s">
        <v>81</v>
      </c>
      <c r="D645" t="s">
        <v>82</v>
      </c>
      <c r="E645">
        <v>164</v>
      </c>
      <c r="F645">
        <v>2.5</v>
      </c>
      <c r="G645">
        <f t="shared" si="30"/>
        <v>410</v>
      </c>
      <c r="H645">
        <v>1.5</v>
      </c>
      <c r="I645">
        <f t="shared" si="31"/>
        <v>246</v>
      </c>
      <c r="J645">
        <f t="shared" si="32"/>
        <v>164</v>
      </c>
      <c r="K645" t="s">
        <v>35</v>
      </c>
      <c r="L645" t="s">
        <v>25</v>
      </c>
      <c r="M645" t="s">
        <v>37</v>
      </c>
      <c r="N645" t="s">
        <v>43</v>
      </c>
      <c r="O645">
        <v>791</v>
      </c>
      <c r="P645">
        <v>164</v>
      </c>
      <c r="Q645" t="s">
        <v>39</v>
      </c>
      <c r="R645" t="s">
        <v>40</v>
      </c>
      <c r="S645" t="s">
        <v>41</v>
      </c>
      <c r="T645">
        <v>2024</v>
      </c>
      <c r="U645" t="s">
        <v>86</v>
      </c>
    </row>
    <row r="646" spans="1:21" x14ac:dyDescent="0.35">
      <c r="A646" s="1">
        <v>45236</v>
      </c>
      <c r="B646" t="s">
        <v>21</v>
      </c>
      <c r="C646" t="s">
        <v>22</v>
      </c>
      <c r="D646" t="s">
        <v>23</v>
      </c>
      <c r="E646">
        <v>25</v>
      </c>
      <c r="F646">
        <v>8</v>
      </c>
      <c r="G646">
        <f t="shared" si="30"/>
        <v>200</v>
      </c>
      <c r="H646">
        <v>5</v>
      </c>
      <c r="I646">
        <f t="shared" si="31"/>
        <v>125</v>
      </c>
      <c r="J646">
        <f t="shared" si="32"/>
        <v>75</v>
      </c>
      <c r="K646" t="s">
        <v>24</v>
      </c>
      <c r="L646" t="s">
        <v>73</v>
      </c>
      <c r="M646" t="s">
        <v>37</v>
      </c>
      <c r="N646" t="s">
        <v>38</v>
      </c>
      <c r="O646">
        <v>643</v>
      </c>
      <c r="P646">
        <v>25</v>
      </c>
      <c r="Q646" t="s">
        <v>103</v>
      </c>
      <c r="R646" t="s">
        <v>68</v>
      </c>
      <c r="S646" t="s">
        <v>104</v>
      </c>
      <c r="T646">
        <v>2023</v>
      </c>
      <c r="U646" t="s">
        <v>97</v>
      </c>
    </row>
    <row r="647" spans="1:21" x14ac:dyDescent="0.35">
      <c r="A647" s="1">
        <v>45237</v>
      </c>
      <c r="B647" t="s">
        <v>98</v>
      </c>
      <c r="C647" t="s">
        <v>99</v>
      </c>
      <c r="D647" t="s">
        <v>100</v>
      </c>
      <c r="E647">
        <v>454</v>
      </c>
      <c r="F647">
        <v>6</v>
      </c>
      <c r="G647">
        <f t="shared" si="30"/>
        <v>2724</v>
      </c>
      <c r="H647">
        <v>4</v>
      </c>
      <c r="I647">
        <f t="shared" si="31"/>
        <v>1816</v>
      </c>
      <c r="J647">
        <f t="shared" si="32"/>
        <v>908</v>
      </c>
      <c r="K647" t="s">
        <v>35</v>
      </c>
      <c r="L647" t="s">
        <v>63</v>
      </c>
      <c r="M647" t="s">
        <v>61</v>
      </c>
      <c r="N647" t="s">
        <v>38</v>
      </c>
      <c r="O647">
        <v>505</v>
      </c>
      <c r="P647">
        <v>454</v>
      </c>
      <c r="Q647" t="s">
        <v>74</v>
      </c>
      <c r="R647" t="s">
        <v>75</v>
      </c>
      <c r="S647" t="s">
        <v>76</v>
      </c>
      <c r="T647">
        <v>2020</v>
      </c>
      <c r="U647" t="s">
        <v>47</v>
      </c>
    </row>
    <row r="648" spans="1:21" x14ac:dyDescent="0.35">
      <c r="A648" s="1">
        <v>45238</v>
      </c>
      <c r="B648" t="s">
        <v>98</v>
      </c>
      <c r="C648" t="s">
        <v>99</v>
      </c>
      <c r="D648" t="s">
        <v>100</v>
      </c>
      <c r="E648">
        <v>392</v>
      </c>
      <c r="F648">
        <v>6</v>
      </c>
      <c r="G648">
        <f t="shared" si="30"/>
        <v>2352</v>
      </c>
      <c r="H648">
        <v>4</v>
      </c>
      <c r="I648">
        <f t="shared" si="31"/>
        <v>1568</v>
      </c>
      <c r="J648">
        <f t="shared" si="32"/>
        <v>784</v>
      </c>
      <c r="K648" t="s">
        <v>42</v>
      </c>
      <c r="L648" t="s">
        <v>63</v>
      </c>
      <c r="M648" t="s">
        <v>61</v>
      </c>
      <c r="N648" t="s">
        <v>27</v>
      </c>
      <c r="O648">
        <v>820</v>
      </c>
      <c r="P648">
        <v>392</v>
      </c>
      <c r="Q648" t="s">
        <v>94</v>
      </c>
      <c r="R648" t="s">
        <v>75</v>
      </c>
      <c r="S648" t="s">
        <v>95</v>
      </c>
      <c r="T648">
        <v>2020</v>
      </c>
      <c r="U648" t="s">
        <v>53</v>
      </c>
    </row>
    <row r="649" spans="1:21" x14ac:dyDescent="0.35">
      <c r="A649" s="1">
        <v>45239</v>
      </c>
      <c r="B649" t="s">
        <v>98</v>
      </c>
      <c r="C649" t="s">
        <v>99</v>
      </c>
      <c r="D649" t="s">
        <v>100</v>
      </c>
      <c r="E649">
        <v>277</v>
      </c>
      <c r="F649">
        <v>6</v>
      </c>
      <c r="G649">
        <f t="shared" si="30"/>
        <v>1662</v>
      </c>
      <c r="H649">
        <v>4</v>
      </c>
      <c r="I649">
        <f t="shared" si="31"/>
        <v>1108</v>
      </c>
      <c r="J649">
        <f t="shared" si="32"/>
        <v>554</v>
      </c>
      <c r="K649" t="s">
        <v>42</v>
      </c>
      <c r="L649" t="s">
        <v>73</v>
      </c>
      <c r="M649" t="s">
        <v>37</v>
      </c>
      <c r="N649" t="s">
        <v>43</v>
      </c>
      <c r="O649">
        <v>713</v>
      </c>
      <c r="P649">
        <v>277</v>
      </c>
      <c r="Q649" t="s">
        <v>92</v>
      </c>
      <c r="R649" t="s">
        <v>45</v>
      </c>
      <c r="S649" t="s">
        <v>93</v>
      </c>
      <c r="T649">
        <v>2021</v>
      </c>
      <c r="U649" t="s">
        <v>57</v>
      </c>
    </row>
    <row r="650" spans="1:21" x14ac:dyDescent="0.35">
      <c r="A650" s="1">
        <v>45240</v>
      </c>
      <c r="B650" t="s">
        <v>98</v>
      </c>
      <c r="C650" t="s">
        <v>99</v>
      </c>
      <c r="D650" t="s">
        <v>100</v>
      </c>
      <c r="E650">
        <v>95</v>
      </c>
      <c r="F650">
        <v>6</v>
      </c>
      <c r="G650">
        <f t="shared" si="30"/>
        <v>570</v>
      </c>
      <c r="H650">
        <v>4</v>
      </c>
      <c r="I650">
        <f t="shared" si="31"/>
        <v>380</v>
      </c>
      <c r="J650">
        <f t="shared" si="32"/>
        <v>190</v>
      </c>
      <c r="K650" t="s">
        <v>42</v>
      </c>
      <c r="L650" t="s">
        <v>63</v>
      </c>
      <c r="M650" t="s">
        <v>26</v>
      </c>
      <c r="N650" t="s">
        <v>38</v>
      </c>
      <c r="O650">
        <v>978</v>
      </c>
      <c r="P650">
        <v>95</v>
      </c>
      <c r="Q650" t="s">
        <v>92</v>
      </c>
      <c r="R650" t="s">
        <v>45</v>
      </c>
      <c r="S650" t="s">
        <v>93</v>
      </c>
      <c r="T650">
        <v>2022</v>
      </c>
      <c r="U650" t="s">
        <v>86</v>
      </c>
    </row>
    <row r="651" spans="1:21" x14ac:dyDescent="0.35">
      <c r="A651" s="1">
        <v>45241</v>
      </c>
      <c r="B651" t="s">
        <v>98</v>
      </c>
      <c r="C651" t="s">
        <v>99</v>
      </c>
      <c r="D651" t="s">
        <v>100</v>
      </c>
      <c r="E651">
        <v>328</v>
      </c>
      <c r="F651">
        <v>6</v>
      </c>
      <c r="G651">
        <f t="shared" si="30"/>
        <v>1968</v>
      </c>
      <c r="H651">
        <v>4</v>
      </c>
      <c r="I651">
        <f t="shared" si="31"/>
        <v>1312</v>
      </c>
      <c r="J651">
        <f t="shared" si="32"/>
        <v>656</v>
      </c>
      <c r="K651" t="s">
        <v>42</v>
      </c>
      <c r="L651" t="s">
        <v>25</v>
      </c>
      <c r="M651" t="s">
        <v>26</v>
      </c>
      <c r="N651" t="s">
        <v>43</v>
      </c>
      <c r="O651">
        <v>754</v>
      </c>
      <c r="P651">
        <v>328</v>
      </c>
      <c r="Q651" t="s">
        <v>67</v>
      </c>
      <c r="R651" t="s">
        <v>68</v>
      </c>
      <c r="S651" t="s">
        <v>69</v>
      </c>
      <c r="T651">
        <v>2024</v>
      </c>
      <c r="U651" t="s">
        <v>66</v>
      </c>
    </row>
    <row r="652" spans="1:21" x14ac:dyDescent="0.35">
      <c r="A652" s="1">
        <v>45242</v>
      </c>
      <c r="B652" t="s">
        <v>32</v>
      </c>
      <c r="C652" t="s">
        <v>33</v>
      </c>
      <c r="D652" t="s">
        <v>34</v>
      </c>
      <c r="E652">
        <v>486</v>
      </c>
      <c r="F652">
        <v>20</v>
      </c>
      <c r="G652">
        <f t="shared" si="30"/>
        <v>9720</v>
      </c>
      <c r="H652">
        <v>12</v>
      </c>
      <c r="I652">
        <f t="shared" si="31"/>
        <v>5832</v>
      </c>
      <c r="J652">
        <f t="shared" si="32"/>
        <v>3888</v>
      </c>
      <c r="K652" t="s">
        <v>24</v>
      </c>
      <c r="L652" t="s">
        <v>25</v>
      </c>
      <c r="M652" t="s">
        <v>37</v>
      </c>
      <c r="N652" t="s">
        <v>43</v>
      </c>
      <c r="O652">
        <v>973</v>
      </c>
      <c r="P652">
        <v>486</v>
      </c>
      <c r="Q652" t="s">
        <v>90</v>
      </c>
      <c r="R652" t="s">
        <v>55</v>
      </c>
      <c r="S652" t="s">
        <v>85</v>
      </c>
      <c r="T652">
        <v>2021</v>
      </c>
      <c r="U652" t="s">
        <v>57</v>
      </c>
    </row>
    <row r="653" spans="1:21" x14ac:dyDescent="0.35">
      <c r="A653" s="1">
        <v>45243</v>
      </c>
      <c r="B653" t="s">
        <v>58</v>
      </c>
      <c r="C653" t="s">
        <v>59</v>
      </c>
      <c r="D653" t="s">
        <v>60</v>
      </c>
      <c r="E653">
        <v>292</v>
      </c>
      <c r="F653">
        <v>5</v>
      </c>
      <c r="G653">
        <f t="shared" si="30"/>
        <v>1460</v>
      </c>
      <c r="H653">
        <v>3</v>
      </c>
      <c r="I653">
        <f t="shared" si="31"/>
        <v>876</v>
      </c>
      <c r="J653">
        <f t="shared" si="32"/>
        <v>584</v>
      </c>
      <c r="K653" t="s">
        <v>24</v>
      </c>
      <c r="L653" t="s">
        <v>63</v>
      </c>
      <c r="M653" t="s">
        <v>26</v>
      </c>
      <c r="N653" t="s">
        <v>27</v>
      </c>
      <c r="O653">
        <v>699</v>
      </c>
      <c r="P653">
        <v>292</v>
      </c>
      <c r="Q653" t="s">
        <v>113</v>
      </c>
      <c r="R653" t="s">
        <v>114</v>
      </c>
      <c r="S653" t="s">
        <v>115</v>
      </c>
      <c r="T653">
        <v>2024</v>
      </c>
      <c r="U653" t="s">
        <v>109</v>
      </c>
    </row>
    <row r="654" spans="1:21" x14ac:dyDescent="0.35">
      <c r="A654" s="1">
        <v>45244</v>
      </c>
      <c r="B654" t="s">
        <v>58</v>
      </c>
      <c r="C654" t="s">
        <v>59</v>
      </c>
      <c r="D654" t="s">
        <v>60</v>
      </c>
      <c r="E654">
        <v>293</v>
      </c>
      <c r="F654">
        <v>5</v>
      </c>
      <c r="G654">
        <f t="shared" si="30"/>
        <v>1465</v>
      </c>
      <c r="H654">
        <v>3</v>
      </c>
      <c r="I654">
        <f t="shared" si="31"/>
        <v>879</v>
      </c>
      <c r="J654">
        <f t="shared" si="32"/>
        <v>586</v>
      </c>
      <c r="K654" t="s">
        <v>24</v>
      </c>
      <c r="L654" t="s">
        <v>25</v>
      </c>
      <c r="M654" t="s">
        <v>61</v>
      </c>
      <c r="N654" t="s">
        <v>27</v>
      </c>
      <c r="O654">
        <v>993</v>
      </c>
      <c r="P654">
        <v>293</v>
      </c>
      <c r="Q654" t="s">
        <v>64</v>
      </c>
      <c r="R654" t="s">
        <v>29</v>
      </c>
      <c r="S654" t="s">
        <v>65</v>
      </c>
      <c r="T654">
        <v>2024</v>
      </c>
      <c r="U654" t="s">
        <v>91</v>
      </c>
    </row>
    <row r="655" spans="1:21" x14ac:dyDescent="0.35">
      <c r="A655" s="1">
        <v>45245</v>
      </c>
      <c r="B655" t="s">
        <v>48</v>
      </c>
      <c r="C655" t="s">
        <v>49</v>
      </c>
      <c r="D655" t="s">
        <v>50</v>
      </c>
      <c r="E655">
        <v>344</v>
      </c>
      <c r="F655">
        <v>150</v>
      </c>
      <c r="G655">
        <f t="shared" si="30"/>
        <v>51600</v>
      </c>
      <c r="H655">
        <v>100</v>
      </c>
      <c r="I655">
        <f t="shared" si="31"/>
        <v>34400</v>
      </c>
      <c r="J655">
        <f t="shared" si="32"/>
        <v>17200</v>
      </c>
      <c r="K655" t="s">
        <v>24</v>
      </c>
      <c r="L655" t="s">
        <v>73</v>
      </c>
      <c r="M655" t="s">
        <v>26</v>
      </c>
      <c r="N655" t="s">
        <v>27</v>
      </c>
      <c r="O655">
        <v>514</v>
      </c>
      <c r="P655">
        <v>344</v>
      </c>
      <c r="Q655" t="s">
        <v>113</v>
      </c>
      <c r="R655" t="s">
        <v>114</v>
      </c>
      <c r="S655" t="s">
        <v>115</v>
      </c>
      <c r="T655">
        <v>2024</v>
      </c>
      <c r="U655" t="s">
        <v>109</v>
      </c>
    </row>
    <row r="656" spans="1:21" x14ac:dyDescent="0.35">
      <c r="A656" s="1">
        <v>45246</v>
      </c>
      <c r="B656" t="s">
        <v>32</v>
      </c>
      <c r="C656" t="s">
        <v>33</v>
      </c>
      <c r="D656" t="s">
        <v>34</v>
      </c>
      <c r="E656">
        <v>358</v>
      </c>
      <c r="F656">
        <v>20</v>
      </c>
      <c r="G656">
        <f t="shared" si="30"/>
        <v>7160</v>
      </c>
      <c r="H656">
        <v>12</v>
      </c>
      <c r="I656">
        <f t="shared" si="31"/>
        <v>4296</v>
      </c>
      <c r="J656">
        <f t="shared" si="32"/>
        <v>2864</v>
      </c>
      <c r="K656" t="s">
        <v>42</v>
      </c>
      <c r="L656" t="s">
        <v>63</v>
      </c>
      <c r="M656" t="s">
        <v>37</v>
      </c>
      <c r="N656" t="s">
        <v>27</v>
      </c>
      <c r="O656">
        <v>963</v>
      </c>
      <c r="P656">
        <v>358</v>
      </c>
      <c r="Q656" t="s">
        <v>113</v>
      </c>
      <c r="R656" t="s">
        <v>114</v>
      </c>
      <c r="S656" t="s">
        <v>115</v>
      </c>
      <c r="T656">
        <v>2021</v>
      </c>
      <c r="U656" t="s">
        <v>91</v>
      </c>
    </row>
    <row r="657" spans="1:21" x14ac:dyDescent="0.35">
      <c r="A657" s="1">
        <v>45247</v>
      </c>
      <c r="B657" t="s">
        <v>80</v>
      </c>
      <c r="C657" t="s">
        <v>81</v>
      </c>
      <c r="D657" t="s">
        <v>82</v>
      </c>
      <c r="E657">
        <v>324</v>
      </c>
      <c r="F657">
        <v>2.5</v>
      </c>
      <c r="G657">
        <f t="shared" si="30"/>
        <v>810</v>
      </c>
      <c r="H657">
        <v>1.5</v>
      </c>
      <c r="I657">
        <f t="shared" si="31"/>
        <v>486</v>
      </c>
      <c r="J657">
        <f t="shared" si="32"/>
        <v>324</v>
      </c>
      <c r="K657" t="s">
        <v>35</v>
      </c>
      <c r="L657" t="s">
        <v>73</v>
      </c>
      <c r="M657" t="s">
        <v>61</v>
      </c>
      <c r="N657" t="s">
        <v>27</v>
      </c>
      <c r="O657">
        <v>953</v>
      </c>
      <c r="P657">
        <v>324</v>
      </c>
      <c r="Q657" t="s">
        <v>70</v>
      </c>
      <c r="R657" t="s">
        <v>71</v>
      </c>
      <c r="S657" t="s">
        <v>72</v>
      </c>
      <c r="T657">
        <v>2021</v>
      </c>
      <c r="U657" t="s">
        <v>86</v>
      </c>
    </row>
    <row r="658" spans="1:21" x14ac:dyDescent="0.35">
      <c r="A658" s="1">
        <v>45248</v>
      </c>
      <c r="B658" t="s">
        <v>58</v>
      </c>
      <c r="C658" t="s">
        <v>59</v>
      </c>
      <c r="D658" t="s">
        <v>60</v>
      </c>
      <c r="E658">
        <v>282</v>
      </c>
      <c r="F658">
        <v>5</v>
      </c>
      <c r="G658">
        <f t="shared" si="30"/>
        <v>1410</v>
      </c>
      <c r="H658">
        <v>3</v>
      </c>
      <c r="I658">
        <f t="shared" si="31"/>
        <v>846</v>
      </c>
      <c r="J658">
        <f t="shared" si="32"/>
        <v>564</v>
      </c>
      <c r="K658" t="s">
        <v>35</v>
      </c>
      <c r="L658" t="s">
        <v>36</v>
      </c>
      <c r="M658" t="s">
        <v>61</v>
      </c>
      <c r="N658" t="s">
        <v>38</v>
      </c>
      <c r="O658">
        <v>642</v>
      </c>
      <c r="P658">
        <v>282</v>
      </c>
      <c r="Q658" t="s">
        <v>87</v>
      </c>
      <c r="R658" t="s">
        <v>88</v>
      </c>
      <c r="S658" t="s">
        <v>89</v>
      </c>
      <c r="T658">
        <v>2023</v>
      </c>
      <c r="U658" t="s">
        <v>57</v>
      </c>
    </row>
    <row r="659" spans="1:21" x14ac:dyDescent="0.35">
      <c r="A659" s="1">
        <v>45249</v>
      </c>
      <c r="B659" t="s">
        <v>80</v>
      </c>
      <c r="C659" t="s">
        <v>81</v>
      </c>
      <c r="D659" t="s">
        <v>82</v>
      </c>
      <c r="E659">
        <v>156</v>
      </c>
      <c r="F659">
        <v>2.5</v>
      </c>
      <c r="G659">
        <f t="shared" si="30"/>
        <v>390</v>
      </c>
      <c r="H659">
        <v>1.5</v>
      </c>
      <c r="I659">
        <f t="shared" si="31"/>
        <v>234</v>
      </c>
      <c r="J659">
        <f t="shared" si="32"/>
        <v>156</v>
      </c>
      <c r="K659" t="s">
        <v>24</v>
      </c>
      <c r="L659" t="s">
        <v>73</v>
      </c>
      <c r="M659" t="s">
        <v>37</v>
      </c>
      <c r="N659" t="s">
        <v>43</v>
      </c>
      <c r="O659">
        <v>900</v>
      </c>
      <c r="P659">
        <v>156</v>
      </c>
      <c r="Q659" t="s">
        <v>94</v>
      </c>
      <c r="R659" t="s">
        <v>75</v>
      </c>
      <c r="S659" t="s">
        <v>95</v>
      </c>
      <c r="T659">
        <v>2021</v>
      </c>
      <c r="U659" t="s">
        <v>86</v>
      </c>
    </row>
    <row r="660" spans="1:21" x14ac:dyDescent="0.35">
      <c r="A660" s="1">
        <v>45250</v>
      </c>
      <c r="B660" t="s">
        <v>48</v>
      </c>
      <c r="C660" t="s">
        <v>49</v>
      </c>
      <c r="D660" t="s">
        <v>50</v>
      </c>
      <c r="E660">
        <v>467</v>
      </c>
      <c r="F660">
        <v>150</v>
      </c>
      <c r="G660">
        <f t="shared" si="30"/>
        <v>70050</v>
      </c>
      <c r="H660">
        <v>100</v>
      </c>
      <c r="I660">
        <f t="shared" si="31"/>
        <v>46700</v>
      </c>
      <c r="J660">
        <f t="shared" si="32"/>
        <v>23350</v>
      </c>
      <c r="K660" t="s">
        <v>42</v>
      </c>
      <c r="L660" t="s">
        <v>73</v>
      </c>
      <c r="M660" t="s">
        <v>61</v>
      </c>
      <c r="N660" t="s">
        <v>43</v>
      </c>
      <c r="O660">
        <v>921</v>
      </c>
      <c r="P660">
        <v>467</v>
      </c>
      <c r="Q660" t="s">
        <v>87</v>
      </c>
      <c r="R660" t="s">
        <v>88</v>
      </c>
      <c r="S660" t="s">
        <v>89</v>
      </c>
      <c r="T660">
        <v>2023</v>
      </c>
      <c r="U660" t="s">
        <v>62</v>
      </c>
    </row>
    <row r="661" spans="1:21" x14ac:dyDescent="0.35">
      <c r="A661" s="1">
        <v>45251</v>
      </c>
      <c r="B661" t="s">
        <v>80</v>
      </c>
      <c r="C661" t="s">
        <v>81</v>
      </c>
      <c r="D661" t="s">
        <v>82</v>
      </c>
      <c r="E661">
        <v>42</v>
      </c>
      <c r="F661">
        <v>2.5</v>
      </c>
      <c r="G661">
        <f t="shared" si="30"/>
        <v>105</v>
      </c>
      <c r="H661">
        <v>1.5</v>
      </c>
      <c r="I661">
        <f t="shared" si="31"/>
        <v>63</v>
      </c>
      <c r="J661">
        <f t="shared" si="32"/>
        <v>42</v>
      </c>
      <c r="K661" t="s">
        <v>35</v>
      </c>
      <c r="L661" t="s">
        <v>25</v>
      </c>
      <c r="M661" t="s">
        <v>61</v>
      </c>
      <c r="N661" t="s">
        <v>38</v>
      </c>
      <c r="O661">
        <v>976</v>
      </c>
      <c r="P661">
        <v>42</v>
      </c>
      <c r="Q661" t="s">
        <v>83</v>
      </c>
      <c r="R661" t="s">
        <v>84</v>
      </c>
      <c r="S661" t="s">
        <v>85</v>
      </c>
      <c r="T661">
        <v>2021</v>
      </c>
      <c r="U661" t="s">
        <v>97</v>
      </c>
    </row>
    <row r="662" spans="1:21" x14ac:dyDescent="0.35">
      <c r="A662" s="1">
        <v>45252</v>
      </c>
      <c r="B662" t="s">
        <v>48</v>
      </c>
      <c r="C662" t="s">
        <v>49</v>
      </c>
      <c r="D662" t="s">
        <v>50</v>
      </c>
      <c r="E662">
        <v>34</v>
      </c>
      <c r="F662">
        <v>150</v>
      </c>
      <c r="G662">
        <f t="shared" si="30"/>
        <v>5100</v>
      </c>
      <c r="H662">
        <v>100</v>
      </c>
      <c r="I662">
        <f t="shared" si="31"/>
        <v>3400</v>
      </c>
      <c r="J662">
        <f t="shared" si="32"/>
        <v>1700</v>
      </c>
      <c r="K662" t="s">
        <v>24</v>
      </c>
      <c r="L662" t="s">
        <v>73</v>
      </c>
      <c r="M662" t="s">
        <v>61</v>
      </c>
      <c r="N662" t="s">
        <v>27</v>
      </c>
      <c r="O662">
        <v>947</v>
      </c>
      <c r="P662">
        <v>34</v>
      </c>
      <c r="Q662" t="s">
        <v>103</v>
      </c>
      <c r="R662" t="s">
        <v>68</v>
      </c>
      <c r="S662" t="s">
        <v>104</v>
      </c>
      <c r="T662">
        <v>2022</v>
      </c>
      <c r="U662" t="s">
        <v>109</v>
      </c>
    </row>
    <row r="663" spans="1:21" x14ac:dyDescent="0.35">
      <c r="A663" s="1">
        <v>45253</v>
      </c>
      <c r="B663" t="s">
        <v>21</v>
      </c>
      <c r="C663" t="s">
        <v>22</v>
      </c>
      <c r="D663" t="s">
        <v>23</v>
      </c>
      <c r="E663">
        <v>418</v>
      </c>
      <c r="F663">
        <v>8</v>
      </c>
      <c r="G663">
        <f t="shared" si="30"/>
        <v>3344</v>
      </c>
      <c r="H663">
        <v>5</v>
      </c>
      <c r="I663">
        <f t="shared" si="31"/>
        <v>2090</v>
      </c>
      <c r="J663">
        <f t="shared" si="32"/>
        <v>1254</v>
      </c>
      <c r="K663" t="s">
        <v>42</v>
      </c>
      <c r="L663" t="s">
        <v>36</v>
      </c>
      <c r="M663" t="s">
        <v>61</v>
      </c>
      <c r="N663" t="s">
        <v>43</v>
      </c>
      <c r="O663">
        <v>793</v>
      </c>
      <c r="P663">
        <v>418</v>
      </c>
      <c r="Q663" t="s">
        <v>101</v>
      </c>
      <c r="R663" t="s">
        <v>101</v>
      </c>
      <c r="S663" t="s">
        <v>102</v>
      </c>
      <c r="T663">
        <v>2021</v>
      </c>
      <c r="U663" t="s">
        <v>31</v>
      </c>
    </row>
    <row r="664" spans="1:21" x14ac:dyDescent="0.35">
      <c r="A664" s="1">
        <v>45254</v>
      </c>
      <c r="B664" t="s">
        <v>80</v>
      </c>
      <c r="C664" t="s">
        <v>81</v>
      </c>
      <c r="D664" t="s">
        <v>82</v>
      </c>
      <c r="E664">
        <v>209</v>
      </c>
      <c r="F664">
        <v>2.5</v>
      </c>
      <c r="G664">
        <f t="shared" si="30"/>
        <v>522.5</v>
      </c>
      <c r="H664">
        <v>1.5</v>
      </c>
      <c r="I664">
        <f t="shared" si="31"/>
        <v>313.5</v>
      </c>
      <c r="J664">
        <f t="shared" si="32"/>
        <v>209</v>
      </c>
      <c r="K664" t="s">
        <v>42</v>
      </c>
      <c r="L664" t="s">
        <v>63</v>
      </c>
      <c r="M664" t="s">
        <v>26</v>
      </c>
      <c r="N664" t="s">
        <v>43</v>
      </c>
      <c r="O664">
        <v>803</v>
      </c>
      <c r="P664">
        <v>209</v>
      </c>
      <c r="Q664" t="s">
        <v>51</v>
      </c>
      <c r="R664" t="s">
        <v>45</v>
      </c>
      <c r="S664" t="s">
        <v>52</v>
      </c>
      <c r="T664">
        <v>2024</v>
      </c>
      <c r="U664" t="s">
        <v>97</v>
      </c>
    </row>
    <row r="665" spans="1:21" x14ac:dyDescent="0.35">
      <c r="A665" s="1">
        <v>45255</v>
      </c>
      <c r="B665" t="s">
        <v>98</v>
      </c>
      <c r="C665" t="s">
        <v>99</v>
      </c>
      <c r="D665" t="s">
        <v>100</v>
      </c>
      <c r="E665">
        <v>117</v>
      </c>
      <c r="F665">
        <v>6</v>
      </c>
      <c r="G665">
        <f t="shared" si="30"/>
        <v>702</v>
      </c>
      <c r="H665">
        <v>4</v>
      </c>
      <c r="I665">
        <f t="shared" si="31"/>
        <v>468</v>
      </c>
      <c r="J665">
        <f t="shared" si="32"/>
        <v>234</v>
      </c>
      <c r="K665" t="s">
        <v>42</v>
      </c>
      <c r="L665" t="s">
        <v>73</v>
      </c>
      <c r="M665" t="s">
        <v>26</v>
      </c>
      <c r="N665" t="s">
        <v>38</v>
      </c>
      <c r="O665">
        <v>756</v>
      </c>
      <c r="P665">
        <v>117</v>
      </c>
      <c r="Q665" t="s">
        <v>103</v>
      </c>
      <c r="R665" t="s">
        <v>68</v>
      </c>
      <c r="S665" t="s">
        <v>104</v>
      </c>
      <c r="T665">
        <v>2024</v>
      </c>
      <c r="U665" t="s">
        <v>105</v>
      </c>
    </row>
    <row r="666" spans="1:21" x14ac:dyDescent="0.35">
      <c r="A666" s="1">
        <v>45256</v>
      </c>
      <c r="B666" t="s">
        <v>98</v>
      </c>
      <c r="C666" t="s">
        <v>99</v>
      </c>
      <c r="D666" t="s">
        <v>100</v>
      </c>
      <c r="E666">
        <v>335</v>
      </c>
      <c r="F666">
        <v>6</v>
      </c>
      <c r="G666">
        <f t="shared" si="30"/>
        <v>2010</v>
      </c>
      <c r="H666">
        <v>4</v>
      </c>
      <c r="I666">
        <f t="shared" si="31"/>
        <v>1340</v>
      </c>
      <c r="J666">
        <f t="shared" si="32"/>
        <v>670</v>
      </c>
      <c r="K666" t="s">
        <v>35</v>
      </c>
      <c r="L666" t="s">
        <v>73</v>
      </c>
      <c r="M666" t="s">
        <v>61</v>
      </c>
      <c r="N666" t="s">
        <v>43</v>
      </c>
      <c r="O666">
        <v>691</v>
      </c>
      <c r="P666">
        <v>335</v>
      </c>
      <c r="Q666" t="s">
        <v>74</v>
      </c>
      <c r="R666" t="s">
        <v>75</v>
      </c>
      <c r="S666" t="s">
        <v>76</v>
      </c>
      <c r="T666">
        <v>2023</v>
      </c>
      <c r="U666" t="s">
        <v>97</v>
      </c>
    </row>
    <row r="667" spans="1:21" x14ac:dyDescent="0.35">
      <c r="A667" s="1">
        <v>45257</v>
      </c>
      <c r="B667" t="s">
        <v>48</v>
      </c>
      <c r="C667" t="s">
        <v>49</v>
      </c>
      <c r="D667" t="s">
        <v>50</v>
      </c>
      <c r="E667">
        <v>256</v>
      </c>
      <c r="F667">
        <v>150</v>
      </c>
      <c r="G667">
        <f t="shared" si="30"/>
        <v>38400</v>
      </c>
      <c r="H667">
        <v>100</v>
      </c>
      <c r="I667">
        <f t="shared" si="31"/>
        <v>25600</v>
      </c>
      <c r="J667">
        <f t="shared" si="32"/>
        <v>12800</v>
      </c>
      <c r="K667" t="s">
        <v>24</v>
      </c>
      <c r="L667" t="s">
        <v>25</v>
      </c>
      <c r="M667" t="s">
        <v>61</v>
      </c>
      <c r="N667" t="s">
        <v>43</v>
      </c>
      <c r="O667">
        <v>653</v>
      </c>
      <c r="P667">
        <v>256</v>
      </c>
      <c r="Q667" t="s">
        <v>92</v>
      </c>
      <c r="R667" t="s">
        <v>45</v>
      </c>
      <c r="S667" t="s">
        <v>93</v>
      </c>
      <c r="T667">
        <v>2023</v>
      </c>
      <c r="U667" t="s">
        <v>86</v>
      </c>
    </row>
    <row r="668" spans="1:21" x14ac:dyDescent="0.35">
      <c r="A668" s="1">
        <v>45258</v>
      </c>
      <c r="B668" t="s">
        <v>80</v>
      </c>
      <c r="C668" t="s">
        <v>81</v>
      </c>
      <c r="D668" t="s">
        <v>82</v>
      </c>
      <c r="E668">
        <v>192</v>
      </c>
      <c r="F668">
        <v>2.5</v>
      </c>
      <c r="G668">
        <f t="shared" si="30"/>
        <v>480</v>
      </c>
      <c r="H668">
        <v>1.5</v>
      </c>
      <c r="I668">
        <f t="shared" si="31"/>
        <v>288</v>
      </c>
      <c r="J668">
        <f t="shared" si="32"/>
        <v>192</v>
      </c>
      <c r="K668" t="s">
        <v>35</v>
      </c>
      <c r="L668" t="s">
        <v>36</v>
      </c>
      <c r="M668" t="s">
        <v>26</v>
      </c>
      <c r="N668" t="s">
        <v>43</v>
      </c>
      <c r="O668">
        <v>888</v>
      </c>
      <c r="P668">
        <v>192</v>
      </c>
      <c r="Q668" t="s">
        <v>87</v>
      </c>
      <c r="R668" t="s">
        <v>88</v>
      </c>
      <c r="S668" t="s">
        <v>89</v>
      </c>
      <c r="T668">
        <v>2021</v>
      </c>
      <c r="U668" t="s">
        <v>105</v>
      </c>
    </row>
    <row r="669" spans="1:21" x14ac:dyDescent="0.35">
      <c r="A669" s="1">
        <v>45259</v>
      </c>
      <c r="B669" t="s">
        <v>80</v>
      </c>
      <c r="C669" t="s">
        <v>81</v>
      </c>
      <c r="D669" t="s">
        <v>82</v>
      </c>
      <c r="E669">
        <v>177</v>
      </c>
      <c r="F669">
        <v>2.5</v>
      </c>
      <c r="G669">
        <f t="shared" si="30"/>
        <v>442.5</v>
      </c>
      <c r="H669">
        <v>1.5</v>
      </c>
      <c r="I669">
        <f t="shared" si="31"/>
        <v>265.5</v>
      </c>
      <c r="J669">
        <f t="shared" si="32"/>
        <v>177</v>
      </c>
      <c r="K669" t="s">
        <v>24</v>
      </c>
      <c r="L669" t="s">
        <v>73</v>
      </c>
      <c r="M669" t="s">
        <v>26</v>
      </c>
      <c r="N669" t="s">
        <v>38</v>
      </c>
      <c r="O669">
        <v>972</v>
      </c>
      <c r="P669">
        <v>177</v>
      </c>
      <c r="Q669" t="s">
        <v>67</v>
      </c>
      <c r="R669" t="s">
        <v>68</v>
      </c>
      <c r="S669" t="s">
        <v>69</v>
      </c>
      <c r="T669">
        <v>2023</v>
      </c>
      <c r="U669" t="s">
        <v>66</v>
      </c>
    </row>
    <row r="670" spans="1:21" x14ac:dyDescent="0.35">
      <c r="A670" s="1">
        <v>45260</v>
      </c>
      <c r="B670" t="s">
        <v>48</v>
      </c>
      <c r="C670" t="s">
        <v>49</v>
      </c>
      <c r="D670" t="s">
        <v>50</v>
      </c>
      <c r="E670">
        <v>334</v>
      </c>
      <c r="F670">
        <v>150</v>
      </c>
      <c r="G670">
        <f t="shared" si="30"/>
        <v>50100</v>
      </c>
      <c r="H670">
        <v>100</v>
      </c>
      <c r="I670">
        <f t="shared" si="31"/>
        <v>33400</v>
      </c>
      <c r="J670">
        <f t="shared" si="32"/>
        <v>16700</v>
      </c>
      <c r="K670" t="s">
        <v>42</v>
      </c>
      <c r="L670" t="s">
        <v>73</v>
      </c>
      <c r="M670" t="s">
        <v>26</v>
      </c>
      <c r="N670" t="s">
        <v>43</v>
      </c>
      <c r="O670">
        <v>595</v>
      </c>
      <c r="P670">
        <v>334</v>
      </c>
      <c r="Q670" t="s">
        <v>54</v>
      </c>
      <c r="R670" t="s">
        <v>55</v>
      </c>
      <c r="S670" t="s">
        <v>56</v>
      </c>
      <c r="T670">
        <v>2021</v>
      </c>
      <c r="U670" t="s">
        <v>91</v>
      </c>
    </row>
    <row r="671" spans="1:21" x14ac:dyDescent="0.35">
      <c r="A671" s="1">
        <v>45261</v>
      </c>
      <c r="B671" t="s">
        <v>80</v>
      </c>
      <c r="C671" t="s">
        <v>81</v>
      </c>
      <c r="D671" t="s">
        <v>82</v>
      </c>
      <c r="E671">
        <v>488</v>
      </c>
      <c r="F671">
        <v>2.5</v>
      </c>
      <c r="G671">
        <f t="shared" si="30"/>
        <v>1220</v>
      </c>
      <c r="H671">
        <v>1.5</v>
      </c>
      <c r="I671">
        <f t="shared" si="31"/>
        <v>732</v>
      </c>
      <c r="J671">
        <f t="shared" si="32"/>
        <v>488</v>
      </c>
      <c r="K671" t="s">
        <v>42</v>
      </c>
      <c r="L671" t="s">
        <v>36</v>
      </c>
      <c r="M671" t="s">
        <v>26</v>
      </c>
      <c r="N671" t="s">
        <v>38</v>
      </c>
      <c r="O671">
        <v>794</v>
      </c>
      <c r="P671">
        <v>488</v>
      </c>
      <c r="Q671" t="s">
        <v>113</v>
      </c>
      <c r="R671" t="s">
        <v>114</v>
      </c>
      <c r="S671" t="s">
        <v>115</v>
      </c>
      <c r="T671">
        <v>2021</v>
      </c>
      <c r="U671" t="s">
        <v>57</v>
      </c>
    </row>
    <row r="672" spans="1:21" x14ac:dyDescent="0.35">
      <c r="A672" s="1">
        <v>45262</v>
      </c>
      <c r="B672" t="s">
        <v>21</v>
      </c>
      <c r="C672" t="s">
        <v>22</v>
      </c>
      <c r="D672" t="s">
        <v>23</v>
      </c>
      <c r="E672">
        <v>238</v>
      </c>
      <c r="F672">
        <v>8</v>
      </c>
      <c r="G672">
        <f t="shared" si="30"/>
        <v>1904</v>
      </c>
      <c r="H672">
        <v>5</v>
      </c>
      <c r="I672">
        <f t="shared" si="31"/>
        <v>1190</v>
      </c>
      <c r="J672">
        <f t="shared" si="32"/>
        <v>714</v>
      </c>
      <c r="K672" t="s">
        <v>24</v>
      </c>
      <c r="L672" t="s">
        <v>73</v>
      </c>
      <c r="M672" t="s">
        <v>37</v>
      </c>
      <c r="N672" t="s">
        <v>27</v>
      </c>
      <c r="O672">
        <v>988</v>
      </c>
      <c r="P672">
        <v>238</v>
      </c>
      <c r="Q672" t="s">
        <v>90</v>
      </c>
      <c r="R672" t="s">
        <v>55</v>
      </c>
      <c r="S672" t="s">
        <v>85</v>
      </c>
      <c r="T672">
        <v>2020</v>
      </c>
      <c r="U672" t="s">
        <v>62</v>
      </c>
    </row>
    <row r="673" spans="1:21" x14ac:dyDescent="0.35">
      <c r="A673" s="1">
        <v>45263</v>
      </c>
      <c r="B673" t="s">
        <v>98</v>
      </c>
      <c r="C673" t="s">
        <v>99</v>
      </c>
      <c r="D673" t="s">
        <v>100</v>
      </c>
      <c r="E673">
        <v>447</v>
      </c>
      <c r="F673">
        <v>6</v>
      </c>
      <c r="G673">
        <f t="shared" si="30"/>
        <v>2682</v>
      </c>
      <c r="H673">
        <v>4</v>
      </c>
      <c r="I673">
        <f t="shared" si="31"/>
        <v>1788</v>
      </c>
      <c r="J673">
        <f t="shared" si="32"/>
        <v>894</v>
      </c>
      <c r="K673" t="s">
        <v>42</v>
      </c>
      <c r="L673" t="s">
        <v>36</v>
      </c>
      <c r="M673" t="s">
        <v>61</v>
      </c>
      <c r="N673" t="s">
        <v>43</v>
      </c>
      <c r="O673">
        <v>579</v>
      </c>
      <c r="P673">
        <v>447</v>
      </c>
      <c r="Q673" t="s">
        <v>67</v>
      </c>
      <c r="R673" t="s">
        <v>68</v>
      </c>
      <c r="S673" t="s">
        <v>69</v>
      </c>
      <c r="T673">
        <v>2020</v>
      </c>
      <c r="U673" t="s">
        <v>105</v>
      </c>
    </row>
    <row r="674" spans="1:21" x14ac:dyDescent="0.35">
      <c r="A674" s="1">
        <v>45264</v>
      </c>
      <c r="B674" t="s">
        <v>98</v>
      </c>
      <c r="C674" t="s">
        <v>99</v>
      </c>
      <c r="D674" t="s">
        <v>100</v>
      </c>
      <c r="E674">
        <v>173</v>
      </c>
      <c r="F674">
        <v>6</v>
      </c>
      <c r="G674">
        <f t="shared" si="30"/>
        <v>1038</v>
      </c>
      <c r="H674">
        <v>4</v>
      </c>
      <c r="I674">
        <f t="shared" si="31"/>
        <v>692</v>
      </c>
      <c r="J674">
        <f t="shared" si="32"/>
        <v>346</v>
      </c>
      <c r="K674" t="s">
        <v>24</v>
      </c>
      <c r="L674" t="s">
        <v>25</v>
      </c>
      <c r="M674" t="s">
        <v>26</v>
      </c>
      <c r="N674" t="s">
        <v>27</v>
      </c>
      <c r="O674">
        <v>598</v>
      </c>
      <c r="P674">
        <v>173</v>
      </c>
      <c r="Q674" t="s">
        <v>74</v>
      </c>
      <c r="R674" t="s">
        <v>75</v>
      </c>
      <c r="S674" t="s">
        <v>76</v>
      </c>
      <c r="T674">
        <v>2021</v>
      </c>
      <c r="U674" t="s">
        <v>109</v>
      </c>
    </row>
    <row r="675" spans="1:21" x14ac:dyDescent="0.35">
      <c r="A675" s="1">
        <v>45265</v>
      </c>
      <c r="B675" t="s">
        <v>80</v>
      </c>
      <c r="C675" t="s">
        <v>81</v>
      </c>
      <c r="D675" t="s">
        <v>82</v>
      </c>
      <c r="E675">
        <v>110</v>
      </c>
      <c r="F675">
        <v>2.5</v>
      </c>
      <c r="G675">
        <f t="shared" si="30"/>
        <v>275</v>
      </c>
      <c r="H675">
        <v>1.5</v>
      </c>
      <c r="I675">
        <f t="shared" si="31"/>
        <v>165</v>
      </c>
      <c r="J675">
        <f t="shared" si="32"/>
        <v>110</v>
      </c>
      <c r="K675" t="s">
        <v>35</v>
      </c>
      <c r="L675" t="s">
        <v>25</v>
      </c>
      <c r="M675" t="s">
        <v>26</v>
      </c>
      <c r="N675" t="s">
        <v>43</v>
      </c>
      <c r="O675">
        <v>581</v>
      </c>
      <c r="P675">
        <v>110</v>
      </c>
      <c r="Q675" t="s">
        <v>51</v>
      </c>
      <c r="R675" t="s">
        <v>45</v>
      </c>
      <c r="S675" t="s">
        <v>52</v>
      </c>
      <c r="T675">
        <v>2020</v>
      </c>
      <c r="U675" t="s">
        <v>109</v>
      </c>
    </row>
    <row r="676" spans="1:21" x14ac:dyDescent="0.35">
      <c r="A676" s="1">
        <v>45266</v>
      </c>
      <c r="B676" t="s">
        <v>98</v>
      </c>
      <c r="C676" t="s">
        <v>99</v>
      </c>
      <c r="D676" t="s">
        <v>100</v>
      </c>
      <c r="E676">
        <v>174</v>
      </c>
      <c r="F676">
        <v>6</v>
      </c>
      <c r="G676">
        <f t="shared" si="30"/>
        <v>1044</v>
      </c>
      <c r="H676">
        <v>4</v>
      </c>
      <c r="I676">
        <f t="shared" si="31"/>
        <v>696</v>
      </c>
      <c r="J676">
        <f t="shared" si="32"/>
        <v>348</v>
      </c>
      <c r="K676" t="s">
        <v>42</v>
      </c>
      <c r="L676" t="s">
        <v>63</v>
      </c>
      <c r="M676" t="s">
        <v>26</v>
      </c>
      <c r="N676" t="s">
        <v>38</v>
      </c>
      <c r="O676">
        <v>676</v>
      </c>
      <c r="P676">
        <v>174</v>
      </c>
      <c r="Q676" t="s">
        <v>67</v>
      </c>
      <c r="R676" t="s">
        <v>68</v>
      </c>
      <c r="S676" t="s">
        <v>69</v>
      </c>
      <c r="T676">
        <v>2020</v>
      </c>
      <c r="U676" t="s">
        <v>47</v>
      </c>
    </row>
    <row r="677" spans="1:21" x14ac:dyDescent="0.35">
      <c r="A677" s="1">
        <v>45267</v>
      </c>
      <c r="B677" t="s">
        <v>32</v>
      </c>
      <c r="C677" t="s">
        <v>33</v>
      </c>
      <c r="D677" t="s">
        <v>34</v>
      </c>
      <c r="E677">
        <v>261</v>
      </c>
      <c r="F677">
        <v>20</v>
      </c>
      <c r="G677">
        <f t="shared" si="30"/>
        <v>5220</v>
      </c>
      <c r="H677">
        <v>12</v>
      </c>
      <c r="I677">
        <f t="shared" si="31"/>
        <v>3132</v>
      </c>
      <c r="J677">
        <f t="shared" si="32"/>
        <v>2088</v>
      </c>
      <c r="K677" t="s">
        <v>35</v>
      </c>
      <c r="L677" t="s">
        <v>73</v>
      </c>
      <c r="M677" t="s">
        <v>37</v>
      </c>
      <c r="N677" t="s">
        <v>43</v>
      </c>
      <c r="O677">
        <v>976</v>
      </c>
      <c r="P677">
        <v>261</v>
      </c>
      <c r="Q677" t="s">
        <v>64</v>
      </c>
      <c r="R677" t="s">
        <v>29</v>
      </c>
      <c r="S677" t="s">
        <v>65</v>
      </c>
      <c r="T677">
        <v>2022</v>
      </c>
      <c r="U677" t="s">
        <v>62</v>
      </c>
    </row>
    <row r="678" spans="1:21" x14ac:dyDescent="0.35">
      <c r="A678" s="1">
        <v>45268</v>
      </c>
      <c r="B678" t="s">
        <v>58</v>
      </c>
      <c r="C678" t="s">
        <v>59</v>
      </c>
      <c r="D678" t="s">
        <v>60</v>
      </c>
      <c r="E678">
        <v>404</v>
      </c>
      <c r="F678">
        <v>5</v>
      </c>
      <c r="G678">
        <f t="shared" si="30"/>
        <v>2020</v>
      </c>
      <c r="H678">
        <v>3</v>
      </c>
      <c r="I678">
        <f t="shared" si="31"/>
        <v>1212</v>
      </c>
      <c r="J678">
        <f t="shared" si="32"/>
        <v>808</v>
      </c>
      <c r="K678" t="s">
        <v>35</v>
      </c>
      <c r="L678" t="s">
        <v>25</v>
      </c>
      <c r="M678" t="s">
        <v>61</v>
      </c>
      <c r="N678" t="s">
        <v>27</v>
      </c>
      <c r="O678">
        <v>846</v>
      </c>
      <c r="P678">
        <v>404</v>
      </c>
      <c r="Q678" t="s">
        <v>54</v>
      </c>
      <c r="R678" t="s">
        <v>55</v>
      </c>
      <c r="S678" t="s">
        <v>56</v>
      </c>
      <c r="T678">
        <v>2020</v>
      </c>
      <c r="U678" t="s">
        <v>62</v>
      </c>
    </row>
    <row r="679" spans="1:21" x14ac:dyDescent="0.35">
      <c r="A679" s="1">
        <v>45269</v>
      </c>
      <c r="B679" t="s">
        <v>21</v>
      </c>
      <c r="C679" t="s">
        <v>22</v>
      </c>
      <c r="D679" t="s">
        <v>23</v>
      </c>
      <c r="E679">
        <v>278</v>
      </c>
      <c r="F679">
        <v>8</v>
      </c>
      <c r="G679">
        <f t="shared" si="30"/>
        <v>2224</v>
      </c>
      <c r="H679">
        <v>5</v>
      </c>
      <c r="I679">
        <f t="shared" si="31"/>
        <v>1390</v>
      </c>
      <c r="J679">
        <f t="shared" si="32"/>
        <v>834</v>
      </c>
      <c r="K679" t="s">
        <v>24</v>
      </c>
      <c r="L679" t="s">
        <v>25</v>
      </c>
      <c r="M679" t="s">
        <v>26</v>
      </c>
      <c r="N679" t="s">
        <v>43</v>
      </c>
      <c r="O679">
        <v>588</v>
      </c>
      <c r="P679">
        <v>278</v>
      </c>
      <c r="Q679" t="s">
        <v>90</v>
      </c>
      <c r="R679" t="s">
        <v>55</v>
      </c>
      <c r="S679" t="s">
        <v>85</v>
      </c>
      <c r="T679">
        <v>2023</v>
      </c>
      <c r="U679" t="s">
        <v>97</v>
      </c>
    </row>
    <row r="680" spans="1:21" x14ac:dyDescent="0.35">
      <c r="A680" s="1">
        <v>45270</v>
      </c>
      <c r="B680" t="s">
        <v>80</v>
      </c>
      <c r="C680" t="s">
        <v>81</v>
      </c>
      <c r="D680" t="s">
        <v>82</v>
      </c>
      <c r="E680">
        <v>403</v>
      </c>
      <c r="F680">
        <v>2.5</v>
      </c>
      <c r="G680">
        <f t="shared" si="30"/>
        <v>1007.5</v>
      </c>
      <c r="H680">
        <v>1.5</v>
      </c>
      <c r="I680">
        <f t="shared" si="31"/>
        <v>604.5</v>
      </c>
      <c r="J680">
        <f t="shared" si="32"/>
        <v>403</v>
      </c>
      <c r="K680" t="s">
        <v>42</v>
      </c>
      <c r="L680" t="s">
        <v>36</v>
      </c>
      <c r="M680" t="s">
        <v>61</v>
      </c>
      <c r="N680" t="s">
        <v>27</v>
      </c>
      <c r="O680">
        <v>710</v>
      </c>
      <c r="P680">
        <v>403</v>
      </c>
      <c r="Q680" t="s">
        <v>87</v>
      </c>
      <c r="R680" t="s">
        <v>88</v>
      </c>
      <c r="S680" t="s">
        <v>89</v>
      </c>
      <c r="T680">
        <v>2022</v>
      </c>
      <c r="U680" t="s">
        <v>91</v>
      </c>
    </row>
    <row r="681" spans="1:21" x14ac:dyDescent="0.35">
      <c r="A681" s="1">
        <v>45271</v>
      </c>
      <c r="B681" t="s">
        <v>21</v>
      </c>
      <c r="C681" t="s">
        <v>22</v>
      </c>
      <c r="D681" t="s">
        <v>23</v>
      </c>
      <c r="E681">
        <v>199</v>
      </c>
      <c r="F681">
        <v>8</v>
      </c>
      <c r="G681">
        <f t="shared" si="30"/>
        <v>1592</v>
      </c>
      <c r="H681">
        <v>5</v>
      </c>
      <c r="I681">
        <f t="shared" si="31"/>
        <v>995</v>
      </c>
      <c r="J681">
        <f t="shared" si="32"/>
        <v>597</v>
      </c>
      <c r="K681" t="s">
        <v>24</v>
      </c>
      <c r="L681" t="s">
        <v>73</v>
      </c>
      <c r="M681" t="s">
        <v>26</v>
      </c>
      <c r="N681" t="s">
        <v>27</v>
      </c>
      <c r="O681">
        <v>948</v>
      </c>
      <c r="P681">
        <v>199</v>
      </c>
      <c r="Q681" t="s">
        <v>113</v>
      </c>
      <c r="R681" t="s">
        <v>114</v>
      </c>
      <c r="S681" t="s">
        <v>115</v>
      </c>
      <c r="T681">
        <v>2023</v>
      </c>
      <c r="U681" t="s">
        <v>57</v>
      </c>
    </row>
    <row r="682" spans="1:21" x14ac:dyDescent="0.35">
      <c r="A682" s="1">
        <v>45272</v>
      </c>
      <c r="B682" t="s">
        <v>98</v>
      </c>
      <c r="C682" t="s">
        <v>99</v>
      </c>
      <c r="D682" t="s">
        <v>100</v>
      </c>
      <c r="E682">
        <v>418</v>
      </c>
      <c r="F682">
        <v>6</v>
      </c>
      <c r="G682">
        <f t="shared" si="30"/>
        <v>2508</v>
      </c>
      <c r="H682">
        <v>4</v>
      </c>
      <c r="I682">
        <f t="shared" si="31"/>
        <v>1672</v>
      </c>
      <c r="J682">
        <f t="shared" si="32"/>
        <v>836</v>
      </c>
      <c r="K682" t="s">
        <v>42</v>
      </c>
      <c r="L682" t="s">
        <v>25</v>
      </c>
      <c r="M682" t="s">
        <v>37</v>
      </c>
      <c r="N682" t="s">
        <v>27</v>
      </c>
      <c r="O682">
        <v>588</v>
      </c>
      <c r="P682">
        <v>418</v>
      </c>
      <c r="Q682" t="s">
        <v>87</v>
      </c>
      <c r="R682" t="s">
        <v>88</v>
      </c>
      <c r="S682" t="s">
        <v>89</v>
      </c>
      <c r="T682">
        <v>2022</v>
      </c>
      <c r="U682" t="s">
        <v>86</v>
      </c>
    </row>
    <row r="683" spans="1:21" x14ac:dyDescent="0.35">
      <c r="A683" s="1">
        <v>45273</v>
      </c>
      <c r="B683" t="s">
        <v>48</v>
      </c>
      <c r="C683" t="s">
        <v>49</v>
      </c>
      <c r="D683" t="s">
        <v>50</v>
      </c>
      <c r="E683">
        <v>73</v>
      </c>
      <c r="F683">
        <v>150</v>
      </c>
      <c r="G683">
        <f t="shared" si="30"/>
        <v>10950</v>
      </c>
      <c r="H683">
        <v>100</v>
      </c>
      <c r="I683">
        <f t="shared" si="31"/>
        <v>7300</v>
      </c>
      <c r="J683">
        <f t="shared" si="32"/>
        <v>3650</v>
      </c>
      <c r="K683" t="s">
        <v>35</v>
      </c>
      <c r="L683" t="s">
        <v>73</v>
      </c>
      <c r="M683" t="s">
        <v>26</v>
      </c>
      <c r="N683" t="s">
        <v>27</v>
      </c>
      <c r="O683">
        <v>911</v>
      </c>
      <c r="P683">
        <v>73</v>
      </c>
      <c r="Q683" t="s">
        <v>110</v>
      </c>
      <c r="R683" t="s">
        <v>111</v>
      </c>
      <c r="S683" t="s">
        <v>112</v>
      </c>
      <c r="T683">
        <v>2024</v>
      </c>
      <c r="U683" t="s">
        <v>62</v>
      </c>
    </row>
    <row r="684" spans="1:21" x14ac:dyDescent="0.35">
      <c r="A684" s="1">
        <v>45274</v>
      </c>
      <c r="B684" t="s">
        <v>32</v>
      </c>
      <c r="C684" t="s">
        <v>33</v>
      </c>
      <c r="D684" t="s">
        <v>34</v>
      </c>
      <c r="E684">
        <v>201</v>
      </c>
      <c r="F684">
        <v>20</v>
      </c>
      <c r="G684">
        <f t="shared" si="30"/>
        <v>4020</v>
      </c>
      <c r="H684">
        <v>12</v>
      </c>
      <c r="I684">
        <f t="shared" si="31"/>
        <v>2412</v>
      </c>
      <c r="J684">
        <f t="shared" si="32"/>
        <v>1608</v>
      </c>
      <c r="K684" t="s">
        <v>35</v>
      </c>
      <c r="L684" t="s">
        <v>25</v>
      </c>
      <c r="M684" t="s">
        <v>37</v>
      </c>
      <c r="N684" t="s">
        <v>27</v>
      </c>
      <c r="O684">
        <v>752</v>
      </c>
      <c r="P684">
        <v>201</v>
      </c>
      <c r="Q684" t="s">
        <v>54</v>
      </c>
      <c r="R684" t="s">
        <v>55</v>
      </c>
      <c r="S684" t="s">
        <v>56</v>
      </c>
      <c r="T684">
        <v>2024</v>
      </c>
      <c r="U684" t="s">
        <v>31</v>
      </c>
    </row>
    <row r="685" spans="1:21" x14ac:dyDescent="0.35">
      <c r="A685" s="1">
        <v>45275</v>
      </c>
      <c r="B685" t="s">
        <v>48</v>
      </c>
      <c r="C685" t="s">
        <v>49</v>
      </c>
      <c r="D685" t="s">
        <v>50</v>
      </c>
      <c r="E685">
        <v>336</v>
      </c>
      <c r="F685">
        <v>150</v>
      </c>
      <c r="G685">
        <f t="shared" si="30"/>
        <v>50400</v>
      </c>
      <c r="H685">
        <v>100</v>
      </c>
      <c r="I685">
        <f t="shared" si="31"/>
        <v>33600</v>
      </c>
      <c r="J685">
        <f t="shared" si="32"/>
        <v>16800</v>
      </c>
      <c r="K685" t="s">
        <v>24</v>
      </c>
      <c r="L685" t="s">
        <v>36</v>
      </c>
      <c r="M685" t="s">
        <v>26</v>
      </c>
      <c r="N685" t="s">
        <v>43</v>
      </c>
      <c r="O685">
        <v>658</v>
      </c>
      <c r="P685">
        <v>336</v>
      </c>
      <c r="Q685" t="s">
        <v>101</v>
      </c>
      <c r="R685" t="s">
        <v>101</v>
      </c>
      <c r="S685" t="s">
        <v>102</v>
      </c>
      <c r="T685">
        <v>2020</v>
      </c>
      <c r="U685" t="s">
        <v>97</v>
      </c>
    </row>
    <row r="686" spans="1:21" x14ac:dyDescent="0.35">
      <c r="A686" s="1">
        <v>45276</v>
      </c>
      <c r="B686" t="s">
        <v>21</v>
      </c>
      <c r="C686" t="s">
        <v>22</v>
      </c>
      <c r="D686" t="s">
        <v>23</v>
      </c>
      <c r="E686">
        <v>457</v>
      </c>
      <c r="F686">
        <v>8</v>
      </c>
      <c r="G686">
        <f t="shared" si="30"/>
        <v>3656</v>
      </c>
      <c r="H686">
        <v>5</v>
      </c>
      <c r="I686">
        <f t="shared" si="31"/>
        <v>2285</v>
      </c>
      <c r="J686">
        <f t="shared" si="32"/>
        <v>1371</v>
      </c>
      <c r="K686" t="s">
        <v>35</v>
      </c>
      <c r="L686" t="s">
        <v>73</v>
      </c>
      <c r="M686" t="s">
        <v>61</v>
      </c>
      <c r="N686" t="s">
        <v>38</v>
      </c>
      <c r="O686">
        <v>562</v>
      </c>
      <c r="P686">
        <v>457</v>
      </c>
      <c r="Q686" t="s">
        <v>83</v>
      </c>
      <c r="R686" t="s">
        <v>84</v>
      </c>
      <c r="S686" t="s">
        <v>85</v>
      </c>
      <c r="T686">
        <v>2021</v>
      </c>
      <c r="U686" t="s">
        <v>57</v>
      </c>
    </row>
    <row r="687" spans="1:21" x14ac:dyDescent="0.35">
      <c r="A687" s="1">
        <v>45277</v>
      </c>
      <c r="B687" t="s">
        <v>58</v>
      </c>
      <c r="C687" t="s">
        <v>59</v>
      </c>
      <c r="D687" t="s">
        <v>60</v>
      </c>
      <c r="E687">
        <v>214</v>
      </c>
      <c r="F687">
        <v>5</v>
      </c>
      <c r="G687">
        <f t="shared" si="30"/>
        <v>1070</v>
      </c>
      <c r="H687">
        <v>3</v>
      </c>
      <c r="I687">
        <f t="shared" si="31"/>
        <v>642</v>
      </c>
      <c r="J687">
        <f t="shared" si="32"/>
        <v>428</v>
      </c>
      <c r="K687" t="s">
        <v>24</v>
      </c>
      <c r="L687" t="s">
        <v>36</v>
      </c>
      <c r="M687" t="s">
        <v>26</v>
      </c>
      <c r="N687" t="s">
        <v>43</v>
      </c>
      <c r="O687">
        <v>612</v>
      </c>
      <c r="P687">
        <v>214</v>
      </c>
      <c r="Q687" t="s">
        <v>54</v>
      </c>
      <c r="R687" t="s">
        <v>55</v>
      </c>
      <c r="S687" t="s">
        <v>56</v>
      </c>
      <c r="T687">
        <v>2023</v>
      </c>
      <c r="U687" t="s">
        <v>91</v>
      </c>
    </row>
    <row r="688" spans="1:21" x14ac:dyDescent="0.35">
      <c r="A688" s="1">
        <v>45278</v>
      </c>
      <c r="B688" t="s">
        <v>32</v>
      </c>
      <c r="C688" t="s">
        <v>33</v>
      </c>
      <c r="D688" t="s">
        <v>34</v>
      </c>
      <c r="E688">
        <v>75</v>
      </c>
      <c r="F688">
        <v>20</v>
      </c>
      <c r="G688">
        <f t="shared" si="30"/>
        <v>1500</v>
      </c>
      <c r="H688">
        <v>12</v>
      </c>
      <c r="I688">
        <f t="shared" si="31"/>
        <v>900</v>
      </c>
      <c r="J688">
        <f t="shared" si="32"/>
        <v>600</v>
      </c>
      <c r="K688" t="s">
        <v>35</v>
      </c>
      <c r="L688" t="s">
        <v>25</v>
      </c>
      <c r="M688" t="s">
        <v>37</v>
      </c>
      <c r="N688" t="s">
        <v>27</v>
      </c>
      <c r="O688">
        <v>788</v>
      </c>
      <c r="P688">
        <v>75</v>
      </c>
      <c r="Q688" t="s">
        <v>83</v>
      </c>
      <c r="R688" t="s">
        <v>84</v>
      </c>
      <c r="S688" t="s">
        <v>85</v>
      </c>
      <c r="T688">
        <v>2021</v>
      </c>
      <c r="U688" t="s">
        <v>66</v>
      </c>
    </row>
    <row r="689" spans="1:21" x14ac:dyDescent="0.35">
      <c r="A689" s="1">
        <v>45279</v>
      </c>
      <c r="B689" t="s">
        <v>58</v>
      </c>
      <c r="C689" t="s">
        <v>59</v>
      </c>
      <c r="D689" t="s">
        <v>60</v>
      </c>
      <c r="E689">
        <v>471</v>
      </c>
      <c r="F689">
        <v>5</v>
      </c>
      <c r="G689">
        <f t="shared" si="30"/>
        <v>2355</v>
      </c>
      <c r="H689">
        <v>3</v>
      </c>
      <c r="I689">
        <f t="shared" si="31"/>
        <v>1413</v>
      </c>
      <c r="J689">
        <f t="shared" si="32"/>
        <v>942</v>
      </c>
      <c r="K689" t="s">
        <v>24</v>
      </c>
      <c r="L689" t="s">
        <v>73</v>
      </c>
      <c r="M689" t="s">
        <v>26</v>
      </c>
      <c r="N689" t="s">
        <v>38</v>
      </c>
      <c r="O689">
        <v>736</v>
      </c>
      <c r="P689">
        <v>471</v>
      </c>
      <c r="Q689" t="s">
        <v>106</v>
      </c>
      <c r="R689" t="s">
        <v>107</v>
      </c>
      <c r="S689" t="s">
        <v>108</v>
      </c>
      <c r="T689">
        <v>2024</v>
      </c>
      <c r="U689" t="s">
        <v>31</v>
      </c>
    </row>
    <row r="690" spans="1:21" x14ac:dyDescent="0.35">
      <c r="A690" s="1">
        <v>45280</v>
      </c>
      <c r="B690" t="s">
        <v>98</v>
      </c>
      <c r="C690" t="s">
        <v>99</v>
      </c>
      <c r="D690" t="s">
        <v>100</v>
      </c>
      <c r="E690">
        <v>439</v>
      </c>
      <c r="F690">
        <v>6</v>
      </c>
      <c r="G690">
        <f t="shared" si="30"/>
        <v>2634</v>
      </c>
      <c r="H690">
        <v>4</v>
      </c>
      <c r="I690">
        <f t="shared" si="31"/>
        <v>1756</v>
      </c>
      <c r="J690">
        <f t="shared" si="32"/>
        <v>878</v>
      </c>
      <c r="K690" t="s">
        <v>35</v>
      </c>
      <c r="L690" t="s">
        <v>63</v>
      </c>
      <c r="M690" t="s">
        <v>37</v>
      </c>
      <c r="N690" t="s">
        <v>27</v>
      </c>
      <c r="O690">
        <v>723</v>
      </c>
      <c r="P690">
        <v>439</v>
      </c>
      <c r="Q690" t="s">
        <v>64</v>
      </c>
      <c r="R690" t="s">
        <v>29</v>
      </c>
      <c r="S690" t="s">
        <v>65</v>
      </c>
      <c r="T690">
        <v>2022</v>
      </c>
      <c r="U690" t="s">
        <v>96</v>
      </c>
    </row>
    <row r="691" spans="1:21" x14ac:dyDescent="0.35">
      <c r="A691" s="1">
        <v>45281</v>
      </c>
      <c r="B691" t="s">
        <v>48</v>
      </c>
      <c r="C691" t="s">
        <v>49</v>
      </c>
      <c r="D691" t="s">
        <v>50</v>
      </c>
      <c r="E691">
        <v>109</v>
      </c>
      <c r="F691">
        <v>150</v>
      </c>
      <c r="G691">
        <f t="shared" si="30"/>
        <v>16350</v>
      </c>
      <c r="H691">
        <v>100</v>
      </c>
      <c r="I691">
        <f t="shared" si="31"/>
        <v>10900</v>
      </c>
      <c r="J691">
        <f t="shared" si="32"/>
        <v>5450</v>
      </c>
      <c r="K691" t="s">
        <v>24</v>
      </c>
      <c r="L691" t="s">
        <v>25</v>
      </c>
      <c r="M691" t="s">
        <v>61</v>
      </c>
      <c r="N691" t="s">
        <v>38</v>
      </c>
      <c r="O691">
        <v>720</v>
      </c>
      <c r="P691">
        <v>109</v>
      </c>
      <c r="Q691" t="s">
        <v>113</v>
      </c>
      <c r="R691" t="s">
        <v>114</v>
      </c>
      <c r="S691" t="s">
        <v>115</v>
      </c>
      <c r="T691">
        <v>2023</v>
      </c>
      <c r="U691" t="s">
        <v>91</v>
      </c>
    </row>
    <row r="692" spans="1:21" x14ac:dyDescent="0.35">
      <c r="A692" s="1">
        <v>45282</v>
      </c>
      <c r="B692" t="s">
        <v>21</v>
      </c>
      <c r="C692" t="s">
        <v>22</v>
      </c>
      <c r="D692" t="s">
        <v>23</v>
      </c>
      <c r="E692">
        <v>233</v>
      </c>
      <c r="F692">
        <v>8</v>
      </c>
      <c r="G692">
        <f t="shared" si="30"/>
        <v>1864</v>
      </c>
      <c r="H692">
        <v>5</v>
      </c>
      <c r="I692">
        <f t="shared" si="31"/>
        <v>1165</v>
      </c>
      <c r="J692">
        <f t="shared" si="32"/>
        <v>699</v>
      </c>
      <c r="K692" t="s">
        <v>42</v>
      </c>
      <c r="L692" t="s">
        <v>73</v>
      </c>
      <c r="M692" t="s">
        <v>26</v>
      </c>
      <c r="N692" t="s">
        <v>27</v>
      </c>
      <c r="O692">
        <v>690</v>
      </c>
      <c r="P692">
        <v>233</v>
      </c>
      <c r="Q692" t="s">
        <v>44</v>
      </c>
      <c r="R692" t="s">
        <v>45</v>
      </c>
      <c r="S692" t="s">
        <v>46</v>
      </c>
      <c r="T692">
        <v>2021</v>
      </c>
      <c r="U692" t="s">
        <v>66</v>
      </c>
    </row>
    <row r="693" spans="1:21" x14ac:dyDescent="0.35">
      <c r="A693" s="1">
        <v>45283</v>
      </c>
      <c r="B693" t="s">
        <v>48</v>
      </c>
      <c r="C693" t="s">
        <v>49</v>
      </c>
      <c r="D693" t="s">
        <v>50</v>
      </c>
      <c r="E693">
        <v>87</v>
      </c>
      <c r="F693">
        <v>150</v>
      </c>
      <c r="G693">
        <f t="shared" si="30"/>
        <v>13050</v>
      </c>
      <c r="H693">
        <v>100</v>
      </c>
      <c r="I693">
        <f t="shared" si="31"/>
        <v>8700</v>
      </c>
      <c r="J693">
        <f t="shared" si="32"/>
        <v>4350</v>
      </c>
      <c r="K693" t="s">
        <v>24</v>
      </c>
      <c r="L693" t="s">
        <v>25</v>
      </c>
      <c r="M693" t="s">
        <v>61</v>
      </c>
      <c r="N693" t="s">
        <v>27</v>
      </c>
      <c r="O693">
        <v>788</v>
      </c>
      <c r="P693">
        <v>87</v>
      </c>
      <c r="Q693" t="s">
        <v>94</v>
      </c>
      <c r="R693" t="s">
        <v>75</v>
      </c>
      <c r="S693" t="s">
        <v>95</v>
      </c>
      <c r="T693">
        <v>2021</v>
      </c>
      <c r="U693" t="s">
        <v>97</v>
      </c>
    </row>
    <row r="694" spans="1:21" x14ac:dyDescent="0.35">
      <c r="A694" s="1">
        <v>45284</v>
      </c>
      <c r="B694" t="s">
        <v>48</v>
      </c>
      <c r="C694" t="s">
        <v>49</v>
      </c>
      <c r="D694" t="s">
        <v>50</v>
      </c>
      <c r="E694">
        <v>106</v>
      </c>
      <c r="F694">
        <v>150</v>
      </c>
      <c r="G694">
        <f t="shared" si="30"/>
        <v>15900</v>
      </c>
      <c r="H694">
        <v>100</v>
      </c>
      <c r="I694">
        <f t="shared" si="31"/>
        <v>10600</v>
      </c>
      <c r="J694">
        <f t="shared" si="32"/>
        <v>5300</v>
      </c>
      <c r="K694" t="s">
        <v>42</v>
      </c>
      <c r="L694" t="s">
        <v>25</v>
      </c>
      <c r="M694" t="s">
        <v>37</v>
      </c>
      <c r="N694" t="s">
        <v>27</v>
      </c>
      <c r="O694">
        <v>679</v>
      </c>
      <c r="P694">
        <v>106</v>
      </c>
      <c r="Q694" t="s">
        <v>51</v>
      </c>
      <c r="R694" t="s">
        <v>45</v>
      </c>
      <c r="S694" t="s">
        <v>52</v>
      </c>
      <c r="T694">
        <v>2020</v>
      </c>
      <c r="U694" t="s">
        <v>47</v>
      </c>
    </row>
    <row r="695" spans="1:21" x14ac:dyDescent="0.35">
      <c r="A695" s="1">
        <v>45285</v>
      </c>
      <c r="B695" t="s">
        <v>48</v>
      </c>
      <c r="C695" t="s">
        <v>49</v>
      </c>
      <c r="D695" t="s">
        <v>50</v>
      </c>
      <c r="E695">
        <v>182</v>
      </c>
      <c r="F695">
        <v>150</v>
      </c>
      <c r="G695">
        <f t="shared" si="30"/>
        <v>27300</v>
      </c>
      <c r="H695">
        <v>100</v>
      </c>
      <c r="I695">
        <f t="shared" si="31"/>
        <v>18200</v>
      </c>
      <c r="J695">
        <f t="shared" si="32"/>
        <v>9100</v>
      </c>
      <c r="K695" t="s">
        <v>24</v>
      </c>
      <c r="L695" t="s">
        <v>36</v>
      </c>
      <c r="M695" t="s">
        <v>61</v>
      </c>
      <c r="N695" t="s">
        <v>43</v>
      </c>
      <c r="O695">
        <v>927</v>
      </c>
      <c r="P695">
        <v>182</v>
      </c>
      <c r="Q695" t="s">
        <v>54</v>
      </c>
      <c r="R695" t="s">
        <v>55</v>
      </c>
      <c r="S695" t="s">
        <v>56</v>
      </c>
      <c r="T695">
        <v>2022</v>
      </c>
      <c r="U695" t="s">
        <v>57</v>
      </c>
    </row>
    <row r="696" spans="1:21" x14ac:dyDescent="0.35">
      <c r="A696" s="1">
        <v>45286</v>
      </c>
      <c r="B696" t="s">
        <v>48</v>
      </c>
      <c r="C696" t="s">
        <v>49</v>
      </c>
      <c r="D696" t="s">
        <v>50</v>
      </c>
      <c r="E696">
        <v>267</v>
      </c>
      <c r="F696">
        <v>150</v>
      </c>
      <c r="G696">
        <f t="shared" si="30"/>
        <v>40050</v>
      </c>
      <c r="H696">
        <v>100</v>
      </c>
      <c r="I696">
        <f t="shared" si="31"/>
        <v>26700</v>
      </c>
      <c r="J696">
        <f t="shared" si="32"/>
        <v>13350</v>
      </c>
      <c r="K696" t="s">
        <v>35</v>
      </c>
      <c r="L696" t="s">
        <v>63</v>
      </c>
      <c r="M696" t="s">
        <v>37</v>
      </c>
      <c r="N696" t="s">
        <v>27</v>
      </c>
      <c r="O696">
        <v>897</v>
      </c>
      <c r="P696">
        <v>267</v>
      </c>
      <c r="Q696" t="s">
        <v>51</v>
      </c>
      <c r="R696" t="s">
        <v>45</v>
      </c>
      <c r="S696" t="s">
        <v>52</v>
      </c>
      <c r="T696">
        <v>2021</v>
      </c>
      <c r="U696" t="s">
        <v>97</v>
      </c>
    </row>
    <row r="697" spans="1:21" x14ac:dyDescent="0.35">
      <c r="A697" s="1">
        <v>45287</v>
      </c>
      <c r="B697" t="s">
        <v>80</v>
      </c>
      <c r="C697" t="s">
        <v>81</v>
      </c>
      <c r="D697" t="s">
        <v>82</v>
      </c>
      <c r="E697">
        <v>353</v>
      </c>
      <c r="F697">
        <v>2.5</v>
      </c>
      <c r="G697">
        <f t="shared" si="30"/>
        <v>882.5</v>
      </c>
      <c r="H697">
        <v>1.5</v>
      </c>
      <c r="I697">
        <f t="shared" si="31"/>
        <v>529.5</v>
      </c>
      <c r="J697">
        <f t="shared" si="32"/>
        <v>353</v>
      </c>
      <c r="K697" t="s">
        <v>42</v>
      </c>
      <c r="L697" t="s">
        <v>25</v>
      </c>
      <c r="M697" t="s">
        <v>26</v>
      </c>
      <c r="N697" t="s">
        <v>38</v>
      </c>
      <c r="O697">
        <v>954</v>
      </c>
      <c r="P697">
        <v>353</v>
      </c>
      <c r="Q697" t="s">
        <v>113</v>
      </c>
      <c r="R697" t="s">
        <v>114</v>
      </c>
      <c r="S697" t="s">
        <v>115</v>
      </c>
      <c r="T697">
        <v>2020</v>
      </c>
      <c r="U697" t="s">
        <v>105</v>
      </c>
    </row>
    <row r="698" spans="1:21" x14ac:dyDescent="0.35">
      <c r="A698" s="1">
        <v>45288</v>
      </c>
      <c r="B698" t="s">
        <v>58</v>
      </c>
      <c r="C698" t="s">
        <v>59</v>
      </c>
      <c r="D698" t="s">
        <v>60</v>
      </c>
      <c r="E698">
        <v>145</v>
      </c>
      <c r="F698">
        <v>5</v>
      </c>
      <c r="G698">
        <f t="shared" si="30"/>
        <v>725</v>
      </c>
      <c r="H698">
        <v>3</v>
      </c>
      <c r="I698">
        <f t="shared" si="31"/>
        <v>435</v>
      </c>
      <c r="J698">
        <f t="shared" si="32"/>
        <v>290</v>
      </c>
      <c r="K698" t="s">
        <v>42</v>
      </c>
      <c r="L698" t="s">
        <v>73</v>
      </c>
      <c r="M698" t="s">
        <v>61</v>
      </c>
      <c r="N698" t="s">
        <v>43</v>
      </c>
      <c r="O698">
        <v>761</v>
      </c>
      <c r="P698">
        <v>145</v>
      </c>
      <c r="Q698" t="s">
        <v>83</v>
      </c>
      <c r="R698" t="s">
        <v>84</v>
      </c>
      <c r="S698" t="s">
        <v>85</v>
      </c>
      <c r="T698">
        <v>2024</v>
      </c>
      <c r="U698" t="s">
        <v>91</v>
      </c>
    </row>
    <row r="699" spans="1:21" x14ac:dyDescent="0.35">
      <c r="A699" s="1">
        <v>45289</v>
      </c>
      <c r="B699" t="s">
        <v>98</v>
      </c>
      <c r="C699" t="s">
        <v>99</v>
      </c>
      <c r="D699" t="s">
        <v>100</v>
      </c>
      <c r="E699">
        <v>86</v>
      </c>
      <c r="F699">
        <v>6</v>
      </c>
      <c r="G699">
        <f t="shared" si="30"/>
        <v>516</v>
      </c>
      <c r="H699">
        <v>4</v>
      </c>
      <c r="I699">
        <f t="shared" si="31"/>
        <v>344</v>
      </c>
      <c r="J699">
        <f t="shared" si="32"/>
        <v>172</v>
      </c>
      <c r="K699" t="s">
        <v>42</v>
      </c>
      <c r="L699" t="s">
        <v>63</v>
      </c>
      <c r="M699" t="s">
        <v>37</v>
      </c>
      <c r="N699" t="s">
        <v>27</v>
      </c>
      <c r="O699">
        <v>633</v>
      </c>
      <c r="P699">
        <v>86</v>
      </c>
      <c r="Q699" t="s">
        <v>103</v>
      </c>
      <c r="R699" t="s">
        <v>68</v>
      </c>
      <c r="S699" t="s">
        <v>104</v>
      </c>
      <c r="T699">
        <v>2022</v>
      </c>
      <c r="U699" t="s">
        <v>66</v>
      </c>
    </row>
    <row r="700" spans="1:21" x14ac:dyDescent="0.35">
      <c r="A700" s="1">
        <v>45290</v>
      </c>
      <c r="B700" t="s">
        <v>98</v>
      </c>
      <c r="C700" t="s">
        <v>99</v>
      </c>
      <c r="D700" t="s">
        <v>100</v>
      </c>
      <c r="E700">
        <v>185</v>
      </c>
      <c r="F700">
        <v>6</v>
      </c>
      <c r="G700">
        <f t="shared" si="30"/>
        <v>1110</v>
      </c>
      <c r="H700">
        <v>4</v>
      </c>
      <c r="I700">
        <f t="shared" si="31"/>
        <v>740</v>
      </c>
      <c r="J700">
        <f t="shared" si="32"/>
        <v>370</v>
      </c>
      <c r="K700" t="s">
        <v>42</v>
      </c>
      <c r="L700" t="s">
        <v>63</v>
      </c>
      <c r="M700" t="s">
        <v>37</v>
      </c>
      <c r="N700" t="s">
        <v>27</v>
      </c>
      <c r="O700">
        <v>726</v>
      </c>
      <c r="P700">
        <v>185</v>
      </c>
      <c r="Q700" t="s">
        <v>110</v>
      </c>
      <c r="R700" t="s">
        <v>111</v>
      </c>
      <c r="S700" t="s">
        <v>112</v>
      </c>
      <c r="T700">
        <v>2021</v>
      </c>
      <c r="U700" t="s">
        <v>66</v>
      </c>
    </row>
    <row r="701" spans="1:21" x14ac:dyDescent="0.35">
      <c r="A701" s="1">
        <v>45291</v>
      </c>
      <c r="B701" t="s">
        <v>98</v>
      </c>
      <c r="C701" t="s">
        <v>99</v>
      </c>
      <c r="D701" t="s">
        <v>100</v>
      </c>
      <c r="E701">
        <v>500</v>
      </c>
      <c r="F701">
        <v>6</v>
      </c>
      <c r="G701">
        <f t="shared" si="30"/>
        <v>3000</v>
      </c>
      <c r="H701">
        <v>4</v>
      </c>
      <c r="I701">
        <f t="shared" si="31"/>
        <v>2000</v>
      </c>
      <c r="J701">
        <f t="shared" si="32"/>
        <v>1000</v>
      </c>
      <c r="K701" t="s">
        <v>42</v>
      </c>
      <c r="L701" t="s">
        <v>73</v>
      </c>
      <c r="M701" t="s">
        <v>37</v>
      </c>
      <c r="N701" t="s">
        <v>43</v>
      </c>
      <c r="O701">
        <v>805</v>
      </c>
      <c r="P701">
        <v>500</v>
      </c>
      <c r="Q701" t="s">
        <v>28</v>
      </c>
      <c r="R701" t="s">
        <v>29</v>
      </c>
      <c r="S701" t="s">
        <v>30</v>
      </c>
      <c r="T701">
        <v>2020</v>
      </c>
      <c r="U701" t="s">
        <v>96</v>
      </c>
    </row>
    <row r="702" spans="1:21" x14ac:dyDescent="0.35">
      <c r="A702" s="1">
        <v>45292</v>
      </c>
      <c r="B702" t="s">
        <v>58</v>
      </c>
      <c r="C702" t="s">
        <v>59</v>
      </c>
      <c r="D702" t="s">
        <v>60</v>
      </c>
      <c r="E702">
        <v>284</v>
      </c>
      <c r="F702">
        <v>5</v>
      </c>
      <c r="G702">
        <f t="shared" si="30"/>
        <v>1420</v>
      </c>
      <c r="H702">
        <v>3</v>
      </c>
      <c r="I702">
        <f t="shared" si="31"/>
        <v>852</v>
      </c>
      <c r="J702">
        <f t="shared" si="32"/>
        <v>568</v>
      </c>
      <c r="K702" t="s">
        <v>24</v>
      </c>
      <c r="L702" t="s">
        <v>73</v>
      </c>
      <c r="M702" t="s">
        <v>37</v>
      </c>
      <c r="N702" t="s">
        <v>27</v>
      </c>
      <c r="O702">
        <v>807</v>
      </c>
      <c r="P702">
        <v>284</v>
      </c>
      <c r="Q702" t="s">
        <v>39</v>
      </c>
      <c r="R702" t="s">
        <v>40</v>
      </c>
      <c r="S702" t="s">
        <v>41</v>
      </c>
      <c r="T702">
        <v>2021</v>
      </c>
      <c r="U702" t="s">
        <v>96</v>
      </c>
    </row>
    <row r="703" spans="1:21" x14ac:dyDescent="0.35">
      <c r="A703" s="1">
        <v>45293</v>
      </c>
      <c r="B703" t="s">
        <v>32</v>
      </c>
      <c r="C703" t="s">
        <v>33</v>
      </c>
      <c r="D703" t="s">
        <v>34</v>
      </c>
      <c r="E703">
        <v>61</v>
      </c>
      <c r="F703">
        <v>20</v>
      </c>
      <c r="G703">
        <f t="shared" si="30"/>
        <v>1220</v>
      </c>
      <c r="H703">
        <v>12</v>
      </c>
      <c r="I703">
        <f t="shared" si="31"/>
        <v>732</v>
      </c>
      <c r="J703">
        <f t="shared" si="32"/>
        <v>488</v>
      </c>
      <c r="K703" t="s">
        <v>35</v>
      </c>
      <c r="L703" t="s">
        <v>73</v>
      </c>
      <c r="M703" t="s">
        <v>37</v>
      </c>
      <c r="N703" t="s">
        <v>27</v>
      </c>
      <c r="O703">
        <v>609</v>
      </c>
      <c r="P703">
        <v>61</v>
      </c>
      <c r="Q703" t="s">
        <v>74</v>
      </c>
      <c r="R703" t="s">
        <v>75</v>
      </c>
      <c r="S703" t="s">
        <v>76</v>
      </c>
      <c r="T703">
        <v>2024</v>
      </c>
      <c r="U703" t="s">
        <v>53</v>
      </c>
    </row>
    <row r="704" spans="1:21" x14ac:dyDescent="0.35">
      <c r="A704" s="1">
        <v>45294</v>
      </c>
      <c r="B704" t="s">
        <v>80</v>
      </c>
      <c r="C704" t="s">
        <v>81</v>
      </c>
      <c r="D704" t="s">
        <v>82</v>
      </c>
      <c r="E704">
        <v>163</v>
      </c>
      <c r="F704">
        <v>2.5</v>
      </c>
      <c r="G704">
        <f t="shared" si="30"/>
        <v>407.5</v>
      </c>
      <c r="H704">
        <v>1.5</v>
      </c>
      <c r="I704">
        <f t="shared" si="31"/>
        <v>244.5</v>
      </c>
      <c r="J704">
        <f t="shared" si="32"/>
        <v>163</v>
      </c>
      <c r="K704" t="s">
        <v>42</v>
      </c>
      <c r="L704" t="s">
        <v>63</v>
      </c>
      <c r="M704" t="s">
        <v>26</v>
      </c>
      <c r="N704" t="s">
        <v>43</v>
      </c>
      <c r="O704">
        <v>635</v>
      </c>
      <c r="P704">
        <v>163</v>
      </c>
      <c r="Q704" t="s">
        <v>28</v>
      </c>
      <c r="R704" t="s">
        <v>29</v>
      </c>
      <c r="S704" t="s">
        <v>30</v>
      </c>
      <c r="T704">
        <v>2020</v>
      </c>
      <c r="U704" t="s">
        <v>97</v>
      </c>
    </row>
    <row r="705" spans="1:21" x14ac:dyDescent="0.35">
      <c r="A705" s="1">
        <v>45295</v>
      </c>
      <c r="B705" t="s">
        <v>21</v>
      </c>
      <c r="C705" t="s">
        <v>22</v>
      </c>
      <c r="D705" t="s">
        <v>23</v>
      </c>
      <c r="E705">
        <v>231</v>
      </c>
      <c r="F705">
        <v>8</v>
      </c>
      <c r="G705">
        <f t="shared" si="30"/>
        <v>1848</v>
      </c>
      <c r="H705">
        <v>5</v>
      </c>
      <c r="I705">
        <f t="shared" si="31"/>
        <v>1155</v>
      </c>
      <c r="J705">
        <f t="shared" si="32"/>
        <v>693</v>
      </c>
      <c r="K705" t="s">
        <v>24</v>
      </c>
      <c r="L705" t="s">
        <v>36</v>
      </c>
      <c r="M705" t="s">
        <v>26</v>
      </c>
      <c r="N705" t="s">
        <v>38</v>
      </c>
      <c r="O705">
        <v>701</v>
      </c>
      <c r="P705">
        <v>231</v>
      </c>
      <c r="Q705" t="s">
        <v>74</v>
      </c>
      <c r="R705" t="s">
        <v>75</v>
      </c>
      <c r="S705" t="s">
        <v>76</v>
      </c>
      <c r="T705">
        <v>2023</v>
      </c>
      <c r="U705" t="s">
        <v>31</v>
      </c>
    </row>
    <row r="706" spans="1:21" x14ac:dyDescent="0.35">
      <c r="A706" s="1">
        <v>45296</v>
      </c>
      <c r="B706" t="s">
        <v>21</v>
      </c>
      <c r="C706" t="s">
        <v>22</v>
      </c>
      <c r="D706" t="s">
        <v>23</v>
      </c>
      <c r="E706">
        <v>352</v>
      </c>
      <c r="F706">
        <v>8</v>
      </c>
      <c r="G706">
        <f t="shared" si="30"/>
        <v>2816</v>
      </c>
      <c r="H706">
        <v>5</v>
      </c>
      <c r="I706">
        <f t="shared" si="31"/>
        <v>1760</v>
      </c>
      <c r="J706">
        <f t="shared" si="32"/>
        <v>1056</v>
      </c>
      <c r="K706" t="s">
        <v>42</v>
      </c>
      <c r="L706" t="s">
        <v>73</v>
      </c>
      <c r="M706" t="s">
        <v>26</v>
      </c>
      <c r="N706" t="s">
        <v>43</v>
      </c>
      <c r="O706">
        <v>645</v>
      </c>
      <c r="P706">
        <v>352</v>
      </c>
      <c r="Q706" t="s">
        <v>113</v>
      </c>
      <c r="R706" t="s">
        <v>114</v>
      </c>
      <c r="S706" t="s">
        <v>115</v>
      </c>
      <c r="T706">
        <v>2023</v>
      </c>
      <c r="U706" t="s">
        <v>66</v>
      </c>
    </row>
    <row r="707" spans="1:21" x14ac:dyDescent="0.35">
      <c r="A707" s="1">
        <v>45297</v>
      </c>
      <c r="B707" t="s">
        <v>98</v>
      </c>
      <c r="C707" t="s">
        <v>99</v>
      </c>
      <c r="D707" t="s">
        <v>100</v>
      </c>
      <c r="E707">
        <v>488</v>
      </c>
      <c r="F707">
        <v>6</v>
      </c>
      <c r="G707">
        <f t="shared" ref="G707:G770" si="33">E707*F707</f>
        <v>2928</v>
      </c>
      <c r="H707">
        <v>4</v>
      </c>
      <c r="I707">
        <f t="shared" ref="I707:I770" si="34">E707*H707</f>
        <v>1952</v>
      </c>
      <c r="J707">
        <f t="shared" ref="J707:J770" si="35">G707-I707</f>
        <v>976</v>
      </c>
      <c r="K707" t="s">
        <v>24</v>
      </c>
      <c r="L707" t="s">
        <v>73</v>
      </c>
      <c r="M707" t="s">
        <v>26</v>
      </c>
      <c r="N707" t="s">
        <v>38</v>
      </c>
      <c r="O707">
        <v>808</v>
      </c>
      <c r="P707">
        <v>488</v>
      </c>
      <c r="Q707" t="s">
        <v>110</v>
      </c>
      <c r="R707" t="s">
        <v>111</v>
      </c>
      <c r="S707" t="s">
        <v>112</v>
      </c>
      <c r="T707">
        <v>2024</v>
      </c>
      <c r="U707" t="s">
        <v>96</v>
      </c>
    </row>
    <row r="708" spans="1:21" x14ac:dyDescent="0.35">
      <c r="A708" s="1">
        <v>45298</v>
      </c>
      <c r="B708" t="s">
        <v>48</v>
      </c>
      <c r="C708" t="s">
        <v>49</v>
      </c>
      <c r="D708" t="s">
        <v>50</v>
      </c>
      <c r="E708">
        <v>476</v>
      </c>
      <c r="F708">
        <v>150</v>
      </c>
      <c r="G708">
        <f t="shared" si="33"/>
        <v>71400</v>
      </c>
      <c r="H708">
        <v>100</v>
      </c>
      <c r="I708">
        <f t="shared" si="34"/>
        <v>47600</v>
      </c>
      <c r="J708">
        <f t="shared" si="35"/>
        <v>23800</v>
      </c>
      <c r="K708" t="s">
        <v>42</v>
      </c>
      <c r="L708" t="s">
        <v>25</v>
      </c>
      <c r="M708" t="s">
        <v>61</v>
      </c>
      <c r="N708" t="s">
        <v>43</v>
      </c>
      <c r="O708">
        <v>919</v>
      </c>
      <c r="P708">
        <v>476</v>
      </c>
      <c r="Q708" t="s">
        <v>103</v>
      </c>
      <c r="R708" t="s">
        <v>68</v>
      </c>
      <c r="S708" t="s">
        <v>104</v>
      </c>
      <c r="T708">
        <v>2022</v>
      </c>
      <c r="U708" t="s">
        <v>91</v>
      </c>
    </row>
    <row r="709" spans="1:21" x14ac:dyDescent="0.35">
      <c r="A709" s="1">
        <v>45299</v>
      </c>
      <c r="B709" t="s">
        <v>21</v>
      </c>
      <c r="C709" t="s">
        <v>22</v>
      </c>
      <c r="D709" t="s">
        <v>23</v>
      </c>
      <c r="E709">
        <v>180</v>
      </c>
      <c r="F709">
        <v>8</v>
      </c>
      <c r="G709">
        <f t="shared" si="33"/>
        <v>1440</v>
      </c>
      <c r="H709">
        <v>5</v>
      </c>
      <c r="I709">
        <f t="shared" si="34"/>
        <v>900</v>
      </c>
      <c r="J709">
        <f t="shared" si="35"/>
        <v>540</v>
      </c>
      <c r="K709" t="s">
        <v>24</v>
      </c>
      <c r="L709" t="s">
        <v>63</v>
      </c>
      <c r="M709" t="s">
        <v>37</v>
      </c>
      <c r="N709" t="s">
        <v>43</v>
      </c>
      <c r="O709">
        <v>646</v>
      </c>
      <c r="P709">
        <v>180</v>
      </c>
      <c r="Q709" t="s">
        <v>74</v>
      </c>
      <c r="R709" t="s">
        <v>75</v>
      </c>
      <c r="S709" t="s">
        <v>76</v>
      </c>
      <c r="T709">
        <v>2024</v>
      </c>
      <c r="U709" t="s">
        <v>66</v>
      </c>
    </row>
    <row r="710" spans="1:21" x14ac:dyDescent="0.35">
      <c r="A710" s="1">
        <v>45300</v>
      </c>
      <c r="B710" t="s">
        <v>48</v>
      </c>
      <c r="C710" t="s">
        <v>49</v>
      </c>
      <c r="D710" t="s">
        <v>50</v>
      </c>
      <c r="E710">
        <v>28</v>
      </c>
      <c r="F710">
        <v>150</v>
      </c>
      <c r="G710">
        <f t="shared" si="33"/>
        <v>4200</v>
      </c>
      <c r="H710">
        <v>100</v>
      </c>
      <c r="I710">
        <f t="shared" si="34"/>
        <v>2800</v>
      </c>
      <c r="J710">
        <f t="shared" si="35"/>
        <v>1400</v>
      </c>
      <c r="K710" t="s">
        <v>35</v>
      </c>
      <c r="L710" t="s">
        <v>36</v>
      </c>
      <c r="M710" t="s">
        <v>61</v>
      </c>
      <c r="N710" t="s">
        <v>27</v>
      </c>
      <c r="O710">
        <v>598</v>
      </c>
      <c r="P710">
        <v>28</v>
      </c>
      <c r="Q710" t="s">
        <v>44</v>
      </c>
      <c r="R710" t="s">
        <v>45</v>
      </c>
      <c r="S710" t="s">
        <v>46</v>
      </c>
      <c r="T710">
        <v>2023</v>
      </c>
      <c r="U710" t="s">
        <v>96</v>
      </c>
    </row>
    <row r="711" spans="1:21" x14ac:dyDescent="0.35">
      <c r="A711" s="1">
        <v>45301</v>
      </c>
      <c r="B711" t="s">
        <v>21</v>
      </c>
      <c r="C711" t="s">
        <v>22</v>
      </c>
      <c r="D711" t="s">
        <v>23</v>
      </c>
      <c r="E711">
        <v>409</v>
      </c>
      <c r="F711">
        <v>8</v>
      </c>
      <c r="G711">
        <f t="shared" si="33"/>
        <v>3272</v>
      </c>
      <c r="H711">
        <v>5</v>
      </c>
      <c r="I711">
        <f t="shared" si="34"/>
        <v>2045</v>
      </c>
      <c r="J711">
        <f t="shared" si="35"/>
        <v>1227</v>
      </c>
      <c r="K711" t="s">
        <v>24</v>
      </c>
      <c r="L711" t="s">
        <v>25</v>
      </c>
      <c r="M711" t="s">
        <v>61</v>
      </c>
      <c r="N711" t="s">
        <v>27</v>
      </c>
      <c r="O711">
        <v>678</v>
      </c>
      <c r="P711">
        <v>409</v>
      </c>
      <c r="Q711" t="s">
        <v>67</v>
      </c>
      <c r="R711" t="s">
        <v>68</v>
      </c>
      <c r="S711" t="s">
        <v>69</v>
      </c>
      <c r="T711">
        <v>2024</v>
      </c>
      <c r="U711" t="s">
        <v>97</v>
      </c>
    </row>
    <row r="712" spans="1:21" x14ac:dyDescent="0.35">
      <c r="A712" s="1">
        <v>45302</v>
      </c>
      <c r="B712" t="s">
        <v>48</v>
      </c>
      <c r="C712" t="s">
        <v>49</v>
      </c>
      <c r="D712" t="s">
        <v>50</v>
      </c>
      <c r="E712">
        <v>142</v>
      </c>
      <c r="F712">
        <v>150</v>
      </c>
      <c r="G712">
        <f t="shared" si="33"/>
        <v>21300</v>
      </c>
      <c r="H712">
        <v>100</v>
      </c>
      <c r="I712">
        <f t="shared" si="34"/>
        <v>14200</v>
      </c>
      <c r="J712">
        <f t="shared" si="35"/>
        <v>7100</v>
      </c>
      <c r="K712" t="s">
        <v>35</v>
      </c>
      <c r="L712" t="s">
        <v>25</v>
      </c>
      <c r="M712" t="s">
        <v>37</v>
      </c>
      <c r="N712" t="s">
        <v>43</v>
      </c>
      <c r="O712">
        <v>664</v>
      </c>
      <c r="P712">
        <v>142</v>
      </c>
      <c r="Q712" t="s">
        <v>110</v>
      </c>
      <c r="R712" t="s">
        <v>111</v>
      </c>
      <c r="S712" t="s">
        <v>112</v>
      </c>
      <c r="T712">
        <v>2022</v>
      </c>
      <c r="U712" t="s">
        <v>91</v>
      </c>
    </row>
    <row r="713" spans="1:21" x14ac:dyDescent="0.35">
      <c r="A713" s="1">
        <v>45303</v>
      </c>
      <c r="B713" t="s">
        <v>58</v>
      </c>
      <c r="C713" t="s">
        <v>59</v>
      </c>
      <c r="D713" t="s">
        <v>60</v>
      </c>
      <c r="E713">
        <v>474</v>
      </c>
      <c r="F713">
        <v>5</v>
      </c>
      <c r="G713">
        <f t="shared" si="33"/>
        <v>2370</v>
      </c>
      <c r="H713">
        <v>3</v>
      </c>
      <c r="I713">
        <f t="shared" si="34"/>
        <v>1422</v>
      </c>
      <c r="J713">
        <f t="shared" si="35"/>
        <v>948</v>
      </c>
      <c r="K713" t="s">
        <v>42</v>
      </c>
      <c r="L713" t="s">
        <v>73</v>
      </c>
      <c r="M713" t="s">
        <v>61</v>
      </c>
      <c r="N713" t="s">
        <v>38</v>
      </c>
      <c r="O713">
        <v>505</v>
      </c>
      <c r="P713">
        <v>474</v>
      </c>
      <c r="Q713" t="s">
        <v>103</v>
      </c>
      <c r="R713" t="s">
        <v>68</v>
      </c>
      <c r="S713" t="s">
        <v>104</v>
      </c>
      <c r="T713">
        <v>2023</v>
      </c>
      <c r="U713" t="s">
        <v>31</v>
      </c>
    </row>
    <row r="714" spans="1:21" x14ac:dyDescent="0.35">
      <c r="A714" s="1">
        <v>45304</v>
      </c>
      <c r="B714" t="s">
        <v>98</v>
      </c>
      <c r="C714" t="s">
        <v>99</v>
      </c>
      <c r="D714" t="s">
        <v>100</v>
      </c>
      <c r="E714">
        <v>23</v>
      </c>
      <c r="F714">
        <v>6</v>
      </c>
      <c r="G714">
        <f t="shared" si="33"/>
        <v>138</v>
      </c>
      <c r="H714">
        <v>4</v>
      </c>
      <c r="I714">
        <f t="shared" si="34"/>
        <v>92</v>
      </c>
      <c r="J714">
        <f t="shared" si="35"/>
        <v>46</v>
      </c>
      <c r="K714" t="s">
        <v>35</v>
      </c>
      <c r="L714" t="s">
        <v>63</v>
      </c>
      <c r="M714" t="s">
        <v>61</v>
      </c>
      <c r="N714" t="s">
        <v>38</v>
      </c>
      <c r="O714">
        <v>900</v>
      </c>
      <c r="P714">
        <v>23</v>
      </c>
      <c r="Q714" t="s">
        <v>67</v>
      </c>
      <c r="R714" t="s">
        <v>68</v>
      </c>
      <c r="S714" t="s">
        <v>69</v>
      </c>
      <c r="T714">
        <v>2020</v>
      </c>
      <c r="U714" t="s">
        <v>62</v>
      </c>
    </row>
    <row r="715" spans="1:21" x14ac:dyDescent="0.35">
      <c r="A715" s="1">
        <v>45305</v>
      </c>
      <c r="B715" t="s">
        <v>48</v>
      </c>
      <c r="C715" t="s">
        <v>49</v>
      </c>
      <c r="D715" t="s">
        <v>50</v>
      </c>
      <c r="E715">
        <v>435</v>
      </c>
      <c r="F715">
        <v>150</v>
      </c>
      <c r="G715">
        <f t="shared" si="33"/>
        <v>65250</v>
      </c>
      <c r="H715">
        <v>100</v>
      </c>
      <c r="I715">
        <f t="shared" si="34"/>
        <v>43500</v>
      </c>
      <c r="J715">
        <f t="shared" si="35"/>
        <v>21750</v>
      </c>
      <c r="K715" t="s">
        <v>42</v>
      </c>
      <c r="L715" t="s">
        <v>25</v>
      </c>
      <c r="M715" t="s">
        <v>26</v>
      </c>
      <c r="N715" t="s">
        <v>27</v>
      </c>
      <c r="O715">
        <v>851</v>
      </c>
      <c r="P715">
        <v>435</v>
      </c>
      <c r="Q715" t="s">
        <v>28</v>
      </c>
      <c r="R715" t="s">
        <v>29</v>
      </c>
      <c r="S715" t="s">
        <v>30</v>
      </c>
      <c r="T715">
        <v>2023</v>
      </c>
      <c r="U715" t="s">
        <v>47</v>
      </c>
    </row>
    <row r="716" spans="1:21" x14ac:dyDescent="0.35">
      <c r="A716" s="1">
        <v>45306</v>
      </c>
      <c r="B716" t="s">
        <v>80</v>
      </c>
      <c r="C716" t="s">
        <v>81</v>
      </c>
      <c r="D716" t="s">
        <v>82</v>
      </c>
      <c r="E716">
        <v>132</v>
      </c>
      <c r="F716">
        <v>2.5</v>
      </c>
      <c r="G716">
        <f t="shared" si="33"/>
        <v>330</v>
      </c>
      <c r="H716">
        <v>1.5</v>
      </c>
      <c r="I716">
        <f t="shared" si="34"/>
        <v>198</v>
      </c>
      <c r="J716">
        <f t="shared" si="35"/>
        <v>132</v>
      </c>
      <c r="K716" t="s">
        <v>42</v>
      </c>
      <c r="L716" t="s">
        <v>63</v>
      </c>
      <c r="M716" t="s">
        <v>61</v>
      </c>
      <c r="N716" t="s">
        <v>27</v>
      </c>
      <c r="O716">
        <v>879</v>
      </c>
      <c r="P716">
        <v>132</v>
      </c>
      <c r="Q716" t="s">
        <v>90</v>
      </c>
      <c r="R716" t="s">
        <v>55</v>
      </c>
      <c r="S716" t="s">
        <v>85</v>
      </c>
      <c r="T716">
        <v>2023</v>
      </c>
      <c r="U716" t="s">
        <v>62</v>
      </c>
    </row>
    <row r="717" spans="1:21" x14ac:dyDescent="0.35">
      <c r="A717" s="1">
        <v>45307</v>
      </c>
      <c r="B717" t="s">
        <v>48</v>
      </c>
      <c r="C717" t="s">
        <v>49</v>
      </c>
      <c r="D717" t="s">
        <v>50</v>
      </c>
      <c r="E717">
        <v>415</v>
      </c>
      <c r="F717">
        <v>150</v>
      </c>
      <c r="G717">
        <f t="shared" si="33"/>
        <v>62250</v>
      </c>
      <c r="H717">
        <v>100</v>
      </c>
      <c r="I717">
        <f t="shared" si="34"/>
        <v>41500</v>
      </c>
      <c r="J717">
        <f t="shared" si="35"/>
        <v>20750</v>
      </c>
      <c r="K717" t="s">
        <v>24</v>
      </c>
      <c r="L717" t="s">
        <v>63</v>
      </c>
      <c r="M717" t="s">
        <v>37</v>
      </c>
      <c r="N717" t="s">
        <v>27</v>
      </c>
      <c r="O717">
        <v>700</v>
      </c>
      <c r="P717">
        <v>415</v>
      </c>
      <c r="Q717" t="s">
        <v>92</v>
      </c>
      <c r="R717" t="s">
        <v>45</v>
      </c>
      <c r="S717" t="s">
        <v>93</v>
      </c>
      <c r="T717">
        <v>2024</v>
      </c>
      <c r="U717" t="s">
        <v>57</v>
      </c>
    </row>
    <row r="718" spans="1:21" x14ac:dyDescent="0.35">
      <c r="A718" s="1">
        <v>45308</v>
      </c>
      <c r="B718" t="s">
        <v>58</v>
      </c>
      <c r="C718" t="s">
        <v>59</v>
      </c>
      <c r="D718" t="s">
        <v>60</v>
      </c>
      <c r="E718">
        <v>241</v>
      </c>
      <c r="F718">
        <v>5</v>
      </c>
      <c r="G718">
        <f t="shared" si="33"/>
        <v>1205</v>
      </c>
      <c r="H718">
        <v>3</v>
      </c>
      <c r="I718">
        <f t="shared" si="34"/>
        <v>723</v>
      </c>
      <c r="J718">
        <f t="shared" si="35"/>
        <v>482</v>
      </c>
      <c r="K718" t="s">
        <v>35</v>
      </c>
      <c r="L718" t="s">
        <v>73</v>
      </c>
      <c r="M718" t="s">
        <v>61</v>
      </c>
      <c r="N718" t="s">
        <v>27</v>
      </c>
      <c r="O718">
        <v>670</v>
      </c>
      <c r="P718">
        <v>241</v>
      </c>
      <c r="Q718" t="s">
        <v>70</v>
      </c>
      <c r="R718" t="s">
        <v>71</v>
      </c>
      <c r="S718" t="s">
        <v>72</v>
      </c>
      <c r="T718">
        <v>2021</v>
      </c>
      <c r="U718" t="s">
        <v>97</v>
      </c>
    </row>
    <row r="719" spans="1:21" x14ac:dyDescent="0.35">
      <c r="A719" s="1">
        <v>45309</v>
      </c>
      <c r="B719" t="s">
        <v>58</v>
      </c>
      <c r="C719" t="s">
        <v>59</v>
      </c>
      <c r="D719" t="s">
        <v>60</v>
      </c>
      <c r="E719">
        <v>245</v>
      </c>
      <c r="F719">
        <v>5</v>
      </c>
      <c r="G719">
        <f t="shared" si="33"/>
        <v>1225</v>
      </c>
      <c r="H719">
        <v>3</v>
      </c>
      <c r="I719">
        <f t="shared" si="34"/>
        <v>735</v>
      </c>
      <c r="J719">
        <f t="shared" si="35"/>
        <v>490</v>
      </c>
      <c r="K719" t="s">
        <v>24</v>
      </c>
      <c r="L719" t="s">
        <v>25</v>
      </c>
      <c r="M719" t="s">
        <v>61</v>
      </c>
      <c r="N719" t="s">
        <v>38</v>
      </c>
      <c r="O719">
        <v>942</v>
      </c>
      <c r="P719">
        <v>245</v>
      </c>
      <c r="Q719" t="s">
        <v>28</v>
      </c>
      <c r="R719" t="s">
        <v>29</v>
      </c>
      <c r="S719" t="s">
        <v>30</v>
      </c>
      <c r="T719">
        <v>2024</v>
      </c>
      <c r="U719" t="s">
        <v>31</v>
      </c>
    </row>
    <row r="720" spans="1:21" x14ac:dyDescent="0.35">
      <c r="A720" s="1">
        <v>45310</v>
      </c>
      <c r="B720" t="s">
        <v>48</v>
      </c>
      <c r="C720" t="s">
        <v>49</v>
      </c>
      <c r="D720" t="s">
        <v>50</v>
      </c>
      <c r="E720">
        <v>428</v>
      </c>
      <c r="F720">
        <v>150</v>
      </c>
      <c r="G720">
        <f t="shared" si="33"/>
        <v>64200</v>
      </c>
      <c r="H720">
        <v>100</v>
      </c>
      <c r="I720">
        <f t="shared" si="34"/>
        <v>42800</v>
      </c>
      <c r="J720">
        <f t="shared" si="35"/>
        <v>21400</v>
      </c>
      <c r="K720" t="s">
        <v>24</v>
      </c>
      <c r="L720" t="s">
        <v>25</v>
      </c>
      <c r="M720" t="s">
        <v>26</v>
      </c>
      <c r="N720" t="s">
        <v>27</v>
      </c>
      <c r="O720">
        <v>501</v>
      </c>
      <c r="P720">
        <v>428</v>
      </c>
      <c r="Q720" t="s">
        <v>77</v>
      </c>
      <c r="R720" t="s">
        <v>78</v>
      </c>
      <c r="S720" t="s">
        <v>79</v>
      </c>
      <c r="T720">
        <v>2020</v>
      </c>
      <c r="U720" t="s">
        <v>57</v>
      </c>
    </row>
    <row r="721" spans="1:21" x14ac:dyDescent="0.35">
      <c r="A721" s="1">
        <v>45311</v>
      </c>
      <c r="B721" t="s">
        <v>21</v>
      </c>
      <c r="C721" t="s">
        <v>22</v>
      </c>
      <c r="D721" t="s">
        <v>23</v>
      </c>
      <c r="E721">
        <v>96</v>
      </c>
      <c r="F721">
        <v>8</v>
      </c>
      <c r="G721">
        <f t="shared" si="33"/>
        <v>768</v>
      </c>
      <c r="H721">
        <v>5</v>
      </c>
      <c r="I721">
        <f t="shared" si="34"/>
        <v>480</v>
      </c>
      <c r="J721">
        <f t="shared" si="35"/>
        <v>288</v>
      </c>
      <c r="K721" t="s">
        <v>42</v>
      </c>
      <c r="L721" t="s">
        <v>63</v>
      </c>
      <c r="M721" t="s">
        <v>26</v>
      </c>
      <c r="N721" t="s">
        <v>38</v>
      </c>
      <c r="O721">
        <v>596</v>
      </c>
      <c r="P721">
        <v>96</v>
      </c>
      <c r="Q721" t="s">
        <v>106</v>
      </c>
      <c r="R721" t="s">
        <v>107</v>
      </c>
      <c r="S721" t="s">
        <v>108</v>
      </c>
      <c r="T721">
        <v>2022</v>
      </c>
      <c r="U721" t="s">
        <v>62</v>
      </c>
    </row>
    <row r="722" spans="1:21" x14ac:dyDescent="0.35">
      <c r="A722" s="1">
        <v>45312</v>
      </c>
      <c r="B722" t="s">
        <v>21</v>
      </c>
      <c r="C722" t="s">
        <v>22</v>
      </c>
      <c r="D722" t="s">
        <v>23</v>
      </c>
      <c r="E722">
        <v>181</v>
      </c>
      <c r="F722">
        <v>8</v>
      </c>
      <c r="G722">
        <f t="shared" si="33"/>
        <v>1448</v>
      </c>
      <c r="H722">
        <v>5</v>
      </c>
      <c r="I722">
        <f t="shared" si="34"/>
        <v>905</v>
      </c>
      <c r="J722">
        <f t="shared" si="35"/>
        <v>543</v>
      </c>
      <c r="K722" t="s">
        <v>42</v>
      </c>
      <c r="L722" t="s">
        <v>73</v>
      </c>
      <c r="M722" t="s">
        <v>26</v>
      </c>
      <c r="N722" t="s">
        <v>43</v>
      </c>
      <c r="O722">
        <v>994</v>
      </c>
      <c r="P722">
        <v>181</v>
      </c>
      <c r="Q722" t="s">
        <v>70</v>
      </c>
      <c r="R722" t="s">
        <v>71</v>
      </c>
      <c r="S722" t="s">
        <v>72</v>
      </c>
      <c r="T722">
        <v>2022</v>
      </c>
      <c r="U722" t="s">
        <v>97</v>
      </c>
    </row>
    <row r="723" spans="1:21" x14ac:dyDescent="0.35">
      <c r="A723" s="1">
        <v>45313</v>
      </c>
      <c r="B723" t="s">
        <v>32</v>
      </c>
      <c r="C723" t="s">
        <v>33</v>
      </c>
      <c r="D723" t="s">
        <v>34</v>
      </c>
      <c r="E723">
        <v>314</v>
      </c>
      <c r="F723">
        <v>20</v>
      </c>
      <c r="G723">
        <f t="shared" si="33"/>
        <v>6280</v>
      </c>
      <c r="H723">
        <v>12</v>
      </c>
      <c r="I723">
        <f t="shared" si="34"/>
        <v>3768</v>
      </c>
      <c r="J723">
        <f t="shared" si="35"/>
        <v>2512</v>
      </c>
      <c r="K723" t="s">
        <v>42</v>
      </c>
      <c r="L723" t="s">
        <v>36</v>
      </c>
      <c r="M723" t="s">
        <v>37</v>
      </c>
      <c r="N723" t="s">
        <v>27</v>
      </c>
      <c r="O723">
        <v>849</v>
      </c>
      <c r="P723">
        <v>314</v>
      </c>
      <c r="Q723" t="s">
        <v>51</v>
      </c>
      <c r="R723" t="s">
        <v>45</v>
      </c>
      <c r="S723" t="s">
        <v>52</v>
      </c>
      <c r="T723">
        <v>2020</v>
      </c>
      <c r="U723" t="s">
        <v>57</v>
      </c>
    </row>
    <row r="724" spans="1:21" x14ac:dyDescent="0.35">
      <c r="A724" s="1">
        <v>45314</v>
      </c>
      <c r="B724" t="s">
        <v>80</v>
      </c>
      <c r="C724" t="s">
        <v>81</v>
      </c>
      <c r="D724" t="s">
        <v>82</v>
      </c>
      <c r="E724">
        <v>60</v>
      </c>
      <c r="F724">
        <v>2.5</v>
      </c>
      <c r="G724">
        <f t="shared" si="33"/>
        <v>150</v>
      </c>
      <c r="H724">
        <v>1.5</v>
      </c>
      <c r="I724">
        <f t="shared" si="34"/>
        <v>90</v>
      </c>
      <c r="J724">
        <f t="shared" si="35"/>
        <v>60</v>
      </c>
      <c r="K724" t="s">
        <v>42</v>
      </c>
      <c r="L724" t="s">
        <v>63</v>
      </c>
      <c r="M724" t="s">
        <v>61</v>
      </c>
      <c r="N724" t="s">
        <v>27</v>
      </c>
      <c r="O724">
        <v>592</v>
      </c>
      <c r="P724">
        <v>60</v>
      </c>
      <c r="Q724" t="s">
        <v>92</v>
      </c>
      <c r="R724" t="s">
        <v>45</v>
      </c>
      <c r="S724" t="s">
        <v>93</v>
      </c>
      <c r="T724">
        <v>2020</v>
      </c>
      <c r="U724" t="s">
        <v>57</v>
      </c>
    </row>
    <row r="725" spans="1:21" x14ac:dyDescent="0.35">
      <c r="A725" s="1">
        <v>45315</v>
      </c>
      <c r="B725" t="s">
        <v>98</v>
      </c>
      <c r="C725" t="s">
        <v>99</v>
      </c>
      <c r="D725" t="s">
        <v>100</v>
      </c>
      <c r="E725">
        <v>197</v>
      </c>
      <c r="F725">
        <v>6</v>
      </c>
      <c r="G725">
        <f t="shared" si="33"/>
        <v>1182</v>
      </c>
      <c r="H725">
        <v>4</v>
      </c>
      <c r="I725">
        <f t="shared" si="34"/>
        <v>788</v>
      </c>
      <c r="J725">
        <f t="shared" si="35"/>
        <v>394</v>
      </c>
      <c r="K725" t="s">
        <v>42</v>
      </c>
      <c r="L725" t="s">
        <v>73</v>
      </c>
      <c r="M725" t="s">
        <v>26</v>
      </c>
      <c r="N725" t="s">
        <v>43</v>
      </c>
      <c r="O725">
        <v>611</v>
      </c>
      <c r="P725">
        <v>197</v>
      </c>
      <c r="Q725" t="s">
        <v>113</v>
      </c>
      <c r="R725" t="s">
        <v>114</v>
      </c>
      <c r="S725" t="s">
        <v>115</v>
      </c>
      <c r="T725">
        <v>2021</v>
      </c>
      <c r="U725" t="s">
        <v>53</v>
      </c>
    </row>
    <row r="726" spans="1:21" x14ac:dyDescent="0.35">
      <c r="A726" s="1">
        <v>45316</v>
      </c>
      <c r="B726" t="s">
        <v>80</v>
      </c>
      <c r="C726" t="s">
        <v>81</v>
      </c>
      <c r="D726" t="s">
        <v>82</v>
      </c>
      <c r="E726">
        <v>168</v>
      </c>
      <c r="F726">
        <v>2.5</v>
      </c>
      <c r="G726">
        <f t="shared" si="33"/>
        <v>420</v>
      </c>
      <c r="H726">
        <v>1.5</v>
      </c>
      <c r="I726">
        <f t="shared" si="34"/>
        <v>252</v>
      </c>
      <c r="J726">
        <f t="shared" si="35"/>
        <v>168</v>
      </c>
      <c r="K726" t="s">
        <v>35</v>
      </c>
      <c r="L726" t="s">
        <v>25</v>
      </c>
      <c r="M726" t="s">
        <v>26</v>
      </c>
      <c r="N726" t="s">
        <v>38</v>
      </c>
      <c r="O726">
        <v>801</v>
      </c>
      <c r="P726">
        <v>168</v>
      </c>
      <c r="Q726" t="s">
        <v>70</v>
      </c>
      <c r="R726" t="s">
        <v>71</v>
      </c>
      <c r="S726" t="s">
        <v>72</v>
      </c>
      <c r="T726">
        <v>2023</v>
      </c>
      <c r="U726" t="s">
        <v>53</v>
      </c>
    </row>
    <row r="727" spans="1:21" x14ac:dyDescent="0.35">
      <c r="A727" s="1">
        <v>45317</v>
      </c>
      <c r="B727" t="s">
        <v>58</v>
      </c>
      <c r="C727" t="s">
        <v>59</v>
      </c>
      <c r="D727" t="s">
        <v>60</v>
      </c>
      <c r="E727">
        <v>147</v>
      </c>
      <c r="F727">
        <v>5</v>
      </c>
      <c r="G727">
        <f t="shared" si="33"/>
        <v>735</v>
      </c>
      <c r="H727">
        <v>3</v>
      </c>
      <c r="I727">
        <f t="shared" si="34"/>
        <v>441</v>
      </c>
      <c r="J727">
        <f t="shared" si="35"/>
        <v>294</v>
      </c>
      <c r="K727" t="s">
        <v>24</v>
      </c>
      <c r="L727" t="s">
        <v>36</v>
      </c>
      <c r="M727" t="s">
        <v>61</v>
      </c>
      <c r="N727" t="s">
        <v>38</v>
      </c>
      <c r="O727">
        <v>645</v>
      </c>
      <c r="P727">
        <v>147</v>
      </c>
      <c r="Q727" t="s">
        <v>101</v>
      </c>
      <c r="R727" t="s">
        <v>101</v>
      </c>
      <c r="S727" t="s">
        <v>102</v>
      </c>
      <c r="T727">
        <v>2020</v>
      </c>
      <c r="U727" t="s">
        <v>47</v>
      </c>
    </row>
    <row r="728" spans="1:21" x14ac:dyDescent="0.35">
      <c r="A728" s="1">
        <v>45318</v>
      </c>
      <c r="B728" t="s">
        <v>32</v>
      </c>
      <c r="C728" t="s">
        <v>33</v>
      </c>
      <c r="D728" t="s">
        <v>34</v>
      </c>
      <c r="E728">
        <v>340</v>
      </c>
      <c r="F728">
        <v>20</v>
      </c>
      <c r="G728">
        <f t="shared" si="33"/>
        <v>6800</v>
      </c>
      <c r="H728">
        <v>12</v>
      </c>
      <c r="I728">
        <f t="shared" si="34"/>
        <v>4080</v>
      </c>
      <c r="J728">
        <f t="shared" si="35"/>
        <v>2720</v>
      </c>
      <c r="K728" t="s">
        <v>24</v>
      </c>
      <c r="L728" t="s">
        <v>25</v>
      </c>
      <c r="M728" t="s">
        <v>37</v>
      </c>
      <c r="N728" t="s">
        <v>27</v>
      </c>
      <c r="O728">
        <v>747</v>
      </c>
      <c r="P728">
        <v>340</v>
      </c>
      <c r="Q728" t="s">
        <v>110</v>
      </c>
      <c r="R728" t="s">
        <v>111</v>
      </c>
      <c r="S728" t="s">
        <v>112</v>
      </c>
      <c r="T728">
        <v>2021</v>
      </c>
      <c r="U728" t="s">
        <v>96</v>
      </c>
    </row>
    <row r="729" spans="1:21" x14ac:dyDescent="0.35">
      <c r="A729" s="1">
        <v>45319</v>
      </c>
      <c r="B729" t="s">
        <v>98</v>
      </c>
      <c r="C729" t="s">
        <v>99</v>
      </c>
      <c r="D729" t="s">
        <v>100</v>
      </c>
      <c r="E729">
        <v>87</v>
      </c>
      <c r="F729">
        <v>6</v>
      </c>
      <c r="G729">
        <f t="shared" si="33"/>
        <v>522</v>
      </c>
      <c r="H729">
        <v>4</v>
      </c>
      <c r="I729">
        <f t="shared" si="34"/>
        <v>348</v>
      </c>
      <c r="J729">
        <f t="shared" si="35"/>
        <v>174</v>
      </c>
      <c r="K729" t="s">
        <v>35</v>
      </c>
      <c r="L729" t="s">
        <v>25</v>
      </c>
      <c r="M729" t="s">
        <v>61</v>
      </c>
      <c r="N729" t="s">
        <v>38</v>
      </c>
      <c r="O729">
        <v>979</v>
      </c>
      <c r="P729">
        <v>87</v>
      </c>
      <c r="Q729" t="s">
        <v>87</v>
      </c>
      <c r="R729" t="s">
        <v>88</v>
      </c>
      <c r="S729" t="s">
        <v>89</v>
      </c>
      <c r="T729">
        <v>2021</v>
      </c>
      <c r="U729" t="s">
        <v>53</v>
      </c>
    </row>
    <row r="730" spans="1:21" x14ac:dyDescent="0.35">
      <c r="A730" s="1">
        <v>45320</v>
      </c>
      <c r="B730" t="s">
        <v>98</v>
      </c>
      <c r="C730" t="s">
        <v>99</v>
      </c>
      <c r="D730" t="s">
        <v>100</v>
      </c>
      <c r="E730">
        <v>231</v>
      </c>
      <c r="F730">
        <v>6</v>
      </c>
      <c r="G730">
        <f t="shared" si="33"/>
        <v>1386</v>
      </c>
      <c r="H730">
        <v>4</v>
      </c>
      <c r="I730">
        <f t="shared" si="34"/>
        <v>924</v>
      </c>
      <c r="J730">
        <f t="shared" si="35"/>
        <v>462</v>
      </c>
      <c r="K730" t="s">
        <v>35</v>
      </c>
      <c r="L730" t="s">
        <v>36</v>
      </c>
      <c r="M730" t="s">
        <v>61</v>
      </c>
      <c r="N730" t="s">
        <v>43</v>
      </c>
      <c r="O730">
        <v>672</v>
      </c>
      <c r="P730">
        <v>231</v>
      </c>
      <c r="Q730" t="s">
        <v>83</v>
      </c>
      <c r="R730" t="s">
        <v>84</v>
      </c>
      <c r="S730" t="s">
        <v>85</v>
      </c>
      <c r="T730">
        <v>2020</v>
      </c>
      <c r="U730" t="s">
        <v>86</v>
      </c>
    </row>
    <row r="731" spans="1:21" x14ac:dyDescent="0.35">
      <c r="A731" s="1">
        <v>45321</v>
      </c>
      <c r="B731" t="s">
        <v>21</v>
      </c>
      <c r="C731" t="s">
        <v>22</v>
      </c>
      <c r="D731" t="s">
        <v>23</v>
      </c>
      <c r="E731">
        <v>341</v>
      </c>
      <c r="F731">
        <v>8</v>
      </c>
      <c r="G731">
        <f t="shared" si="33"/>
        <v>2728</v>
      </c>
      <c r="H731">
        <v>5</v>
      </c>
      <c r="I731">
        <f t="shared" si="34"/>
        <v>1705</v>
      </c>
      <c r="J731">
        <f t="shared" si="35"/>
        <v>1023</v>
      </c>
      <c r="K731" t="s">
        <v>42</v>
      </c>
      <c r="L731" t="s">
        <v>73</v>
      </c>
      <c r="M731" t="s">
        <v>26</v>
      </c>
      <c r="N731" t="s">
        <v>43</v>
      </c>
      <c r="O731">
        <v>746</v>
      </c>
      <c r="P731">
        <v>341</v>
      </c>
      <c r="Q731" t="s">
        <v>74</v>
      </c>
      <c r="R731" t="s">
        <v>75</v>
      </c>
      <c r="S731" t="s">
        <v>76</v>
      </c>
      <c r="T731">
        <v>2023</v>
      </c>
      <c r="U731" t="s">
        <v>91</v>
      </c>
    </row>
    <row r="732" spans="1:21" x14ac:dyDescent="0.35">
      <c r="A732" s="1">
        <v>45322</v>
      </c>
      <c r="B732" t="s">
        <v>80</v>
      </c>
      <c r="C732" t="s">
        <v>81</v>
      </c>
      <c r="D732" t="s">
        <v>82</v>
      </c>
      <c r="E732">
        <v>144</v>
      </c>
      <c r="F732">
        <v>2.5</v>
      </c>
      <c r="G732">
        <f t="shared" si="33"/>
        <v>360</v>
      </c>
      <c r="H732">
        <v>1.5</v>
      </c>
      <c r="I732">
        <f t="shared" si="34"/>
        <v>216</v>
      </c>
      <c r="J732">
        <f t="shared" si="35"/>
        <v>144</v>
      </c>
      <c r="K732" t="s">
        <v>24</v>
      </c>
      <c r="L732" t="s">
        <v>25</v>
      </c>
      <c r="M732" t="s">
        <v>26</v>
      </c>
      <c r="N732" t="s">
        <v>27</v>
      </c>
      <c r="O732">
        <v>941</v>
      </c>
      <c r="P732">
        <v>144</v>
      </c>
      <c r="Q732" t="s">
        <v>44</v>
      </c>
      <c r="R732" t="s">
        <v>45</v>
      </c>
      <c r="S732" t="s">
        <v>46</v>
      </c>
      <c r="T732">
        <v>2021</v>
      </c>
      <c r="U732" t="s">
        <v>53</v>
      </c>
    </row>
    <row r="733" spans="1:21" x14ac:dyDescent="0.35">
      <c r="A733" s="1">
        <v>45323</v>
      </c>
      <c r="B733" t="s">
        <v>21</v>
      </c>
      <c r="C733" t="s">
        <v>22</v>
      </c>
      <c r="D733" t="s">
        <v>23</v>
      </c>
      <c r="E733">
        <v>435</v>
      </c>
      <c r="F733">
        <v>8</v>
      </c>
      <c r="G733">
        <f t="shared" si="33"/>
        <v>3480</v>
      </c>
      <c r="H733">
        <v>5</v>
      </c>
      <c r="I733">
        <f t="shared" si="34"/>
        <v>2175</v>
      </c>
      <c r="J733">
        <f t="shared" si="35"/>
        <v>1305</v>
      </c>
      <c r="K733" t="s">
        <v>35</v>
      </c>
      <c r="L733" t="s">
        <v>25</v>
      </c>
      <c r="M733" t="s">
        <v>61</v>
      </c>
      <c r="N733" t="s">
        <v>38</v>
      </c>
      <c r="O733">
        <v>505</v>
      </c>
      <c r="P733">
        <v>435</v>
      </c>
      <c r="Q733" t="s">
        <v>74</v>
      </c>
      <c r="R733" t="s">
        <v>75</v>
      </c>
      <c r="S733" t="s">
        <v>76</v>
      </c>
      <c r="T733">
        <v>2021</v>
      </c>
      <c r="U733" t="s">
        <v>66</v>
      </c>
    </row>
    <row r="734" spans="1:21" x14ac:dyDescent="0.35">
      <c r="A734" s="1">
        <v>45324</v>
      </c>
      <c r="B734" t="s">
        <v>21</v>
      </c>
      <c r="C734" t="s">
        <v>22</v>
      </c>
      <c r="D734" t="s">
        <v>23</v>
      </c>
      <c r="E734">
        <v>14</v>
      </c>
      <c r="F734">
        <v>8</v>
      </c>
      <c r="G734">
        <f t="shared" si="33"/>
        <v>112</v>
      </c>
      <c r="H734">
        <v>5</v>
      </c>
      <c r="I734">
        <f t="shared" si="34"/>
        <v>70</v>
      </c>
      <c r="J734">
        <f t="shared" si="35"/>
        <v>42</v>
      </c>
      <c r="K734" t="s">
        <v>24</v>
      </c>
      <c r="L734" t="s">
        <v>73</v>
      </c>
      <c r="M734" t="s">
        <v>61</v>
      </c>
      <c r="N734" t="s">
        <v>38</v>
      </c>
      <c r="O734">
        <v>899</v>
      </c>
      <c r="P734">
        <v>14</v>
      </c>
      <c r="Q734" t="s">
        <v>83</v>
      </c>
      <c r="R734" t="s">
        <v>84</v>
      </c>
      <c r="S734" t="s">
        <v>85</v>
      </c>
      <c r="T734">
        <v>2021</v>
      </c>
      <c r="U734" t="s">
        <v>86</v>
      </c>
    </row>
    <row r="735" spans="1:21" x14ac:dyDescent="0.35">
      <c r="A735" s="1">
        <v>45325</v>
      </c>
      <c r="B735" t="s">
        <v>80</v>
      </c>
      <c r="C735" t="s">
        <v>81</v>
      </c>
      <c r="D735" t="s">
        <v>82</v>
      </c>
      <c r="E735">
        <v>24</v>
      </c>
      <c r="F735">
        <v>2.5</v>
      </c>
      <c r="G735">
        <f t="shared" si="33"/>
        <v>60</v>
      </c>
      <c r="H735">
        <v>1.5</v>
      </c>
      <c r="I735">
        <f t="shared" si="34"/>
        <v>36</v>
      </c>
      <c r="J735">
        <f t="shared" si="35"/>
        <v>24</v>
      </c>
      <c r="K735" t="s">
        <v>42</v>
      </c>
      <c r="L735" t="s">
        <v>73</v>
      </c>
      <c r="M735" t="s">
        <v>26</v>
      </c>
      <c r="N735" t="s">
        <v>43</v>
      </c>
      <c r="O735">
        <v>745</v>
      </c>
      <c r="P735">
        <v>24</v>
      </c>
      <c r="Q735" t="s">
        <v>70</v>
      </c>
      <c r="R735" t="s">
        <v>71</v>
      </c>
      <c r="S735" t="s">
        <v>72</v>
      </c>
      <c r="T735">
        <v>2020</v>
      </c>
      <c r="U735" t="s">
        <v>53</v>
      </c>
    </row>
    <row r="736" spans="1:21" x14ac:dyDescent="0.35">
      <c r="A736" s="1">
        <v>45326</v>
      </c>
      <c r="B736" t="s">
        <v>48</v>
      </c>
      <c r="C736" t="s">
        <v>49</v>
      </c>
      <c r="D736" t="s">
        <v>50</v>
      </c>
      <c r="E736">
        <v>133</v>
      </c>
      <c r="F736">
        <v>150</v>
      </c>
      <c r="G736">
        <f t="shared" si="33"/>
        <v>19950</v>
      </c>
      <c r="H736">
        <v>100</v>
      </c>
      <c r="I736">
        <f t="shared" si="34"/>
        <v>13300</v>
      </c>
      <c r="J736">
        <f t="shared" si="35"/>
        <v>6650</v>
      </c>
      <c r="K736" t="s">
        <v>35</v>
      </c>
      <c r="L736" t="s">
        <v>36</v>
      </c>
      <c r="M736" t="s">
        <v>61</v>
      </c>
      <c r="N736" t="s">
        <v>38</v>
      </c>
      <c r="O736">
        <v>638</v>
      </c>
      <c r="P736">
        <v>133</v>
      </c>
      <c r="Q736" t="s">
        <v>101</v>
      </c>
      <c r="R736" t="s">
        <v>101</v>
      </c>
      <c r="S736" t="s">
        <v>102</v>
      </c>
      <c r="T736">
        <v>2020</v>
      </c>
      <c r="U736" t="s">
        <v>62</v>
      </c>
    </row>
    <row r="737" spans="1:21" x14ac:dyDescent="0.35">
      <c r="A737" s="1">
        <v>45327</v>
      </c>
      <c r="B737" t="s">
        <v>32</v>
      </c>
      <c r="C737" t="s">
        <v>33</v>
      </c>
      <c r="D737" t="s">
        <v>34</v>
      </c>
      <c r="E737">
        <v>488</v>
      </c>
      <c r="F737">
        <v>20</v>
      </c>
      <c r="G737">
        <f t="shared" si="33"/>
        <v>9760</v>
      </c>
      <c r="H737">
        <v>12</v>
      </c>
      <c r="I737">
        <f t="shared" si="34"/>
        <v>5856</v>
      </c>
      <c r="J737">
        <f t="shared" si="35"/>
        <v>3904</v>
      </c>
      <c r="K737" t="s">
        <v>24</v>
      </c>
      <c r="L737" t="s">
        <v>63</v>
      </c>
      <c r="M737" t="s">
        <v>37</v>
      </c>
      <c r="N737" t="s">
        <v>43</v>
      </c>
      <c r="O737">
        <v>983</v>
      </c>
      <c r="P737">
        <v>488</v>
      </c>
      <c r="Q737" t="s">
        <v>64</v>
      </c>
      <c r="R737" t="s">
        <v>29</v>
      </c>
      <c r="S737" t="s">
        <v>65</v>
      </c>
      <c r="T737">
        <v>2023</v>
      </c>
      <c r="U737" t="s">
        <v>97</v>
      </c>
    </row>
    <row r="738" spans="1:21" x14ac:dyDescent="0.35">
      <c r="A738" s="1">
        <v>45328</v>
      </c>
      <c r="B738" t="s">
        <v>48</v>
      </c>
      <c r="C738" t="s">
        <v>49</v>
      </c>
      <c r="D738" t="s">
        <v>50</v>
      </c>
      <c r="E738">
        <v>195</v>
      </c>
      <c r="F738">
        <v>150</v>
      </c>
      <c r="G738">
        <f t="shared" si="33"/>
        <v>29250</v>
      </c>
      <c r="H738">
        <v>100</v>
      </c>
      <c r="I738">
        <f t="shared" si="34"/>
        <v>19500</v>
      </c>
      <c r="J738">
        <f t="shared" si="35"/>
        <v>9750</v>
      </c>
      <c r="K738" t="s">
        <v>24</v>
      </c>
      <c r="L738" t="s">
        <v>36</v>
      </c>
      <c r="M738" t="s">
        <v>61</v>
      </c>
      <c r="N738" t="s">
        <v>38</v>
      </c>
      <c r="O738">
        <v>935</v>
      </c>
      <c r="P738">
        <v>195</v>
      </c>
      <c r="Q738" t="s">
        <v>74</v>
      </c>
      <c r="R738" t="s">
        <v>75</v>
      </c>
      <c r="S738" t="s">
        <v>76</v>
      </c>
      <c r="T738">
        <v>2021</v>
      </c>
      <c r="U738" t="s">
        <v>57</v>
      </c>
    </row>
    <row r="739" spans="1:21" x14ac:dyDescent="0.35">
      <c r="A739" s="1">
        <v>45329</v>
      </c>
      <c r="B739" t="s">
        <v>21</v>
      </c>
      <c r="C739" t="s">
        <v>22</v>
      </c>
      <c r="D739" t="s">
        <v>23</v>
      </c>
      <c r="E739">
        <v>355</v>
      </c>
      <c r="F739">
        <v>8</v>
      </c>
      <c r="G739">
        <f t="shared" si="33"/>
        <v>2840</v>
      </c>
      <c r="H739">
        <v>5</v>
      </c>
      <c r="I739">
        <f t="shared" si="34"/>
        <v>1775</v>
      </c>
      <c r="J739">
        <f t="shared" si="35"/>
        <v>1065</v>
      </c>
      <c r="K739" t="s">
        <v>42</v>
      </c>
      <c r="L739" t="s">
        <v>63</v>
      </c>
      <c r="M739" t="s">
        <v>26</v>
      </c>
      <c r="N739" t="s">
        <v>38</v>
      </c>
      <c r="O739">
        <v>781</v>
      </c>
      <c r="P739">
        <v>355</v>
      </c>
      <c r="Q739" t="s">
        <v>51</v>
      </c>
      <c r="R739" t="s">
        <v>45</v>
      </c>
      <c r="S739" t="s">
        <v>52</v>
      </c>
      <c r="T739">
        <v>2022</v>
      </c>
      <c r="U739" t="s">
        <v>91</v>
      </c>
    </row>
    <row r="740" spans="1:21" x14ac:dyDescent="0.35">
      <c r="A740" s="1">
        <v>45330</v>
      </c>
      <c r="B740" t="s">
        <v>80</v>
      </c>
      <c r="C740" t="s">
        <v>81</v>
      </c>
      <c r="D740" t="s">
        <v>82</v>
      </c>
      <c r="E740">
        <v>54</v>
      </c>
      <c r="F740">
        <v>2.5</v>
      </c>
      <c r="G740">
        <f t="shared" si="33"/>
        <v>135</v>
      </c>
      <c r="H740">
        <v>1.5</v>
      </c>
      <c r="I740">
        <f t="shared" si="34"/>
        <v>81</v>
      </c>
      <c r="J740">
        <f t="shared" si="35"/>
        <v>54</v>
      </c>
      <c r="K740" t="s">
        <v>24</v>
      </c>
      <c r="L740" t="s">
        <v>36</v>
      </c>
      <c r="M740" t="s">
        <v>61</v>
      </c>
      <c r="N740" t="s">
        <v>43</v>
      </c>
      <c r="O740">
        <v>663</v>
      </c>
      <c r="P740">
        <v>54</v>
      </c>
      <c r="Q740" t="s">
        <v>44</v>
      </c>
      <c r="R740" t="s">
        <v>45</v>
      </c>
      <c r="S740" t="s">
        <v>46</v>
      </c>
      <c r="T740">
        <v>2024</v>
      </c>
      <c r="U740" t="s">
        <v>96</v>
      </c>
    </row>
    <row r="741" spans="1:21" x14ac:dyDescent="0.35">
      <c r="A741" s="1">
        <v>45331</v>
      </c>
      <c r="B741" t="s">
        <v>21</v>
      </c>
      <c r="C741" t="s">
        <v>22</v>
      </c>
      <c r="D741" t="s">
        <v>23</v>
      </c>
      <c r="E741">
        <v>216</v>
      </c>
      <c r="F741">
        <v>8</v>
      </c>
      <c r="G741">
        <f t="shared" si="33"/>
        <v>1728</v>
      </c>
      <c r="H741">
        <v>5</v>
      </c>
      <c r="I741">
        <f t="shared" si="34"/>
        <v>1080</v>
      </c>
      <c r="J741">
        <f t="shared" si="35"/>
        <v>648</v>
      </c>
      <c r="K741" t="s">
        <v>24</v>
      </c>
      <c r="L741" t="s">
        <v>25</v>
      </c>
      <c r="M741" t="s">
        <v>37</v>
      </c>
      <c r="N741" t="s">
        <v>43</v>
      </c>
      <c r="O741">
        <v>563</v>
      </c>
      <c r="P741">
        <v>216</v>
      </c>
      <c r="Q741" t="s">
        <v>44</v>
      </c>
      <c r="R741" t="s">
        <v>45</v>
      </c>
      <c r="S741" t="s">
        <v>46</v>
      </c>
      <c r="T741">
        <v>2021</v>
      </c>
      <c r="U741" t="s">
        <v>109</v>
      </c>
    </row>
    <row r="742" spans="1:21" x14ac:dyDescent="0.35">
      <c r="A742" s="1">
        <v>45332</v>
      </c>
      <c r="B742" t="s">
        <v>21</v>
      </c>
      <c r="C742" t="s">
        <v>22</v>
      </c>
      <c r="D742" t="s">
        <v>23</v>
      </c>
      <c r="E742">
        <v>500</v>
      </c>
      <c r="F742">
        <v>8</v>
      </c>
      <c r="G742">
        <f t="shared" si="33"/>
        <v>4000</v>
      </c>
      <c r="H742">
        <v>5</v>
      </c>
      <c r="I742">
        <f t="shared" si="34"/>
        <v>2500</v>
      </c>
      <c r="J742">
        <f t="shared" si="35"/>
        <v>1500</v>
      </c>
      <c r="K742" t="s">
        <v>35</v>
      </c>
      <c r="L742" t="s">
        <v>25</v>
      </c>
      <c r="M742" t="s">
        <v>37</v>
      </c>
      <c r="N742" t="s">
        <v>43</v>
      </c>
      <c r="O742">
        <v>645</v>
      </c>
      <c r="P742">
        <v>500</v>
      </c>
      <c r="Q742" t="s">
        <v>51</v>
      </c>
      <c r="R742" t="s">
        <v>45</v>
      </c>
      <c r="S742" t="s">
        <v>52</v>
      </c>
      <c r="T742">
        <v>2024</v>
      </c>
      <c r="U742" t="s">
        <v>96</v>
      </c>
    </row>
    <row r="743" spans="1:21" x14ac:dyDescent="0.35">
      <c r="A743" s="1">
        <v>45333</v>
      </c>
      <c r="B743" t="s">
        <v>32</v>
      </c>
      <c r="C743" t="s">
        <v>33</v>
      </c>
      <c r="D743" t="s">
        <v>34</v>
      </c>
      <c r="E743">
        <v>199</v>
      </c>
      <c r="F743">
        <v>20</v>
      </c>
      <c r="G743">
        <f t="shared" si="33"/>
        <v>3980</v>
      </c>
      <c r="H743">
        <v>12</v>
      </c>
      <c r="I743">
        <f t="shared" si="34"/>
        <v>2388</v>
      </c>
      <c r="J743">
        <f t="shared" si="35"/>
        <v>1592</v>
      </c>
      <c r="K743" t="s">
        <v>35</v>
      </c>
      <c r="L743" t="s">
        <v>36</v>
      </c>
      <c r="M743" t="s">
        <v>61</v>
      </c>
      <c r="N743" t="s">
        <v>38</v>
      </c>
      <c r="O743">
        <v>868</v>
      </c>
      <c r="P743">
        <v>199</v>
      </c>
      <c r="Q743" t="s">
        <v>67</v>
      </c>
      <c r="R743" t="s">
        <v>68</v>
      </c>
      <c r="S743" t="s">
        <v>69</v>
      </c>
      <c r="T743">
        <v>2022</v>
      </c>
      <c r="U743" t="s">
        <v>109</v>
      </c>
    </row>
    <row r="744" spans="1:21" x14ac:dyDescent="0.35">
      <c r="A744" s="1">
        <v>45334</v>
      </c>
      <c r="B744" t="s">
        <v>58</v>
      </c>
      <c r="C744" t="s">
        <v>59</v>
      </c>
      <c r="D744" t="s">
        <v>60</v>
      </c>
      <c r="E744">
        <v>21</v>
      </c>
      <c r="F744">
        <v>5</v>
      </c>
      <c r="G744">
        <f t="shared" si="33"/>
        <v>105</v>
      </c>
      <c r="H744">
        <v>3</v>
      </c>
      <c r="I744">
        <f t="shared" si="34"/>
        <v>63</v>
      </c>
      <c r="J744">
        <f t="shared" si="35"/>
        <v>42</v>
      </c>
      <c r="K744" t="s">
        <v>24</v>
      </c>
      <c r="L744" t="s">
        <v>63</v>
      </c>
      <c r="M744" t="s">
        <v>61</v>
      </c>
      <c r="N744" t="s">
        <v>27</v>
      </c>
      <c r="O744">
        <v>642</v>
      </c>
      <c r="P744">
        <v>21</v>
      </c>
      <c r="Q744" t="s">
        <v>94</v>
      </c>
      <c r="R744" t="s">
        <v>75</v>
      </c>
      <c r="S744" t="s">
        <v>95</v>
      </c>
      <c r="T744">
        <v>2020</v>
      </c>
      <c r="U744" t="s">
        <v>31</v>
      </c>
    </row>
    <row r="745" spans="1:21" x14ac:dyDescent="0.35">
      <c r="A745" s="1">
        <v>45335</v>
      </c>
      <c r="B745" t="s">
        <v>98</v>
      </c>
      <c r="C745" t="s">
        <v>99</v>
      </c>
      <c r="D745" t="s">
        <v>100</v>
      </c>
      <c r="E745">
        <v>416</v>
      </c>
      <c r="F745">
        <v>6</v>
      </c>
      <c r="G745">
        <f t="shared" si="33"/>
        <v>2496</v>
      </c>
      <c r="H745">
        <v>4</v>
      </c>
      <c r="I745">
        <f t="shared" si="34"/>
        <v>1664</v>
      </c>
      <c r="J745">
        <f t="shared" si="35"/>
        <v>832</v>
      </c>
      <c r="K745" t="s">
        <v>42</v>
      </c>
      <c r="L745" t="s">
        <v>36</v>
      </c>
      <c r="M745" t="s">
        <v>61</v>
      </c>
      <c r="N745" t="s">
        <v>27</v>
      </c>
      <c r="O745">
        <v>538</v>
      </c>
      <c r="P745">
        <v>416</v>
      </c>
      <c r="Q745" t="s">
        <v>67</v>
      </c>
      <c r="R745" t="s">
        <v>68</v>
      </c>
      <c r="S745" t="s">
        <v>69</v>
      </c>
      <c r="T745">
        <v>2021</v>
      </c>
      <c r="U745" t="s">
        <v>31</v>
      </c>
    </row>
    <row r="746" spans="1:21" x14ac:dyDescent="0.35">
      <c r="A746" s="1">
        <v>45336</v>
      </c>
      <c r="B746" t="s">
        <v>48</v>
      </c>
      <c r="C746" t="s">
        <v>49</v>
      </c>
      <c r="D746" t="s">
        <v>50</v>
      </c>
      <c r="E746">
        <v>49</v>
      </c>
      <c r="F746">
        <v>150</v>
      </c>
      <c r="G746">
        <f t="shared" si="33"/>
        <v>7350</v>
      </c>
      <c r="H746">
        <v>100</v>
      </c>
      <c r="I746">
        <f t="shared" si="34"/>
        <v>4900</v>
      </c>
      <c r="J746">
        <f t="shared" si="35"/>
        <v>2450</v>
      </c>
      <c r="K746" t="s">
        <v>24</v>
      </c>
      <c r="L746" t="s">
        <v>63</v>
      </c>
      <c r="M746" t="s">
        <v>37</v>
      </c>
      <c r="N746" t="s">
        <v>27</v>
      </c>
      <c r="O746">
        <v>533</v>
      </c>
      <c r="P746">
        <v>49</v>
      </c>
      <c r="Q746" t="s">
        <v>87</v>
      </c>
      <c r="R746" t="s">
        <v>88</v>
      </c>
      <c r="S746" t="s">
        <v>89</v>
      </c>
      <c r="T746">
        <v>2024</v>
      </c>
      <c r="U746" t="s">
        <v>62</v>
      </c>
    </row>
    <row r="747" spans="1:21" x14ac:dyDescent="0.35">
      <c r="A747" s="1">
        <v>45337</v>
      </c>
      <c r="B747" t="s">
        <v>58</v>
      </c>
      <c r="C747" t="s">
        <v>59</v>
      </c>
      <c r="D747" t="s">
        <v>60</v>
      </c>
      <c r="E747">
        <v>426</v>
      </c>
      <c r="F747">
        <v>5</v>
      </c>
      <c r="G747">
        <f t="shared" si="33"/>
        <v>2130</v>
      </c>
      <c r="H747">
        <v>3</v>
      </c>
      <c r="I747">
        <f t="shared" si="34"/>
        <v>1278</v>
      </c>
      <c r="J747">
        <f t="shared" si="35"/>
        <v>852</v>
      </c>
      <c r="K747" t="s">
        <v>35</v>
      </c>
      <c r="L747" t="s">
        <v>73</v>
      </c>
      <c r="M747" t="s">
        <v>26</v>
      </c>
      <c r="N747" t="s">
        <v>43</v>
      </c>
      <c r="O747">
        <v>784</v>
      </c>
      <c r="P747">
        <v>426</v>
      </c>
      <c r="Q747" t="s">
        <v>90</v>
      </c>
      <c r="R747" t="s">
        <v>55</v>
      </c>
      <c r="S747" t="s">
        <v>85</v>
      </c>
      <c r="T747">
        <v>2022</v>
      </c>
      <c r="U747" t="s">
        <v>96</v>
      </c>
    </row>
    <row r="748" spans="1:21" x14ac:dyDescent="0.35">
      <c r="A748" s="1">
        <v>45338</v>
      </c>
      <c r="B748" t="s">
        <v>80</v>
      </c>
      <c r="C748" t="s">
        <v>81</v>
      </c>
      <c r="D748" t="s">
        <v>82</v>
      </c>
      <c r="E748">
        <v>363</v>
      </c>
      <c r="F748">
        <v>2.5</v>
      </c>
      <c r="G748">
        <f t="shared" si="33"/>
        <v>907.5</v>
      </c>
      <c r="H748">
        <v>1.5</v>
      </c>
      <c r="I748">
        <f t="shared" si="34"/>
        <v>544.5</v>
      </c>
      <c r="J748">
        <f t="shared" si="35"/>
        <v>363</v>
      </c>
      <c r="K748" t="s">
        <v>24</v>
      </c>
      <c r="L748" t="s">
        <v>36</v>
      </c>
      <c r="M748" t="s">
        <v>61</v>
      </c>
      <c r="N748" t="s">
        <v>38</v>
      </c>
      <c r="O748">
        <v>893</v>
      </c>
      <c r="P748">
        <v>363</v>
      </c>
      <c r="Q748" t="s">
        <v>94</v>
      </c>
      <c r="R748" t="s">
        <v>75</v>
      </c>
      <c r="S748" t="s">
        <v>95</v>
      </c>
      <c r="T748">
        <v>2020</v>
      </c>
      <c r="U748" t="s">
        <v>96</v>
      </c>
    </row>
    <row r="749" spans="1:21" x14ac:dyDescent="0.35">
      <c r="A749" s="1">
        <v>45339</v>
      </c>
      <c r="B749" t="s">
        <v>98</v>
      </c>
      <c r="C749" t="s">
        <v>99</v>
      </c>
      <c r="D749" t="s">
        <v>100</v>
      </c>
      <c r="E749">
        <v>206</v>
      </c>
      <c r="F749">
        <v>6</v>
      </c>
      <c r="G749">
        <f t="shared" si="33"/>
        <v>1236</v>
      </c>
      <c r="H749">
        <v>4</v>
      </c>
      <c r="I749">
        <f t="shared" si="34"/>
        <v>824</v>
      </c>
      <c r="J749">
        <f t="shared" si="35"/>
        <v>412</v>
      </c>
      <c r="K749" t="s">
        <v>24</v>
      </c>
      <c r="L749" t="s">
        <v>73</v>
      </c>
      <c r="M749" t="s">
        <v>61</v>
      </c>
      <c r="N749" t="s">
        <v>38</v>
      </c>
      <c r="O749">
        <v>599</v>
      </c>
      <c r="P749">
        <v>206</v>
      </c>
      <c r="Q749" t="s">
        <v>67</v>
      </c>
      <c r="R749" t="s">
        <v>68</v>
      </c>
      <c r="S749" t="s">
        <v>69</v>
      </c>
      <c r="T749">
        <v>2020</v>
      </c>
      <c r="U749" t="s">
        <v>91</v>
      </c>
    </row>
    <row r="750" spans="1:21" x14ac:dyDescent="0.35">
      <c r="A750" s="1">
        <v>45340</v>
      </c>
      <c r="B750" t="s">
        <v>58</v>
      </c>
      <c r="C750" t="s">
        <v>59</v>
      </c>
      <c r="D750" t="s">
        <v>60</v>
      </c>
      <c r="E750">
        <v>69</v>
      </c>
      <c r="F750">
        <v>5</v>
      </c>
      <c r="G750">
        <f t="shared" si="33"/>
        <v>345</v>
      </c>
      <c r="H750">
        <v>3</v>
      </c>
      <c r="I750">
        <f t="shared" si="34"/>
        <v>207</v>
      </c>
      <c r="J750">
        <f t="shared" si="35"/>
        <v>138</v>
      </c>
      <c r="K750" t="s">
        <v>24</v>
      </c>
      <c r="L750" t="s">
        <v>63</v>
      </c>
      <c r="M750" t="s">
        <v>61</v>
      </c>
      <c r="N750" t="s">
        <v>43</v>
      </c>
      <c r="O750">
        <v>642</v>
      </c>
      <c r="P750">
        <v>69</v>
      </c>
      <c r="Q750" t="s">
        <v>77</v>
      </c>
      <c r="R750" t="s">
        <v>78</v>
      </c>
      <c r="S750" t="s">
        <v>79</v>
      </c>
      <c r="T750">
        <v>2020</v>
      </c>
      <c r="U750" t="s">
        <v>31</v>
      </c>
    </row>
    <row r="751" spans="1:21" x14ac:dyDescent="0.35">
      <c r="A751" s="1">
        <v>45341</v>
      </c>
      <c r="B751" t="s">
        <v>58</v>
      </c>
      <c r="C751" t="s">
        <v>59</v>
      </c>
      <c r="D751" t="s">
        <v>60</v>
      </c>
      <c r="E751">
        <v>157</v>
      </c>
      <c r="F751">
        <v>5</v>
      </c>
      <c r="G751">
        <f t="shared" si="33"/>
        <v>785</v>
      </c>
      <c r="H751">
        <v>3</v>
      </c>
      <c r="I751">
        <f t="shared" si="34"/>
        <v>471</v>
      </c>
      <c r="J751">
        <f t="shared" si="35"/>
        <v>314</v>
      </c>
      <c r="K751" t="s">
        <v>24</v>
      </c>
      <c r="L751" t="s">
        <v>63</v>
      </c>
      <c r="M751" t="s">
        <v>61</v>
      </c>
      <c r="N751" t="s">
        <v>43</v>
      </c>
      <c r="O751">
        <v>683</v>
      </c>
      <c r="P751">
        <v>157</v>
      </c>
      <c r="Q751" t="s">
        <v>77</v>
      </c>
      <c r="R751" t="s">
        <v>78</v>
      </c>
      <c r="S751" t="s">
        <v>79</v>
      </c>
      <c r="T751">
        <v>2022</v>
      </c>
      <c r="U751" t="s">
        <v>47</v>
      </c>
    </row>
    <row r="752" spans="1:21" x14ac:dyDescent="0.35">
      <c r="A752" s="1">
        <v>45342</v>
      </c>
      <c r="B752" t="s">
        <v>21</v>
      </c>
      <c r="C752" t="s">
        <v>22</v>
      </c>
      <c r="D752" t="s">
        <v>23</v>
      </c>
      <c r="E752">
        <v>248</v>
      </c>
      <c r="F752">
        <v>8</v>
      </c>
      <c r="G752">
        <f t="shared" si="33"/>
        <v>1984</v>
      </c>
      <c r="H752">
        <v>5</v>
      </c>
      <c r="I752">
        <f t="shared" si="34"/>
        <v>1240</v>
      </c>
      <c r="J752">
        <f t="shared" si="35"/>
        <v>744</v>
      </c>
      <c r="K752" t="s">
        <v>35</v>
      </c>
      <c r="L752" t="s">
        <v>73</v>
      </c>
      <c r="M752" t="s">
        <v>37</v>
      </c>
      <c r="N752" t="s">
        <v>43</v>
      </c>
      <c r="O752">
        <v>592</v>
      </c>
      <c r="P752">
        <v>248</v>
      </c>
      <c r="Q752" t="s">
        <v>94</v>
      </c>
      <c r="R752" t="s">
        <v>75</v>
      </c>
      <c r="S752" t="s">
        <v>95</v>
      </c>
      <c r="T752">
        <v>2024</v>
      </c>
      <c r="U752" t="s">
        <v>97</v>
      </c>
    </row>
    <row r="753" spans="1:21" x14ac:dyDescent="0.35">
      <c r="A753" s="1">
        <v>45343</v>
      </c>
      <c r="B753" t="s">
        <v>80</v>
      </c>
      <c r="C753" t="s">
        <v>81</v>
      </c>
      <c r="D753" t="s">
        <v>82</v>
      </c>
      <c r="E753">
        <v>241</v>
      </c>
      <c r="F753">
        <v>2.5</v>
      </c>
      <c r="G753">
        <f t="shared" si="33"/>
        <v>602.5</v>
      </c>
      <c r="H753">
        <v>1.5</v>
      </c>
      <c r="I753">
        <f t="shared" si="34"/>
        <v>361.5</v>
      </c>
      <c r="J753">
        <f t="shared" si="35"/>
        <v>241</v>
      </c>
      <c r="K753" t="s">
        <v>24</v>
      </c>
      <c r="L753" t="s">
        <v>25</v>
      </c>
      <c r="M753" t="s">
        <v>26</v>
      </c>
      <c r="N753" t="s">
        <v>38</v>
      </c>
      <c r="O753">
        <v>691</v>
      </c>
      <c r="P753">
        <v>241</v>
      </c>
      <c r="Q753" t="s">
        <v>110</v>
      </c>
      <c r="R753" t="s">
        <v>111</v>
      </c>
      <c r="S753" t="s">
        <v>112</v>
      </c>
      <c r="T753">
        <v>2021</v>
      </c>
      <c r="U753" t="s">
        <v>86</v>
      </c>
    </row>
    <row r="754" spans="1:21" x14ac:dyDescent="0.35">
      <c r="A754" s="1">
        <v>45344</v>
      </c>
      <c r="B754" t="s">
        <v>58</v>
      </c>
      <c r="C754" t="s">
        <v>59</v>
      </c>
      <c r="D754" t="s">
        <v>60</v>
      </c>
      <c r="E754">
        <v>384</v>
      </c>
      <c r="F754">
        <v>5</v>
      </c>
      <c r="G754">
        <f t="shared" si="33"/>
        <v>1920</v>
      </c>
      <c r="H754">
        <v>3</v>
      </c>
      <c r="I754">
        <f t="shared" si="34"/>
        <v>1152</v>
      </c>
      <c r="J754">
        <f t="shared" si="35"/>
        <v>768</v>
      </c>
      <c r="K754" t="s">
        <v>24</v>
      </c>
      <c r="L754" t="s">
        <v>36</v>
      </c>
      <c r="M754" t="s">
        <v>61</v>
      </c>
      <c r="N754" t="s">
        <v>43</v>
      </c>
      <c r="O754">
        <v>930</v>
      </c>
      <c r="P754">
        <v>384</v>
      </c>
      <c r="Q754" t="s">
        <v>64</v>
      </c>
      <c r="R754" t="s">
        <v>29</v>
      </c>
      <c r="S754" t="s">
        <v>65</v>
      </c>
      <c r="T754">
        <v>2022</v>
      </c>
      <c r="U754" t="s">
        <v>47</v>
      </c>
    </row>
    <row r="755" spans="1:21" x14ac:dyDescent="0.35">
      <c r="A755" s="1">
        <v>45345</v>
      </c>
      <c r="B755" t="s">
        <v>32</v>
      </c>
      <c r="C755" t="s">
        <v>33</v>
      </c>
      <c r="D755" t="s">
        <v>34</v>
      </c>
      <c r="E755">
        <v>280</v>
      </c>
      <c r="F755">
        <v>20</v>
      </c>
      <c r="G755">
        <f t="shared" si="33"/>
        <v>5600</v>
      </c>
      <c r="H755">
        <v>12</v>
      </c>
      <c r="I755">
        <f t="shared" si="34"/>
        <v>3360</v>
      </c>
      <c r="J755">
        <f t="shared" si="35"/>
        <v>2240</v>
      </c>
      <c r="K755" t="s">
        <v>24</v>
      </c>
      <c r="L755" t="s">
        <v>36</v>
      </c>
      <c r="M755" t="s">
        <v>61</v>
      </c>
      <c r="N755" t="s">
        <v>43</v>
      </c>
      <c r="O755">
        <v>986</v>
      </c>
      <c r="P755">
        <v>280</v>
      </c>
      <c r="Q755" t="s">
        <v>83</v>
      </c>
      <c r="R755" t="s">
        <v>84</v>
      </c>
      <c r="S755" t="s">
        <v>85</v>
      </c>
      <c r="T755">
        <v>2023</v>
      </c>
      <c r="U755" t="s">
        <v>86</v>
      </c>
    </row>
    <row r="756" spans="1:21" x14ac:dyDescent="0.35">
      <c r="A756" s="1">
        <v>45346</v>
      </c>
      <c r="B756" t="s">
        <v>98</v>
      </c>
      <c r="C756" t="s">
        <v>99</v>
      </c>
      <c r="D756" t="s">
        <v>100</v>
      </c>
      <c r="E756">
        <v>28</v>
      </c>
      <c r="F756">
        <v>6</v>
      </c>
      <c r="G756">
        <f t="shared" si="33"/>
        <v>168</v>
      </c>
      <c r="H756">
        <v>4</v>
      </c>
      <c r="I756">
        <f t="shared" si="34"/>
        <v>112</v>
      </c>
      <c r="J756">
        <f t="shared" si="35"/>
        <v>56</v>
      </c>
      <c r="K756" t="s">
        <v>35</v>
      </c>
      <c r="L756" t="s">
        <v>25</v>
      </c>
      <c r="M756" t="s">
        <v>37</v>
      </c>
      <c r="N756" t="s">
        <v>27</v>
      </c>
      <c r="O756">
        <v>921</v>
      </c>
      <c r="P756">
        <v>28</v>
      </c>
      <c r="Q756" t="s">
        <v>44</v>
      </c>
      <c r="R756" t="s">
        <v>45</v>
      </c>
      <c r="S756" t="s">
        <v>46</v>
      </c>
      <c r="T756">
        <v>2022</v>
      </c>
      <c r="U756" t="s">
        <v>31</v>
      </c>
    </row>
    <row r="757" spans="1:21" x14ac:dyDescent="0.35">
      <c r="A757" s="1">
        <v>45347</v>
      </c>
      <c r="B757" t="s">
        <v>98</v>
      </c>
      <c r="C757" t="s">
        <v>99</v>
      </c>
      <c r="D757" t="s">
        <v>100</v>
      </c>
      <c r="E757">
        <v>266</v>
      </c>
      <c r="F757">
        <v>6</v>
      </c>
      <c r="G757">
        <f t="shared" si="33"/>
        <v>1596</v>
      </c>
      <c r="H757">
        <v>4</v>
      </c>
      <c r="I757">
        <f t="shared" si="34"/>
        <v>1064</v>
      </c>
      <c r="J757">
        <f t="shared" si="35"/>
        <v>532</v>
      </c>
      <c r="K757" t="s">
        <v>35</v>
      </c>
      <c r="L757" t="s">
        <v>63</v>
      </c>
      <c r="M757" t="s">
        <v>37</v>
      </c>
      <c r="N757" t="s">
        <v>27</v>
      </c>
      <c r="O757">
        <v>723</v>
      </c>
      <c r="P757">
        <v>266</v>
      </c>
      <c r="Q757" t="s">
        <v>70</v>
      </c>
      <c r="R757" t="s">
        <v>71</v>
      </c>
      <c r="S757" t="s">
        <v>72</v>
      </c>
      <c r="T757">
        <v>2022</v>
      </c>
      <c r="U757" t="s">
        <v>91</v>
      </c>
    </row>
    <row r="758" spans="1:21" x14ac:dyDescent="0.35">
      <c r="A758" s="1">
        <v>45348</v>
      </c>
      <c r="B758" t="s">
        <v>80</v>
      </c>
      <c r="C758" t="s">
        <v>81</v>
      </c>
      <c r="D758" t="s">
        <v>82</v>
      </c>
      <c r="E758">
        <v>72</v>
      </c>
      <c r="F758">
        <v>2.5</v>
      </c>
      <c r="G758">
        <f t="shared" si="33"/>
        <v>180</v>
      </c>
      <c r="H758">
        <v>1.5</v>
      </c>
      <c r="I758">
        <f t="shared" si="34"/>
        <v>108</v>
      </c>
      <c r="J758">
        <f t="shared" si="35"/>
        <v>72</v>
      </c>
      <c r="K758" t="s">
        <v>42</v>
      </c>
      <c r="L758" t="s">
        <v>73</v>
      </c>
      <c r="M758" t="s">
        <v>37</v>
      </c>
      <c r="N758" t="s">
        <v>27</v>
      </c>
      <c r="O758">
        <v>723</v>
      </c>
      <c r="P758">
        <v>72</v>
      </c>
      <c r="Q758" t="s">
        <v>67</v>
      </c>
      <c r="R758" t="s">
        <v>68</v>
      </c>
      <c r="S758" t="s">
        <v>69</v>
      </c>
      <c r="T758">
        <v>2023</v>
      </c>
      <c r="U758" t="s">
        <v>86</v>
      </c>
    </row>
    <row r="759" spans="1:21" x14ac:dyDescent="0.35">
      <c r="A759" s="1">
        <v>45349</v>
      </c>
      <c r="B759" t="s">
        <v>80</v>
      </c>
      <c r="C759" t="s">
        <v>81</v>
      </c>
      <c r="D759" t="s">
        <v>82</v>
      </c>
      <c r="E759">
        <v>118</v>
      </c>
      <c r="F759">
        <v>2.5</v>
      </c>
      <c r="G759">
        <f t="shared" si="33"/>
        <v>295</v>
      </c>
      <c r="H759">
        <v>1.5</v>
      </c>
      <c r="I759">
        <f t="shared" si="34"/>
        <v>177</v>
      </c>
      <c r="J759">
        <f t="shared" si="35"/>
        <v>118</v>
      </c>
      <c r="K759" t="s">
        <v>42</v>
      </c>
      <c r="L759" t="s">
        <v>36</v>
      </c>
      <c r="M759" t="s">
        <v>61</v>
      </c>
      <c r="N759" t="s">
        <v>38</v>
      </c>
      <c r="O759">
        <v>514</v>
      </c>
      <c r="P759">
        <v>118</v>
      </c>
      <c r="Q759" t="s">
        <v>90</v>
      </c>
      <c r="R759" t="s">
        <v>55</v>
      </c>
      <c r="S759" t="s">
        <v>85</v>
      </c>
      <c r="T759">
        <v>2020</v>
      </c>
      <c r="U759" t="s">
        <v>109</v>
      </c>
    </row>
    <row r="760" spans="1:21" x14ac:dyDescent="0.35">
      <c r="A760" s="1">
        <v>45350</v>
      </c>
      <c r="B760" t="s">
        <v>80</v>
      </c>
      <c r="C760" t="s">
        <v>81</v>
      </c>
      <c r="D760" t="s">
        <v>82</v>
      </c>
      <c r="E760">
        <v>290</v>
      </c>
      <c r="F760">
        <v>2.5</v>
      </c>
      <c r="G760">
        <f t="shared" si="33"/>
        <v>725</v>
      </c>
      <c r="H760">
        <v>1.5</v>
      </c>
      <c r="I760">
        <f t="shared" si="34"/>
        <v>435</v>
      </c>
      <c r="J760">
        <f t="shared" si="35"/>
        <v>290</v>
      </c>
      <c r="K760" t="s">
        <v>24</v>
      </c>
      <c r="L760" t="s">
        <v>36</v>
      </c>
      <c r="M760" t="s">
        <v>61</v>
      </c>
      <c r="N760" t="s">
        <v>27</v>
      </c>
      <c r="O760">
        <v>678</v>
      </c>
      <c r="P760">
        <v>290</v>
      </c>
      <c r="Q760" t="s">
        <v>87</v>
      </c>
      <c r="R760" t="s">
        <v>88</v>
      </c>
      <c r="S760" t="s">
        <v>89</v>
      </c>
      <c r="T760">
        <v>2022</v>
      </c>
      <c r="U760" t="s">
        <v>66</v>
      </c>
    </row>
    <row r="761" spans="1:21" x14ac:dyDescent="0.35">
      <c r="A761" s="1">
        <v>45351</v>
      </c>
      <c r="B761" t="s">
        <v>80</v>
      </c>
      <c r="C761" t="s">
        <v>81</v>
      </c>
      <c r="D761" t="s">
        <v>82</v>
      </c>
      <c r="E761">
        <v>90</v>
      </c>
      <c r="F761">
        <v>2.5</v>
      </c>
      <c r="G761">
        <f t="shared" si="33"/>
        <v>225</v>
      </c>
      <c r="H761">
        <v>1.5</v>
      </c>
      <c r="I761">
        <f t="shared" si="34"/>
        <v>135</v>
      </c>
      <c r="J761">
        <f t="shared" si="35"/>
        <v>90</v>
      </c>
      <c r="K761" t="s">
        <v>24</v>
      </c>
      <c r="L761" t="s">
        <v>36</v>
      </c>
      <c r="M761" t="s">
        <v>37</v>
      </c>
      <c r="N761" t="s">
        <v>43</v>
      </c>
      <c r="O761">
        <v>806</v>
      </c>
      <c r="P761">
        <v>90</v>
      </c>
      <c r="Q761" t="s">
        <v>64</v>
      </c>
      <c r="R761" t="s">
        <v>29</v>
      </c>
      <c r="S761" t="s">
        <v>65</v>
      </c>
      <c r="T761">
        <v>2023</v>
      </c>
      <c r="U761" t="s">
        <v>66</v>
      </c>
    </row>
    <row r="762" spans="1:21" x14ac:dyDescent="0.35">
      <c r="A762" s="1">
        <v>45352</v>
      </c>
      <c r="B762" t="s">
        <v>21</v>
      </c>
      <c r="C762" t="s">
        <v>22</v>
      </c>
      <c r="D762" t="s">
        <v>23</v>
      </c>
      <c r="E762">
        <v>204</v>
      </c>
      <c r="F762">
        <v>8</v>
      </c>
      <c r="G762">
        <f t="shared" si="33"/>
        <v>1632</v>
      </c>
      <c r="H762">
        <v>5</v>
      </c>
      <c r="I762">
        <f t="shared" si="34"/>
        <v>1020</v>
      </c>
      <c r="J762">
        <f t="shared" si="35"/>
        <v>612</v>
      </c>
      <c r="K762" t="s">
        <v>35</v>
      </c>
      <c r="L762" t="s">
        <v>36</v>
      </c>
      <c r="M762" t="s">
        <v>37</v>
      </c>
      <c r="N762" t="s">
        <v>38</v>
      </c>
      <c r="O762">
        <v>769</v>
      </c>
      <c r="P762">
        <v>204</v>
      </c>
      <c r="Q762" t="s">
        <v>106</v>
      </c>
      <c r="R762" t="s">
        <v>107</v>
      </c>
      <c r="S762" t="s">
        <v>108</v>
      </c>
      <c r="T762">
        <v>2023</v>
      </c>
      <c r="U762" t="s">
        <v>53</v>
      </c>
    </row>
    <row r="763" spans="1:21" x14ac:dyDescent="0.35">
      <c r="A763" s="1">
        <v>45353</v>
      </c>
      <c r="B763" t="s">
        <v>48</v>
      </c>
      <c r="C763" t="s">
        <v>49</v>
      </c>
      <c r="D763" t="s">
        <v>50</v>
      </c>
      <c r="E763">
        <v>31</v>
      </c>
      <c r="F763">
        <v>150</v>
      </c>
      <c r="G763">
        <f t="shared" si="33"/>
        <v>4650</v>
      </c>
      <c r="H763">
        <v>100</v>
      </c>
      <c r="I763">
        <f t="shared" si="34"/>
        <v>3100</v>
      </c>
      <c r="J763">
        <f t="shared" si="35"/>
        <v>1550</v>
      </c>
      <c r="K763" t="s">
        <v>35</v>
      </c>
      <c r="L763" t="s">
        <v>25</v>
      </c>
      <c r="M763" t="s">
        <v>26</v>
      </c>
      <c r="N763" t="s">
        <v>43</v>
      </c>
      <c r="O763">
        <v>637</v>
      </c>
      <c r="P763">
        <v>31</v>
      </c>
      <c r="Q763" t="s">
        <v>70</v>
      </c>
      <c r="R763" t="s">
        <v>71</v>
      </c>
      <c r="S763" t="s">
        <v>72</v>
      </c>
      <c r="T763">
        <v>2022</v>
      </c>
      <c r="U763" t="s">
        <v>86</v>
      </c>
    </row>
    <row r="764" spans="1:21" x14ac:dyDescent="0.35">
      <c r="A764" s="1">
        <v>45354</v>
      </c>
      <c r="B764" t="s">
        <v>21</v>
      </c>
      <c r="C764" t="s">
        <v>22</v>
      </c>
      <c r="D764" t="s">
        <v>23</v>
      </c>
      <c r="E764">
        <v>354</v>
      </c>
      <c r="F764">
        <v>8</v>
      </c>
      <c r="G764">
        <f t="shared" si="33"/>
        <v>2832</v>
      </c>
      <c r="H764">
        <v>5</v>
      </c>
      <c r="I764">
        <f t="shared" si="34"/>
        <v>1770</v>
      </c>
      <c r="J764">
        <f t="shared" si="35"/>
        <v>1062</v>
      </c>
      <c r="K764" t="s">
        <v>24</v>
      </c>
      <c r="L764" t="s">
        <v>73</v>
      </c>
      <c r="M764" t="s">
        <v>37</v>
      </c>
      <c r="N764" t="s">
        <v>27</v>
      </c>
      <c r="O764">
        <v>993</v>
      </c>
      <c r="P764">
        <v>354</v>
      </c>
      <c r="Q764" t="s">
        <v>83</v>
      </c>
      <c r="R764" t="s">
        <v>84</v>
      </c>
      <c r="S764" t="s">
        <v>85</v>
      </c>
      <c r="T764">
        <v>2021</v>
      </c>
      <c r="U764" t="s">
        <v>109</v>
      </c>
    </row>
    <row r="765" spans="1:21" x14ac:dyDescent="0.35">
      <c r="A765" s="1">
        <v>45355</v>
      </c>
      <c r="B765" t="s">
        <v>48</v>
      </c>
      <c r="C765" t="s">
        <v>49</v>
      </c>
      <c r="D765" t="s">
        <v>50</v>
      </c>
      <c r="E765">
        <v>317</v>
      </c>
      <c r="F765">
        <v>150</v>
      </c>
      <c r="G765">
        <f t="shared" si="33"/>
        <v>47550</v>
      </c>
      <c r="H765">
        <v>100</v>
      </c>
      <c r="I765">
        <f t="shared" si="34"/>
        <v>31700</v>
      </c>
      <c r="J765">
        <f t="shared" si="35"/>
        <v>15850</v>
      </c>
      <c r="K765" t="s">
        <v>24</v>
      </c>
      <c r="L765" t="s">
        <v>25</v>
      </c>
      <c r="M765" t="s">
        <v>37</v>
      </c>
      <c r="N765" t="s">
        <v>38</v>
      </c>
      <c r="O765">
        <v>641</v>
      </c>
      <c r="P765">
        <v>317</v>
      </c>
      <c r="Q765" t="s">
        <v>101</v>
      </c>
      <c r="R765" t="s">
        <v>101</v>
      </c>
      <c r="S765" t="s">
        <v>102</v>
      </c>
      <c r="T765">
        <v>2021</v>
      </c>
      <c r="U765" t="s">
        <v>86</v>
      </c>
    </row>
    <row r="766" spans="1:21" x14ac:dyDescent="0.35">
      <c r="A766" s="1">
        <v>45356</v>
      </c>
      <c r="B766" t="s">
        <v>32</v>
      </c>
      <c r="C766" t="s">
        <v>33</v>
      </c>
      <c r="D766" t="s">
        <v>34</v>
      </c>
      <c r="E766">
        <v>170</v>
      </c>
      <c r="F766">
        <v>20</v>
      </c>
      <c r="G766">
        <f t="shared" si="33"/>
        <v>3400</v>
      </c>
      <c r="H766">
        <v>12</v>
      </c>
      <c r="I766">
        <f t="shared" si="34"/>
        <v>2040</v>
      </c>
      <c r="J766">
        <f t="shared" si="35"/>
        <v>1360</v>
      </c>
      <c r="K766" t="s">
        <v>24</v>
      </c>
      <c r="L766" t="s">
        <v>36</v>
      </c>
      <c r="M766" t="s">
        <v>61</v>
      </c>
      <c r="N766" t="s">
        <v>38</v>
      </c>
      <c r="O766">
        <v>711</v>
      </c>
      <c r="P766">
        <v>170</v>
      </c>
      <c r="Q766" t="s">
        <v>39</v>
      </c>
      <c r="R766" t="s">
        <v>40</v>
      </c>
      <c r="S766" t="s">
        <v>41</v>
      </c>
      <c r="T766">
        <v>2023</v>
      </c>
      <c r="U766" t="s">
        <v>57</v>
      </c>
    </row>
    <row r="767" spans="1:21" x14ac:dyDescent="0.35">
      <c r="A767" s="1">
        <v>45357</v>
      </c>
      <c r="B767" t="s">
        <v>48</v>
      </c>
      <c r="C767" t="s">
        <v>49</v>
      </c>
      <c r="D767" t="s">
        <v>50</v>
      </c>
      <c r="E767">
        <v>420</v>
      </c>
      <c r="F767">
        <v>150</v>
      </c>
      <c r="G767">
        <f t="shared" si="33"/>
        <v>63000</v>
      </c>
      <c r="H767">
        <v>100</v>
      </c>
      <c r="I767">
        <f t="shared" si="34"/>
        <v>42000</v>
      </c>
      <c r="J767">
        <f t="shared" si="35"/>
        <v>21000</v>
      </c>
      <c r="K767" t="s">
        <v>24</v>
      </c>
      <c r="L767" t="s">
        <v>25</v>
      </c>
      <c r="M767" t="s">
        <v>61</v>
      </c>
      <c r="N767" t="s">
        <v>38</v>
      </c>
      <c r="O767">
        <v>636</v>
      </c>
      <c r="P767">
        <v>420</v>
      </c>
      <c r="Q767" t="s">
        <v>110</v>
      </c>
      <c r="R767" t="s">
        <v>111</v>
      </c>
      <c r="S767" t="s">
        <v>112</v>
      </c>
      <c r="T767">
        <v>2022</v>
      </c>
      <c r="U767" t="s">
        <v>109</v>
      </c>
    </row>
    <row r="768" spans="1:21" x14ac:dyDescent="0.35">
      <c r="A768" s="1">
        <v>45358</v>
      </c>
      <c r="B768" t="s">
        <v>48</v>
      </c>
      <c r="C768" t="s">
        <v>49</v>
      </c>
      <c r="D768" t="s">
        <v>50</v>
      </c>
      <c r="E768">
        <v>442</v>
      </c>
      <c r="F768">
        <v>150</v>
      </c>
      <c r="G768">
        <f t="shared" si="33"/>
        <v>66300</v>
      </c>
      <c r="H768">
        <v>100</v>
      </c>
      <c r="I768">
        <f t="shared" si="34"/>
        <v>44200</v>
      </c>
      <c r="J768">
        <f t="shared" si="35"/>
        <v>22100</v>
      </c>
      <c r="K768" t="s">
        <v>35</v>
      </c>
      <c r="L768" t="s">
        <v>36</v>
      </c>
      <c r="M768" t="s">
        <v>37</v>
      </c>
      <c r="N768" t="s">
        <v>43</v>
      </c>
      <c r="O768">
        <v>860</v>
      </c>
      <c r="P768">
        <v>442</v>
      </c>
      <c r="Q768" t="s">
        <v>103</v>
      </c>
      <c r="R768" t="s">
        <v>68</v>
      </c>
      <c r="S768" t="s">
        <v>104</v>
      </c>
      <c r="T768">
        <v>2020</v>
      </c>
      <c r="U768" t="s">
        <v>66</v>
      </c>
    </row>
    <row r="769" spans="1:21" x14ac:dyDescent="0.35">
      <c r="A769" s="1">
        <v>45359</v>
      </c>
      <c r="B769" t="s">
        <v>21</v>
      </c>
      <c r="C769" t="s">
        <v>22</v>
      </c>
      <c r="D769" t="s">
        <v>23</v>
      </c>
      <c r="E769">
        <v>441</v>
      </c>
      <c r="F769">
        <v>8</v>
      </c>
      <c r="G769">
        <f t="shared" si="33"/>
        <v>3528</v>
      </c>
      <c r="H769">
        <v>5</v>
      </c>
      <c r="I769">
        <f t="shared" si="34"/>
        <v>2205</v>
      </c>
      <c r="J769">
        <f t="shared" si="35"/>
        <v>1323</v>
      </c>
      <c r="K769" t="s">
        <v>24</v>
      </c>
      <c r="L769" t="s">
        <v>25</v>
      </c>
      <c r="M769" t="s">
        <v>37</v>
      </c>
      <c r="N769" t="s">
        <v>27</v>
      </c>
      <c r="O769">
        <v>805</v>
      </c>
      <c r="P769">
        <v>441</v>
      </c>
      <c r="Q769" t="s">
        <v>44</v>
      </c>
      <c r="R769" t="s">
        <v>45</v>
      </c>
      <c r="S769" t="s">
        <v>46</v>
      </c>
      <c r="T769">
        <v>2021</v>
      </c>
      <c r="U769" t="s">
        <v>53</v>
      </c>
    </row>
    <row r="770" spans="1:21" x14ac:dyDescent="0.35">
      <c r="A770" s="1">
        <v>45360</v>
      </c>
      <c r="B770" t="s">
        <v>80</v>
      </c>
      <c r="C770" t="s">
        <v>81</v>
      </c>
      <c r="D770" t="s">
        <v>82</v>
      </c>
      <c r="E770">
        <v>96</v>
      </c>
      <c r="F770">
        <v>2.5</v>
      </c>
      <c r="G770">
        <f t="shared" si="33"/>
        <v>240</v>
      </c>
      <c r="H770">
        <v>1.5</v>
      </c>
      <c r="I770">
        <f t="shared" si="34"/>
        <v>144</v>
      </c>
      <c r="J770">
        <f t="shared" si="35"/>
        <v>96</v>
      </c>
      <c r="K770" t="s">
        <v>42</v>
      </c>
      <c r="L770" t="s">
        <v>63</v>
      </c>
      <c r="M770" t="s">
        <v>26</v>
      </c>
      <c r="N770" t="s">
        <v>38</v>
      </c>
      <c r="O770">
        <v>787</v>
      </c>
      <c r="P770">
        <v>96</v>
      </c>
      <c r="Q770" t="s">
        <v>77</v>
      </c>
      <c r="R770" t="s">
        <v>78</v>
      </c>
      <c r="S770" t="s">
        <v>79</v>
      </c>
      <c r="T770">
        <v>2020</v>
      </c>
      <c r="U770" t="s">
        <v>66</v>
      </c>
    </row>
    <row r="771" spans="1:21" x14ac:dyDescent="0.35">
      <c r="A771" s="1">
        <v>45361</v>
      </c>
      <c r="B771" t="s">
        <v>32</v>
      </c>
      <c r="C771" t="s">
        <v>33</v>
      </c>
      <c r="D771" t="s">
        <v>34</v>
      </c>
      <c r="E771">
        <v>249</v>
      </c>
      <c r="F771">
        <v>20</v>
      </c>
      <c r="G771">
        <f t="shared" ref="G771:G834" si="36">E771*F771</f>
        <v>4980</v>
      </c>
      <c r="H771">
        <v>12</v>
      </c>
      <c r="I771">
        <f t="shared" ref="I771:I834" si="37">E771*H771</f>
        <v>2988</v>
      </c>
      <c r="J771">
        <f t="shared" ref="J771:J834" si="38">G771-I771</f>
        <v>1992</v>
      </c>
      <c r="K771" t="s">
        <v>24</v>
      </c>
      <c r="L771" t="s">
        <v>63</v>
      </c>
      <c r="M771" t="s">
        <v>61</v>
      </c>
      <c r="N771" t="s">
        <v>27</v>
      </c>
      <c r="O771">
        <v>742</v>
      </c>
      <c r="P771">
        <v>249</v>
      </c>
      <c r="Q771" t="s">
        <v>87</v>
      </c>
      <c r="R771" t="s">
        <v>88</v>
      </c>
      <c r="S771" t="s">
        <v>89</v>
      </c>
      <c r="T771">
        <v>2022</v>
      </c>
      <c r="U771" t="s">
        <v>91</v>
      </c>
    </row>
    <row r="772" spans="1:21" x14ac:dyDescent="0.35">
      <c r="A772" s="1">
        <v>45362</v>
      </c>
      <c r="B772" t="s">
        <v>32</v>
      </c>
      <c r="C772" t="s">
        <v>33</v>
      </c>
      <c r="D772" t="s">
        <v>34</v>
      </c>
      <c r="E772">
        <v>478</v>
      </c>
      <c r="F772">
        <v>20</v>
      </c>
      <c r="G772">
        <f t="shared" si="36"/>
        <v>9560</v>
      </c>
      <c r="H772">
        <v>12</v>
      </c>
      <c r="I772">
        <f t="shared" si="37"/>
        <v>5736</v>
      </c>
      <c r="J772">
        <f t="shared" si="38"/>
        <v>3824</v>
      </c>
      <c r="K772" t="s">
        <v>35</v>
      </c>
      <c r="L772" t="s">
        <v>25</v>
      </c>
      <c r="M772" t="s">
        <v>37</v>
      </c>
      <c r="N772" t="s">
        <v>38</v>
      </c>
      <c r="O772">
        <v>920</v>
      </c>
      <c r="P772">
        <v>478</v>
      </c>
      <c r="Q772" t="s">
        <v>101</v>
      </c>
      <c r="R772" t="s">
        <v>101</v>
      </c>
      <c r="S772" t="s">
        <v>102</v>
      </c>
      <c r="T772">
        <v>2023</v>
      </c>
      <c r="U772" t="s">
        <v>62</v>
      </c>
    </row>
    <row r="773" spans="1:21" x14ac:dyDescent="0.35">
      <c r="A773" s="1">
        <v>45363</v>
      </c>
      <c r="B773" t="s">
        <v>32</v>
      </c>
      <c r="C773" t="s">
        <v>33</v>
      </c>
      <c r="D773" t="s">
        <v>34</v>
      </c>
      <c r="E773">
        <v>34</v>
      </c>
      <c r="F773">
        <v>20</v>
      </c>
      <c r="G773">
        <f t="shared" si="36"/>
        <v>680</v>
      </c>
      <c r="H773">
        <v>12</v>
      </c>
      <c r="I773">
        <f t="shared" si="37"/>
        <v>408</v>
      </c>
      <c r="J773">
        <f t="shared" si="38"/>
        <v>272</v>
      </c>
      <c r="K773" t="s">
        <v>35</v>
      </c>
      <c r="L773" t="s">
        <v>36</v>
      </c>
      <c r="M773" t="s">
        <v>26</v>
      </c>
      <c r="N773" t="s">
        <v>38</v>
      </c>
      <c r="O773">
        <v>814</v>
      </c>
      <c r="P773">
        <v>34</v>
      </c>
      <c r="Q773" t="s">
        <v>92</v>
      </c>
      <c r="R773" t="s">
        <v>45</v>
      </c>
      <c r="S773" t="s">
        <v>93</v>
      </c>
      <c r="T773">
        <v>2022</v>
      </c>
      <c r="U773" t="s">
        <v>91</v>
      </c>
    </row>
    <row r="774" spans="1:21" x14ac:dyDescent="0.35">
      <c r="A774" s="1">
        <v>45364</v>
      </c>
      <c r="B774" t="s">
        <v>32</v>
      </c>
      <c r="C774" t="s">
        <v>33</v>
      </c>
      <c r="D774" t="s">
        <v>34</v>
      </c>
      <c r="E774">
        <v>183</v>
      </c>
      <c r="F774">
        <v>20</v>
      </c>
      <c r="G774">
        <f t="shared" si="36"/>
        <v>3660</v>
      </c>
      <c r="H774">
        <v>12</v>
      </c>
      <c r="I774">
        <f t="shared" si="37"/>
        <v>2196</v>
      </c>
      <c r="J774">
        <f t="shared" si="38"/>
        <v>1464</v>
      </c>
      <c r="K774" t="s">
        <v>35</v>
      </c>
      <c r="L774" t="s">
        <v>63</v>
      </c>
      <c r="M774" t="s">
        <v>26</v>
      </c>
      <c r="N774" t="s">
        <v>43</v>
      </c>
      <c r="O774">
        <v>642</v>
      </c>
      <c r="P774">
        <v>183</v>
      </c>
      <c r="Q774" t="s">
        <v>110</v>
      </c>
      <c r="R774" t="s">
        <v>111</v>
      </c>
      <c r="S774" t="s">
        <v>112</v>
      </c>
      <c r="T774">
        <v>2022</v>
      </c>
      <c r="U774" t="s">
        <v>109</v>
      </c>
    </row>
    <row r="775" spans="1:21" x14ac:dyDescent="0.35">
      <c r="A775" s="1">
        <v>45365</v>
      </c>
      <c r="B775" t="s">
        <v>32</v>
      </c>
      <c r="C775" t="s">
        <v>33</v>
      </c>
      <c r="D775" t="s">
        <v>34</v>
      </c>
      <c r="E775">
        <v>135</v>
      </c>
      <c r="F775">
        <v>20</v>
      </c>
      <c r="G775">
        <f t="shared" si="36"/>
        <v>2700</v>
      </c>
      <c r="H775">
        <v>12</v>
      </c>
      <c r="I775">
        <f t="shared" si="37"/>
        <v>1620</v>
      </c>
      <c r="J775">
        <f t="shared" si="38"/>
        <v>1080</v>
      </c>
      <c r="K775" t="s">
        <v>24</v>
      </c>
      <c r="L775" t="s">
        <v>73</v>
      </c>
      <c r="M775" t="s">
        <v>26</v>
      </c>
      <c r="N775" t="s">
        <v>38</v>
      </c>
      <c r="O775">
        <v>728</v>
      </c>
      <c r="P775">
        <v>135</v>
      </c>
      <c r="Q775" t="s">
        <v>54</v>
      </c>
      <c r="R775" t="s">
        <v>55</v>
      </c>
      <c r="S775" t="s">
        <v>56</v>
      </c>
      <c r="T775">
        <v>2021</v>
      </c>
      <c r="U775" t="s">
        <v>86</v>
      </c>
    </row>
    <row r="776" spans="1:21" x14ac:dyDescent="0.35">
      <c r="A776" s="1">
        <v>45366</v>
      </c>
      <c r="B776" t="s">
        <v>48</v>
      </c>
      <c r="C776" t="s">
        <v>49</v>
      </c>
      <c r="D776" t="s">
        <v>50</v>
      </c>
      <c r="E776">
        <v>90</v>
      </c>
      <c r="F776">
        <v>150</v>
      </c>
      <c r="G776">
        <f t="shared" si="36"/>
        <v>13500</v>
      </c>
      <c r="H776">
        <v>100</v>
      </c>
      <c r="I776">
        <f t="shared" si="37"/>
        <v>9000</v>
      </c>
      <c r="J776">
        <f t="shared" si="38"/>
        <v>4500</v>
      </c>
      <c r="K776" t="s">
        <v>42</v>
      </c>
      <c r="L776" t="s">
        <v>25</v>
      </c>
      <c r="M776" t="s">
        <v>37</v>
      </c>
      <c r="N776" t="s">
        <v>43</v>
      </c>
      <c r="O776">
        <v>977</v>
      </c>
      <c r="P776">
        <v>90</v>
      </c>
      <c r="Q776" t="s">
        <v>64</v>
      </c>
      <c r="R776" t="s">
        <v>29</v>
      </c>
      <c r="S776" t="s">
        <v>65</v>
      </c>
      <c r="T776">
        <v>2020</v>
      </c>
      <c r="U776" t="s">
        <v>31</v>
      </c>
    </row>
    <row r="777" spans="1:21" x14ac:dyDescent="0.35">
      <c r="A777" s="1">
        <v>45367</v>
      </c>
      <c r="B777" t="s">
        <v>48</v>
      </c>
      <c r="C777" t="s">
        <v>49</v>
      </c>
      <c r="D777" t="s">
        <v>50</v>
      </c>
      <c r="E777">
        <v>300</v>
      </c>
      <c r="F777">
        <v>150</v>
      </c>
      <c r="G777">
        <f t="shared" si="36"/>
        <v>45000</v>
      </c>
      <c r="H777">
        <v>100</v>
      </c>
      <c r="I777">
        <f t="shared" si="37"/>
        <v>30000</v>
      </c>
      <c r="J777">
        <f t="shared" si="38"/>
        <v>15000</v>
      </c>
      <c r="K777" t="s">
        <v>24</v>
      </c>
      <c r="L777" t="s">
        <v>36</v>
      </c>
      <c r="M777" t="s">
        <v>26</v>
      </c>
      <c r="N777" t="s">
        <v>43</v>
      </c>
      <c r="O777">
        <v>820</v>
      </c>
      <c r="P777">
        <v>300</v>
      </c>
      <c r="Q777" t="s">
        <v>113</v>
      </c>
      <c r="R777" t="s">
        <v>114</v>
      </c>
      <c r="S777" t="s">
        <v>115</v>
      </c>
      <c r="T777">
        <v>2022</v>
      </c>
      <c r="U777" t="s">
        <v>57</v>
      </c>
    </row>
    <row r="778" spans="1:21" x14ac:dyDescent="0.35">
      <c r="A778" s="1">
        <v>45368</v>
      </c>
      <c r="B778" t="s">
        <v>80</v>
      </c>
      <c r="C778" t="s">
        <v>81</v>
      </c>
      <c r="D778" t="s">
        <v>82</v>
      </c>
      <c r="E778">
        <v>263</v>
      </c>
      <c r="F778">
        <v>2.5</v>
      </c>
      <c r="G778">
        <f t="shared" si="36"/>
        <v>657.5</v>
      </c>
      <c r="H778">
        <v>1.5</v>
      </c>
      <c r="I778">
        <f t="shared" si="37"/>
        <v>394.5</v>
      </c>
      <c r="J778">
        <f t="shared" si="38"/>
        <v>263</v>
      </c>
      <c r="K778" t="s">
        <v>42</v>
      </c>
      <c r="L778" t="s">
        <v>73</v>
      </c>
      <c r="M778" t="s">
        <v>61</v>
      </c>
      <c r="N778" t="s">
        <v>43</v>
      </c>
      <c r="O778">
        <v>521</v>
      </c>
      <c r="P778">
        <v>263</v>
      </c>
      <c r="Q778" t="s">
        <v>110</v>
      </c>
      <c r="R778" t="s">
        <v>111</v>
      </c>
      <c r="S778" t="s">
        <v>112</v>
      </c>
      <c r="T778">
        <v>2024</v>
      </c>
      <c r="U778" t="s">
        <v>91</v>
      </c>
    </row>
    <row r="779" spans="1:21" x14ac:dyDescent="0.35">
      <c r="A779" s="1">
        <v>45369</v>
      </c>
      <c r="B779" t="s">
        <v>80</v>
      </c>
      <c r="C779" t="s">
        <v>81</v>
      </c>
      <c r="D779" t="s">
        <v>82</v>
      </c>
      <c r="E779">
        <v>459</v>
      </c>
      <c r="F779">
        <v>2.5</v>
      </c>
      <c r="G779">
        <f t="shared" si="36"/>
        <v>1147.5</v>
      </c>
      <c r="H779">
        <v>1.5</v>
      </c>
      <c r="I779">
        <f t="shared" si="37"/>
        <v>688.5</v>
      </c>
      <c r="J779">
        <f t="shared" si="38"/>
        <v>459</v>
      </c>
      <c r="K779" t="s">
        <v>35</v>
      </c>
      <c r="L779" t="s">
        <v>63</v>
      </c>
      <c r="M779" t="s">
        <v>61</v>
      </c>
      <c r="N779" t="s">
        <v>43</v>
      </c>
      <c r="O779">
        <v>600</v>
      </c>
      <c r="P779">
        <v>459</v>
      </c>
      <c r="Q779" t="s">
        <v>106</v>
      </c>
      <c r="R779" t="s">
        <v>107</v>
      </c>
      <c r="S779" t="s">
        <v>108</v>
      </c>
      <c r="T779">
        <v>2021</v>
      </c>
      <c r="U779" t="s">
        <v>31</v>
      </c>
    </row>
    <row r="780" spans="1:21" x14ac:dyDescent="0.35">
      <c r="A780" s="1">
        <v>45370</v>
      </c>
      <c r="B780" t="s">
        <v>58</v>
      </c>
      <c r="C780" t="s">
        <v>59</v>
      </c>
      <c r="D780" t="s">
        <v>60</v>
      </c>
      <c r="E780">
        <v>91</v>
      </c>
      <c r="F780">
        <v>5</v>
      </c>
      <c r="G780">
        <f t="shared" si="36"/>
        <v>455</v>
      </c>
      <c r="H780">
        <v>3</v>
      </c>
      <c r="I780">
        <f t="shared" si="37"/>
        <v>273</v>
      </c>
      <c r="J780">
        <f t="shared" si="38"/>
        <v>182</v>
      </c>
      <c r="K780" t="s">
        <v>24</v>
      </c>
      <c r="L780" t="s">
        <v>63</v>
      </c>
      <c r="M780" t="s">
        <v>61</v>
      </c>
      <c r="N780" t="s">
        <v>27</v>
      </c>
      <c r="O780">
        <v>594</v>
      </c>
      <c r="P780">
        <v>91</v>
      </c>
      <c r="Q780" t="s">
        <v>92</v>
      </c>
      <c r="R780" t="s">
        <v>45</v>
      </c>
      <c r="S780" t="s">
        <v>93</v>
      </c>
      <c r="T780">
        <v>2023</v>
      </c>
      <c r="U780" t="s">
        <v>57</v>
      </c>
    </row>
    <row r="781" spans="1:21" x14ac:dyDescent="0.35">
      <c r="A781" s="1">
        <v>45371</v>
      </c>
      <c r="B781" t="s">
        <v>32</v>
      </c>
      <c r="C781" t="s">
        <v>33</v>
      </c>
      <c r="D781" t="s">
        <v>34</v>
      </c>
      <c r="E781">
        <v>459</v>
      </c>
      <c r="F781">
        <v>20</v>
      </c>
      <c r="G781">
        <f t="shared" si="36"/>
        <v>9180</v>
      </c>
      <c r="H781">
        <v>12</v>
      </c>
      <c r="I781">
        <f t="shared" si="37"/>
        <v>5508</v>
      </c>
      <c r="J781">
        <f t="shared" si="38"/>
        <v>3672</v>
      </c>
      <c r="K781" t="s">
        <v>24</v>
      </c>
      <c r="L781" t="s">
        <v>73</v>
      </c>
      <c r="M781" t="s">
        <v>26</v>
      </c>
      <c r="N781" t="s">
        <v>27</v>
      </c>
      <c r="O781">
        <v>695</v>
      </c>
      <c r="P781">
        <v>459</v>
      </c>
      <c r="Q781" t="s">
        <v>44</v>
      </c>
      <c r="R781" t="s">
        <v>45</v>
      </c>
      <c r="S781" t="s">
        <v>46</v>
      </c>
      <c r="T781">
        <v>2023</v>
      </c>
      <c r="U781" t="s">
        <v>31</v>
      </c>
    </row>
    <row r="782" spans="1:21" x14ac:dyDescent="0.35">
      <c r="A782" s="1">
        <v>45372</v>
      </c>
      <c r="B782" t="s">
        <v>21</v>
      </c>
      <c r="C782" t="s">
        <v>22</v>
      </c>
      <c r="D782" t="s">
        <v>23</v>
      </c>
      <c r="E782">
        <v>288</v>
      </c>
      <c r="F782">
        <v>8</v>
      </c>
      <c r="G782">
        <f t="shared" si="36"/>
        <v>2304</v>
      </c>
      <c r="H782">
        <v>5</v>
      </c>
      <c r="I782">
        <f t="shared" si="37"/>
        <v>1440</v>
      </c>
      <c r="J782">
        <f t="shared" si="38"/>
        <v>864</v>
      </c>
      <c r="K782" t="s">
        <v>42</v>
      </c>
      <c r="L782" t="s">
        <v>36</v>
      </c>
      <c r="M782" t="s">
        <v>37</v>
      </c>
      <c r="N782" t="s">
        <v>27</v>
      </c>
      <c r="O782">
        <v>860</v>
      </c>
      <c r="P782">
        <v>288</v>
      </c>
      <c r="Q782" t="s">
        <v>28</v>
      </c>
      <c r="R782" t="s">
        <v>29</v>
      </c>
      <c r="S782" t="s">
        <v>30</v>
      </c>
      <c r="T782">
        <v>2021</v>
      </c>
      <c r="U782" t="s">
        <v>66</v>
      </c>
    </row>
    <row r="783" spans="1:21" x14ac:dyDescent="0.35">
      <c r="A783" s="1">
        <v>45373</v>
      </c>
      <c r="B783" t="s">
        <v>80</v>
      </c>
      <c r="C783" t="s">
        <v>81</v>
      </c>
      <c r="D783" t="s">
        <v>82</v>
      </c>
      <c r="E783">
        <v>166</v>
      </c>
      <c r="F783">
        <v>2.5</v>
      </c>
      <c r="G783">
        <f t="shared" si="36"/>
        <v>415</v>
      </c>
      <c r="H783">
        <v>1.5</v>
      </c>
      <c r="I783">
        <f t="shared" si="37"/>
        <v>249</v>
      </c>
      <c r="J783">
        <f t="shared" si="38"/>
        <v>166</v>
      </c>
      <c r="K783" t="s">
        <v>24</v>
      </c>
      <c r="L783" t="s">
        <v>36</v>
      </c>
      <c r="M783" t="s">
        <v>37</v>
      </c>
      <c r="N783" t="s">
        <v>27</v>
      </c>
      <c r="O783">
        <v>775</v>
      </c>
      <c r="P783">
        <v>166</v>
      </c>
      <c r="Q783" t="s">
        <v>113</v>
      </c>
      <c r="R783" t="s">
        <v>114</v>
      </c>
      <c r="S783" t="s">
        <v>115</v>
      </c>
      <c r="T783">
        <v>2021</v>
      </c>
      <c r="U783" t="s">
        <v>31</v>
      </c>
    </row>
    <row r="784" spans="1:21" x14ac:dyDescent="0.35">
      <c r="A784" s="1">
        <v>45374</v>
      </c>
      <c r="B784" t="s">
        <v>32</v>
      </c>
      <c r="C784" t="s">
        <v>33</v>
      </c>
      <c r="D784" t="s">
        <v>34</v>
      </c>
      <c r="E784">
        <v>249</v>
      </c>
      <c r="F784">
        <v>20</v>
      </c>
      <c r="G784">
        <f t="shared" si="36"/>
        <v>4980</v>
      </c>
      <c r="H784">
        <v>12</v>
      </c>
      <c r="I784">
        <f t="shared" si="37"/>
        <v>2988</v>
      </c>
      <c r="J784">
        <f t="shared" si="38"/>
        <v>1992</v>
      </c>
      <c r="K784" t="s">
        <v>24</v>
      </c>
      <c r="L784" t="s">
        <v>36</v>
      </c>
      <c r="M784" t="s">
        <v>37</v>
      </c>
      <c r="N784" t="s">
        <v>43</v>
      </c>
      <c r="O784">
        <v>954</v>
      </c>
      <c r="P784">
        <v>249</v>
      </c>
      <c r="Q784" t="s">
        <v>83</v>
      </c>
      <c r="R784" t="s">
        <v>84</v>
      </c>
      <c r="S784" t="s">
        <v>85</v>
      </c>
      <c r="T784">
        <v>2020</v>
      </c>
      <c r="U784" t="s">
        <v>86</v>
      </c>
    </row>
    <row r="785" spans="1:21" x14ac:dyDescent="0.35">
      <c r="A785" s="1">
        <v>45375</v>
      </c>
      <c r="B785" t="s">
        <v>58</v>
      </c>
      <c r="C785" t="s">
        <v>59</v>
      </c>
      <c r="D785" t="s">
        <v>60</v>
      </c>
      <c r="E785">
        <v>493</v>
      </c>
      <c r="F785">
        <v>5</v>
      </c>
      <c r="G785">
        <f t="shared" si="36"/>
        <v>2465</v>
      </c>
      <c r="H785">
        <v>3</v>
      </c>
      <c r="I785">
        <f t="shared" si="37"/>
        <v>1479</v>
      </c>
      <c r="J785">
        <f t="shared" si="38"/>
        <v>986</v>
      </c>
      <c r="K785" t="s">
        <v>35</v>
      </c>
      <c r="L785" t="s">
        <v>36</v>
      </c>
      <c r="M785" t="s">
        <v>61</v>
      </c>
      <c r="N785" t="s">
        <v>43</v>
      </c>
      <c r="O785">
        <v>842</v>
      </c>
      <c r="P785">
        <v>493</v>
      </c>
      <c r="Q785" t="s">
        <v>51</v>
      </c>
      <c r="R785" t="s">
        <v>45</v>
      </c>
      <c r="S785" t="s">
        <v>52</v>
      </c>
      <c r="T785">
        <v>2024</v>
      </c>
      <c r="U785" t="s">
        <v>105</v>
      </c>
    </row>
    <row r="786" spans="1:21" x14ac:dyDescent="0.35">
      <c r="A786" s="1">
        <v>45376</v>
      </c>
      <c r="B786" t="s">
        <v>32</v>
      </c>
      <c r="C786" t="s">
        <v>33</v>
      </c>
      <c r="D786" t="s">
        <v>34</v>
      </c>
      <c r="E786">
        <v>456</v>
      </c>
      <c r="F786">
        <v>20</v>
      </c>
      <c r="G786">
        <f t="shared" si="36"/>
        <v>9120</v>
      </c>
      <c r="H786">
        <v>12</v>
      </c>
      <c r="I786">
        <f t="shared" si="37"/>
        <v>5472</v>
      </c>
      <c r="J786">
        <f t="shared" si="38"/>
        <v>3648</v>
      </c>
      <c r="K786" t="s">
        <v>42</v>
      </c>
      <c r="L786" t="s">
        <v>36</v>
      </c>
      <c r="M786" t="s">
        <v>37</v>
      </c>
      <c r="N786" t="s">
        <v>38</v>
      </c>
      <c r="O786">
        <v>820</v>
      </c>
      <c r="P786">
        <v>456</v>
      </c>
      <c r="Q786" t="s">
        <v>28</v>
      </c>
      <c r="R786" t="s">
        <v>29</v>
      </c>
      <c r="S786" t="s">
        <v>30</v>
      </c>
      <c r="T786">
        <v>2021</v>
      </c>
      <c r="U786" t="s">
        <v>62</v>
      </c>
    </row>
    <row r="787" spans="1:21" x14ac:dyDescent="0.35">
      <c r="A787" s="1">
        <v>45377</v>
      </c>
      <c r="B787" t="s">
        <v>48</v>
      </c>
      <c r="C787" t="s">
        <v>49</v>
      </c>
      <c r="D787" t="s">
        <v>50</v>
      </c>
      <c r="E787">
        <v>99</v>
      </c>
      <c r="F787">
        <v>150</v>
      </c>
      <c r="G787">
        <f t="shared" si="36"/>
        <v>14850</v>
      </c>
      <c r="H787">
        <v>100</v>
      </c>
      <c r="I787">
        <f t="shared" si="37"/>
        <v>9900</v>
      </c>
      <c r="J787">
        <f t="shared" si="38"/>
        <v>4950</v>
      </c>
      <c r="K787" t="s">
        <v>42</v>
      </c>
      <c r="L787" t="s">
        <v>73</v>
      </c>
      <c r="M787" t="s">
        <v>61</v>
      </c>
      <c r="N787" t="s">
        <v>38</v>
      </c>
      <c r="O787">
        <v>848</v>
      </c>
      <c r="P787">
        <v>99</v>
      </c>
      <c r="Q787" t="s">
        <v>87</v>
      </c>
      <c r="R787" t="s">
        <v>88</v>
      </c>
      <c r="S787" t="s">
        <v>89</v>
      </c>
      <c r="T787">
        <v>2022</v>
      </c>
      <c r="U787" t="s">
        <v>47</v>
      </c>
    </row>
    <row r="788" spans="1:21" x14ac:dyDescent="0.35">
      <c r="A788" s="1">
        <v>45378</v>
      </c>
      <c r="B788" t="s">
        <v>32</v>
      </c>
      <c r="C788" t="s">
        <v>33</v>
      </c>
      <c r="D788" t="s">
        <v>34</v>
      </c>
      <c r="E788">
        <v>427</v>
      </c>
      <c r="F788">
        <v>20</v>
      </c>
      <c r="G788">
        <f t="shared" si="36"/>
        <v>8540</v>
      </c>
      <c r="H788">
        <v>12</v>
      </c>
      <c r="I788">
        <f t="shared" si="37"/>
        <v>5124</v>
      </c>
      <c r="J788">
        <f t="shared" si="38"/>
        <v>3416</v>
      </c>
      <c r="K788" t="s">
        <v>35</v>
      </c>
      <c r="L788" t="s">
        <v>73</v>
      </c>
      <c r="M788" t="s">
        <v>61</v>
      </c>
      <c r="N788" t="s">
        <v>27</v>
      </c>
      <c r="O788">
        <v>767</v>
      </c>
      <c r="P788">
        <v>427</v>
      </c>
      <c r="Q788" t="s">
        <v>44</v>
      </c>
      <c r="R788" t="s">
        <v>45</v>
      </c>
      <c r="S788" t="s">
        <v>46</v>
      </c>
      <c r="T788">
        <v>2023</v>
      </c>
      <c r="U788" t="s">
        <v>47</v>
      </c>
    </row>
    <row r="789" spans="1:21" x14ac:dyDescent="0.35">
      <c r="A789" s="1">
        <v>45379</v>
      </c>
      <c r="B789" t="s">
        <v>21</v>
      </c>
      <c r="C789" t="s">
        <v>22</v>
      </c>
      <c r="D789" t="s">
        <v>23</v>
      </c>
      <c r="E789">
        <v>364</v>
      </c>
      <c r="F789">
        <v>8</v>
      </c>
      <c r="G789">
        <f t="shared" si="36"/>
        <v>2912</v>
      </c>
      <c r="H789">
        <v>5</v>
      </c>
      <c r="I789">
        <f t="shared" si="37"/>
        <v>1820</v>
      </c>
      <c r="J789">
        <f t="shared" si="38"/>
        <v>1092</v>
      </c>
      <c r="K789" t="s">
        <v>24</v>
      </c>
      <c r="L789" t="s">
        <v>25</v>
      </c>
      <c r="M789" t="s">
        <v>37</v>
      </c>
      <c r="N789" t="s">
        <v>43</v>
      </c>
      <c r="O789">
        <v>959</v>
      </c>
      <c r="P789">
        <v>364</v>
      </c>
      <c r="Q789" t="s">
        <v>70</v>
      </c>
      <c r="R789" t="s">
        <v>71</v>
      </c>
      <c r="S789" t="s">
        <v>72</v>
      </c>
      <c r="T789">
        <v>2022</v>
      </c>
      <c r="U789" t="s">
        <v>53</v>
      </c>
    </row>
    <row r="790" spans="1:21" x14ac:dyDescent="0.35">
      <c r="A790" s="1">
        <v>45380</v>
      </c>
      <c r="B790" t="s">
        <v>58</v>
      </c>
      <c r="C790" t="s">
        <v>59</v>
      </c>
      <c r="D790" t="s">
        <v>60</v>
      </c>
      <c r="E790">
        <v>209</v>
      </c>
      <c r="F790">
        <v>5</v>
      </c>
      <c r="G790">
        <f t="shared" si="36"/>
        <v>1045</v>
      </c>
      <c r="H790">
        <v>3</v>
      </c>
      <c r="I790">
        <f t="shared" si="37"/>
        <v>627</v>
      </c>
      <c r="J790">
        <f t="shared" si="38"/>
        <v>418</v>
      </c>
      <c r="K790" t="s">
        <v>35</v>
      </c>
      <c r="L790" t="s">
        <v>36</v>
      </c>
      <c r="M790" t="s">
        <v>61</v>
      </c>
      <c r="N790" t="s">
        <v>27</v>
      </c>
      <c r="O790">
        <v>746</v>
      </c>
      <c r="P790">
        <v>209</v>
      </c>
      <c r="Q790" t="s">
        <v>103</v>
      </c>
      <c r="R790" t="s">
        <v>68</v>
      </c>
      <c r="S790" t="s">
        <v>104</v>
      </c>
      <c r="T790">
        <v>2020</v>
      </c>
      <c r="U790" t="s">
        <v>105</v>
      </c>
    </row>
    <row r="791" spans="1:21" x14ac:dyDescent="0.35">
      <c r="A791" s="1">
        <v>45381</v>
      </c>
      <c r="B791" t="s">
        <v>58</v>
      </c>
      <c r="C791" t="s">
        <v>59</v>
      </c>
      <c r="D791" t="s">
        <v>60</v>
      </c>
      <c r="E791">
        <v>77</v>
      </c>
      <c r="F791">
        <v>5</v>
      </c>
      <c r="G791">
        <f t="shared" si="36"/>
        <v>385</v>
      </c>
      <c r="H791">
        <v>3</v>
      </c>
      <c r="I791">
        <f t="shared" si="37"/>
        <v>231</v>
      </c>
      <c r="J791">
        <f t="shared" si="38"/>
        <v>154</v>
      </c>
      <c r="K791" t="s">
        <v>24</v>
      </c>
      <c r="L791" t="s">
        <v>73</v>
      </c>
      <c r="M791" t="s">
        <v>26</v>
      </c>
      <c r="N791" t="s">
        <v>27</v>
      </c>
      <c r="O791">
        <v>611</v>
      </c>
      <c r="P791">
        <v>77</v>
      </c>
      <c r="Q791" t="s">
        <v>39</v>
      </c>
      <c r="R791" t="s">
        <v>40</v>
      </c>
      <c r="S791" t="s">
        <v>41</v>
      </c>
      <c r="T791">
        <v>2023</v>
      </c>
      <c r="U791" t="s">
        <v>105</v>
      </c>
    </row>
    <row r="792" spans="1:21" x14ac:dyDescent="0.35">
      <c r="A792" s="1">
        <v>45382</v>
      </c>
      <c r="B792" t="s">
        <v>21</v>
      </c>
      <c r="C792" t="s">
        <v>22</v>
      </c>
      <c r="D792" t="s">
        <v>23</v>
      </c>
      <c r="E792">
        <v>133</v>
      </c>
      <c r="F792">
        <v>8</v>
      </c>
      <c r="G792">
        <f t="shared" si="36"/>
        <v>1064</v>
      </c>
      <c r="H792">
        <v>5</v>
      </c>
      <c r="I792">
        <f t="shared" si="37"/>
        <v>665</v>
      </c>
      <c r="J792">
        <f t="shared" si="38"/>
        <v>399</v>
      </c>
      <c r="K792" t="s">
        <v>24</v>
      </c>
      <c r="L792" t="s">
        <v>36</v>
      </c>
      <c r="M792" t="s">
        <v>61</v>
      </c>
      <c r="N792" t="s">
        <v>43</v>
      </c>
      <c r="O792">
        <v>841</v>
      </c>
      <c r="P792">
        <v>133</v>
      </c>
      <c r="Q792" t="s">
        <v>83</v>
      </c>
      <c r="R792" t="s">
        <v>84</v>
      </c>
      <c r="S792" t="s">
        <v>85</v>
      </c>
      <c r="T792">
        <v>2021</v>
      </c>
      <c r="U792" t="s">
        <v>86</v>
      </c>
    </row>
    <row r="793" spans="1:21" x14ac:dyDescent="0.35">
      <c r="A793" s="1">
        <v>45383</v>
      </c>
      <c r="B793" t="s">
        <v>32</v>
      </c>
      <c r="C793" t="s">
        <v>33</v>
      </c>
      <c r="D793" t="s">
        <v>34</v>
      </c>
      <c r="E793">
        <v>324</v>
      </c>
      <c r="F793">
        <v>20</v>
      </c>
      <c r="G793">
        <f t="shared" si="36"/>
        <v>6480</v>
      </c>
      <c r="H793">
        <v>12</v>
      </c>
      <c r="I793">
        <f t="shared" si="37"/>
        <v>3888</v>
      </c>
      <c r="J793">
        <f t="shared" si="38"/>
        <v>2592</v>
      </c>
      <c r="K793" t="s">
        <v>35</v>
      </c>
      <c r="L793" t="s">
        <v>36</v>
      </c>
      <c r="M793" t="s">
        <v>26</v>
      </c>
      <c r="N793" t="s">
        <v>38</v>
      </c>
      <c r="O793">
        <v>614</v>
      </c>
      <c r="P793">
        <v>324</v>
      </c>
      <c r="Q793" t="s">
        <v>51</v>
      </c>
      <c r="R793" t="s">
        <v>45</v>
      </c>
      <c r="S793" t="s">
        <v>52</v>
      </c>
      <c r="T793">
        <v>2023</v>
      </c>
      <c r="U793" t="s">
        <v>86</v>
      </c>
    </row>
    <row r="794" spans="1:21" x14ac:dyDescent="0.35">
      <c r="A794" s="1">
        <v>45384</v>
      </c>
      <c r="B794" t="s">
        <v>80</v>
      </c>
      <c r="C794" t="s">
        <v>81</v>
      </c>
      <c r="D794" t="s">
        <v>82</v>
      </c>
      <c r="E794">
        <v>389</v>
      </c>
      <c r="F794">
        <v>2.5</v>
      </c>
      <c r="G794">
        <f t="shared" si="36"/>
        <v>972.5</v>
      </c>
      <c r="H794">
        <v>1.5</v>
      </c>
      <c r="I794">
        <f t="shared" si="37"/>
        <v>583.5</v>
      </c>
      <c r="J794">
        <f t="shared" si="38"/>
        <v>389</v>
      </c>
      <c r="K794" t="s">
        <v>42</v>
      </c>
      <c r="L794" t="s">
        <v>73</v>
      </c>
      <c r="M794" t="s">
        <v>61</v>
      </c>
      <c r="N794" t="s">
        <v>43</v>
      </c>
      <c r="O794">
        <v>949</v>
      </c>
      <c r="P794">
        <v>389</v>
      </c>
      <c r="Q794" t="s">
        <v>113</v>
      </c>
      <c r="R794" t="s">
        <v>114</v>
      </c>
      <c r="S794" t="s">
        <v>115</v>
      </c>
      <c r="T794">
        <v>2022</v>
      </c>
      <c r="U794" t="s">
        <v>96</v>
      </c>
    </row>
    <row r="795" spans="1:21" x14ac:dyDescent="0.35">
      <c r="A795" s="1">
        <v>45385</v>
      </c>
      <c r="B795" t="s">
        <v>80</v>
      </c>
      <c r="C795" t="s">
        <v>81</v>
      </c>
      <c r="D795" t="s">
        <v>82</v>
      </c>
      <c r="E795">
        <v>349</v>
      </c>
      <c r="F795">
        <v>2.5</v>
      </c>
      <c r="G795">
        <f t="shared" si="36"/>
        <v>872.5</v>
      </c>
      <c r="H795">
        <v>1.5</v>
      </c>
      <c r="I795">
        <f t="shared" si="37"/>
        <v>523.5</v>
      </c>
      <c r="J795">
        <f t="shared" si="38"/>
        <v>349</v>
      </c>
      <c r="K795" t="s">
        <v>35</v>
      </c>
      <c r="L795" t="s">
        <v>36</v>
      </c>
      <c r="M795" t="s">
        <v>26</v>
      </c>
      <c r="N795" t="s">
        <v>38</v>
      </c>
      <c r="O795">
        <v>531</v>
      </c>
      <c r="P795">
        <v>349</v>
      </c>
      <c r="Q795" t="s">
        <v>28</v>
      </c>
      <c r="R795" t="s">
        <v>29</v>
      </c>
      <c r="S795" t="s">
        <v>30</v>
      </c>
      <c r="T795">
        <v>2022</v>
      </c>
      <c r="U795" t="s">
        <v>109</v>
      </c>
    </row>
    <row r="796" spans="1:21" x14ac:dyDescent="0.35">
      <c r="A796" s="1">
        <v>45386</v>
      </c>
      <c r="B796" t="s">
        <v>21</v>
      </c>
      <c r="C796" t="s">
        <v>22</v>
      </c>
      <c r="D796" t="s">
        <v>23</v>
      </c>
      <c r="E796">
        <v>264</v>
      </c>
      <c r="F796">
        <v>8</v>
      </c>
      <c r="G796">
        <f t="shared" si="36"/>
        <v>2112</v>
      </c>
      <c r="H796">
        <v>5</v>
      </c>
      <c r="I796">
        <f t="shared" si="37"/>
        <v>1320</v>
      </c>
      <c r="J796">
        <f t="shared" si="38"/>
        <v>792</v>
      </c>
      <c r="K796" t="s">
        <v>42</v>
      </c>
      <c r="L796" t="s">
        <v>63</v>
      </c>
      <c r="M796" t="s">
        <v>61</v>
      </c>
      <c r="N796" t="s">
        <v>43</v>
      </c>
      <c r="O796">
        <v>683</v>
      </c>
      <c r="P796">
        <v>264</v>
      </c>
      <c r="Q796" t="s">
        <v>67</v>
      </c>
      <c r="R796" t="s">
        <v>68</v>
      </c>
      <c r="S796" t="s">
        <v>69</v>
      </c>
      <c r="T796">
        <v>2023</v>
      </c>
      <c r="U796" t="s">
        <v>57</v>
      </c>
    </row>
    <row r="797" spans="1:21" x14ac:dyDescent="0.35">
      <c r="A797" s="1">
        <v>45387</v>
      </c>
      <c r="B797" t="s">
        <v>98</v>
      </c>
      <c r="C797" t="s">
        <v>99</v>
      </c>
      <c r="D797" t="s">
        <v>100</v>
      </c>
      <c r="E797">
        <v>431</v>
      </c>
      <c r="F797">
        <v>6</v>
      </c>
      <c r="G797">
        <f t="shared" si="36"/>
        <v>2586</v>
      </c>
      <c r="H797">
        <v>4</v>
      </c>
      <c r="I797">
        <f t="shared" si="37"/>
        <v>1724</v>
      </c>
      <c r="J797">
        <f t="shared" si="38"/>
        <v>862</v>
      </c>
      <c r="K797" t="s">
        <v>42</v>
      </c>
      <c r="L797" t="s">
        <v>25</v>
      </c>
      <c r="M797" t="s">
        <v>26</v>
      </c>
      <c r="N797" t="s">
        <v>38</v>
      </c>
      <c r="O797">
        <v>585</v>
      </c>
      <c r="P797">
        <v>431</v>
      </c>
      <c r="Q797" t="s">
        <v>94</v>
      </c>
      <c r="R797" t="s">
        <v>75</v>
      </c>
      <c r="S797" t="s">
        <v>95</v>
      </c>
      <c r="T797">
        <v>2021</v>
      </c>
      <c r="U797" t="s">
        <v>31</v>
      </c>
    </row>
    <row r="798" spans="1:21" x14ac:dyDescent="0.35">
      <c r="A798" s="1">
        <v>45388</v>
      </c>
      <c r="B798" t="s">
        <v>21</v>
      </c>
      <c r="C798" t="s">
        <v>22</v>
      </c>
      <c r="D798" t="s">
        <v>23</v>
      </c>
      <c r="E798">
        <v>487</v>
      </c>
      <c r="F798">
        <v>8</v>
      </c>
      <c r="G798">
        <f t="shared" si="36"/>
        <v>3896</v>
      </c>
      <c r="H798">
        <v>5</v>
      </c>
      <c r="I798">
        <f t="shared" si="37"/>
        <v>2435</v>
      </c>
      <c r="J798">
        <f t="shared" si="38"/>
        <v>1461</v>
      </c>
      <c r="K798" t="s">
        <v>24</v>
      </c>
      <c r="L798" t="s">
        <v>73</v>
      </c>
      <c r="M798" t="s">
        <v>26</v>
      </c>
      <c r="N798" t="s">
        <v>43</v>
      </c>
      <c r="O798">
        <v>709</v>
      </c>
      <c r="P798">
        <v>487</v>
      </c>
      <c r="Q798" t="s">
        <v>94</v>
      </c>
      <c r="R798" t="s">
        <v>75</v>
      </c>
      <c r="S798" t="s">
        <v>95</v>
      </c>
      <c r="T798">
        <v>2023</v>
      </c>
      <c r="U798" t="s">
        <v>62</v>
      </c>
    </row>
    <row r="799" spans="1:21" x14ac:dyDescent="0.35">
      <c r="A799" s="1">
        <v>45389</v>
      </c>
      <c r="B799" t="s">
        <v>48</v>
      </c>
      <c r="C799" t="s">
        <v>49</v>
      </c>
      <c r="D799" t="s">
        <v>50</v>
      </c>
      <c r="E799">
        <v>357</v>
      </c>
      <c r="F799">
        <v>150</v>
      </c>
      <c r="G799">
        <f t="shared" si="36"/>
        <v>53550</v>
      </c>
      <c r="H799">
        <v>100</v>
      </c>
      <c r="I799">
        <f t="shared" si="37"/>
        <v>35700</v>
      </c>
      <c r="J799">
        <f t="shared" si="38"/>
        <v>17850</v>
      </c>
      <c r="K799" t="s">
        <v>35</v>
      </c>
      <c r="L799" t="s">
        <v>63</v>
      </c>
      <c r="M799" t="s">
        <v>37</v>
      </c>
      <c r="N799" t="s">
        <v>27</v>
      </c>
      <c r="O799">
        <v>918</v>
      </c>
      <c r="P799">
        <v>357</v>
      </c>
      <c r="Q799" t="s">
        <v>103</v>
      </c>
      <c r="R799" t="s">
        <v>68</v>
      </c>
      <c r="S799" t="s">
        <v>104</v>
      </c>
      <c r="T799">
        <v>2024</v>
      </c>
      <c r="U799" t="s">
        <v>31</v>
      </c>
    </row>
    <row r="800" spans="1:21" x14ac:dyDescent="0.35">
      <c r="A800" s="1">
        <v>45390</v>
      </c>
      <c r="B800" t="s">
        <v>32</v>
      </c>
      <c r="C800" t="s">
        <v>33</v>
      </c>
      <c r="D800" t="s">
        <v>34</v>
      </c>
      <c r="E800">
        <v>175</v>
      </c>
      <c r="F800">
        <v>20</v>
      </c>
      <c r="G800">
        <f t="shared" si="36"/>
        <v>3500</v>
      </c>
      <c r="H800">
        <v>12</v>
      </c>
      <c r="I800">
        <f t="shared" si="37"/>
        <v>2100</v>
      </c>
      <c r="J800">
        <f t="shared" si="38"/>
        <v>1400</v>
      </c>
      <c r="K800" t="s">
        <v>42</v>
      </c>
      <c r="L800" t="s">
        <v>63</v>
      </c>
      <c r="M800" t="s">
        <v>37</v>
      </c>
      <c r="N800" t="s">
        <v>43</v>
      </c>
      <c r="O800">
        <v>830</v>
      </c>
      <c r="P800">
        <v>175</v>
      </c>
      <c r="Q800" t="s">
        <v>106</v>
      </c>
      <c r="R800" t="s">
        <v>107</v>
      </c>
      <c r="S800" t="s">
        <v>108</v>
      </c>
      <c r="T800">
        <v>2022</v>
      </c>
      <c r="U800" t="s">
        <v>57</v>
      </c>
    </row>
    <row r="801" spans="1:21" x14ac:dyDescent="0.35">
      <c r="A801" s="1">
        <v>45391</v>
      </c>
      <c r="B801" t="s">
        <v>21</v>
      </c>
      <c r="C801" t="s">
        <v>22</v>
      </c>
      <c r="D801" t="s">
        <v>23</v>
      </c>
      <c r="E801">
        <v>356</v>
      </c>
      <c r="F801">
        <v>8</v>
      </c>
      <c r="G801">
        <f t="shared" si="36"/>
        <v>2848</v>
      </c>
      <c r="H801">
        <v>5</v>
      </c>
      <c r="I801">
        <f t="shared" si="37"/>
        <v>1780</v>
      </c>
      <c r="J801">
        <f t="shared" si="38"/>
        <v>1068</v>
      </c>
      <c r="K801" t="s">
        <v>24</v>
      </c>
      <c r="L801" t="s">
        <v>73</v>
      </c>
      <c r="M801" t="s">
        <v>26</v>
      </c>
      <c r="N801" t="s">
        <v>27</v>
      </c>
      <c r="O801">
        <v>837</v>
      </c>
      <c r="P801">
        <v>356</v>
      </c>
      <c r="Q801" t="s">
        <v>28</v>
      </c>
      <c r="R801" t="s">
        <v>29</v>
      </c>
      <c r="S801" t="s">
        <v>30</v>
      </c>
      <c r="T801">
        <v>2020</v>
      </c>
      <c r="U801" t="s">
        <v>86</v>
      </c>
    </row>
    <row r="802" spans="1:21" x14ac:dyDescent="0.35">
      <c r="A802" s="1">
        <v>45392</v>
      </c>
      <c r="B802" t="s">
        <v>32</v>
      </c>
      <c r="C802" t="s">
        <v>33</v>
      </c>
      <c r="D802" t="s">
        <v>34</v>
      </c>
      <c r="E802">
        <v>414</v>
      </c>
      <c r="F802">
        <v>20</v>
      </c>
      <c r="G802">
        <f t="shared" si="36"/>
        <v>8280</v>
      </c>
      <c r="H802">
        <v>12</v>
      </c>
      <c r="I802">
        <f t="shared" si="37"/>
        <v>4968</v>
      </c>
      <c r="J802">
        <f t="shared" si="38"/>
        <v>3312</v>
      </c>
      <c r="K802" t="s">
        <v>42</v>
      </c>
      <c r="L802" t="s">
        <v>36</v>
      </c>
      <c r="M802" t="s">
        <v>26</v>
      </c>
      <c r="N802" t="s">
        <v>38</v>
      </c>
      <c r="O802">
        <v>822</v>
      </c>
      <c r="P802">
        <v>414</v>
      </c>
      <c r="Q802" t="s">
        <v>44</v>
      </c>
      <c r="R802" t="s">
        <v>45</v>
      </c>
      <c r="S802" t="s">
        <v>46</v>
      </c>
      <c r="T802">
        <v>2021</v>
      </c>
      <c r="U802" t="s">
        <v>47</v>
      </c>
    </row>
    <row r="803" spans="1:21" x14ac:dyDescent="0.35">
      <c r="A803" s="1">
        <v>45393</v>
      </c>
      <c r="B803" t="s">
        <v>32</v>
      </c>
      <c r="C803" t="s">
        <v>33</v>
      </c>
      <c r="D803" t="s">
        <v>34</v>
      </c>
      <c r="E803">
        <v>148</v>
      </c>
      <c r="F803">
        <v>20</v>
      </c>
      <c r="G803">
        <f t="shared" si="36"/>
        <v>2960</v>
      </c>
      <c r="H803">
        <v>12</v>
      </c>
      <c r="I803">
        <f t="shared" si="37"/>
        <v>1776</v>
      </c>
      <c r="J803">
        <f t="shared" si="38"/>
        <v>1184</v>
      </c>
      <c r="K803" t="s">
        <v>42</v>
      </c>
      <c r="L803" t="s">
        <v>63</v>
      </c>
      <c r="M803" t="s">
        <v>61</v>
      </c>
      <c r="N803" t="s">
        <v>43</v>
      </c>
      <c r="O803">
        <v>992</v>
      </c>
      <c r="P803">
        <v>148</v>
      </c>
      <c r="Q803" t="s">
        <v>94</v>
      </c>
      <c r="R803" t="s">
        <v>75</v>
      </c>
      <c r="S803" t="s">
        <v>95</v>
      </c>
      <c r="T803">
        <v>2024</v>
      </c>
      <c r="U803" t="s">
        <v>91</v>
      </c>
    </row>
    <row r="804" spans="1:21" x14ac:dyDescent="0.35">
      <c r="A804" s="1">
        <v>45394</v>
      </c>
      <c r="B804" t="s">
        <v>80</v>
      </c>
      <c r="C804" t="s">
        <v>81</v>
      </c>
      <c r="D804" t="s">
        <v>82</v>
      </c>
      <c r="E804">
        <v>180</v>
      </c>
      <c r="F804">
        <v>2.5</v>
      </c>
      <c r="G804">
        <f t="shared" si="36"/>
        <v>450</v>
      </c>
      <c r="H804">
        <v>1.5</v>
      </c>
      <c r="I804">
        <f t="shared" si="37"/>
        <v>270</v>
      </c>
      <c r="J804">
        <f t="shared" si="38"/>
        <v>180</v>
      </c>
      <c r="K804" t="s">
        <v>42</v>
      </c>
      <c r="L804" t="s">
        <v>73</v>
      </c>
      <c r="M804" t="s">
        <v>37</v>
      </c>
      <c r="N804" t="s">
        <v>43</v>
      </c>
      <c r="O804">
        <v>824</v>
      </c>
      <c r="P804">
        <v>180</v>
      </c>
      <c r="Q804" t="s">
        <v>103</v>
      </c>
      <c r="R804" t="s">
        <v>68</v>
      </c>
      <c r="S804" t="s">
        <v>104</v>
      </c>
      <c r="T804">
        <v>2021</v>
      </c>
      <c r="U804" t="s">
        <v>91</v>
      </c>
    </row>
    <row r="805" spans="1:21" x14ac:dyDescent="0.35">
      <c r="A805" s="1">
        <v>45395</v>
      </c>
      <c r="B805" t="s">
        <v>32</v>
      </c>
      <c r="C805" t="s">
        <v>33</v>
      </c>
      <c r="D805" t="s">
        <v>34</v>
      </c>
      <c r="E805">
        <v>138</v>
      </c>
      <c r="F805">
        <v>20</v>
      </c>
      <c r="G805">
        <f t="shared" si="36"/>
        <v>2760</v>
      </c>
      <c r="H805">
        <v>12</v>
      </c>
      <c r="I805">
        <f t="shared" si="37"/>
        <v>1656</v>
      </c>
      <c r="J805">
        <f t="shared" si="38"/>
        <v>1104</v>
      </c>
      <c r="K805" t="s">
        <v>24</v>
      </c>
      <c r="L805" t="s">
        <v>63</v>
      </c>
      <c r="M805" t="s">
        <v>26</v>
      </c>
      <c r="N805" t="s">
        <v>27</v>
      </c>
      <c r="O805">
        <v>969</v>
      </c>
      <c r="P805">
        <v>138</v>
      </c>
      <c r="Q805" t="s">
        <v>87</v>
      </c>
      <c r="R805" t="s">
        <v>88</v>
      </c>
      <c r="S805" t="s">
        <v>89</v>
      </c>
      <c r="T805">
        <v>2021</v>
      </c>
      <c r="U805" t="s">
        <v>105</v>
      </c>
    </row>
    <row r="806" spans="1:21" x14ac:dyDescent="0.35">
      <c r="A806" s="1">
        <v>45396</v>
      </c>
      <c r="B806" t="s">
        <v>98</v>
      </c>
      <c r="C806" t="s">
        <v>99</v>
      </c>
      <c r="D806" t="s">
        <v>100</v>
      </c>
      <c r="E806">
        <v>466</v>
      </c>
      <c r="F806">
        <v>6</v>
      </c>
      <c r="G806">
        <f t="shared" si="36"/>
        <v>2796</v>
      </c>
      <c r="H806">
        <v>4</v>
      </c>
      <c r="I806">
        <f t="shared" si="37"/>
        <v>1864</v>
      </c>
      <c r="J806">
        <f t="shared" si="38"/>
        <v>932</v>
      </c>
      <c r="K806" t="s">
        <v>42</v>
      </c>
      <c r="L806" t="s">
        <v>73</v>
      </c>
      <c r="M806" t="s">
        <v>61</v>
      </c>
      <c r="N806" t="s">
        <v>38</v>
      </c>
      <c r="O806">
        <v>642</v>
      </c>
      <c r="P806">
        <v>466</v>
      </c>
      <c r="Q806" t="s">
        <v>87</v>
      </c>
      <c r="R806" t="s">
        <v>88</v>
      </c>
      <c r="S806" t="s">
        <v>89</v>
      </c>
      <c r="T806">
        <v>2021</v>
      </c>
      <c r="U806" t="s">
        <v>109</v>
      </c>
    </row>
    <row r="807" spans="1:21" x14ac:dyDescent="0.35">
      <c r="A807" s="1">
        <v>45397</v>
      </c>
      <c r="B807" t="s">
        <v>98</v>
      </c>
      <c r="C807" t="s">
        <v>99</v>
      </c>
      <c r="D807" t="s">
        <v>100</v>
      </c>
      <c r="E807">
        <v>105</v>
      </c>
      <c r="F807">
        <v>6</v>
      </c>
      <c r="G807">
        <f t="shared" si="36"/>
        <v>630</v>
      </c>
      <c r="H807">
        <v>4</v>
      </c>
      <c r="I807">
        <f t="shared" si="37"/>
        <v>420</v>
      </c>
      <c r="J807">
        <f t="shared" si="38"/>
        <v>210</v>
      </c>
      <c r="K807" t="s">
        <v>35</v>
      </c>
      <c r="L807" t="s">
        <v>63</v>
      </c>
      <c r="M807" t="s">
        <v>61</v>
      </c>
      <c r="N807" t="s">
        <v>27</v>
      </c>
      <c r="O807">
        <v>785</v>
      </c>
      <c r="P807">
        <v>105</v>
      </c>
      <c r="Q807" t="s">
        <v>113</v>
      </c>
      <c r="R807" t="s">
        <v>114</v>
      </c>
      <c r="S807" t="s">
        <v>115</v>
      </c>
      <c r="T807">
        <v>2020</v>
      </c>
      <c r="U807" t="s">
        <v>91</v>
      </c>
    </row>
    <row r="808" spans="1:21" x14ac:dyDescent="0.35">
      <c r="A808" s="1">
        <v>45398</v>
      </c>
      <c r="B808" t="s">
        <v>21</v>
      </c>
      <c r="C808" t="s">
        <v>22</v>
      </c>
      <c r="D808" t="s">
        <v>23</v>
      </c>
      <c r="E808">
        <v>369</v>
      </c>
      <c r="F808">
        <v>8</v>
      </c>
      <c r="G808">
        <f t="shared" si="36"/>
        <v>2952</v>
      </c>
      <c r="H808">
        <v>5</v>
      </c>
      <c r="I808">
        <f t="shared" si="37"/>
        <v>1845</v>
      </c>
      <c r="J808">
        <f t="shared" si="38"/>
        <v>1107</v>
      </c>
      <c r="K808" t="s">
        <v>35</v>
      </c>
      <c r="L808" t="s">
        <v>63</v>
      </c>
      <c r="M808" t="s">
        <v>26</v>
      </c>
      <c r="N808" t="s">
        <v>27</v>
      </c>
      <c r="O808">
        <v>576</v>
      </c>
      <c r="P808">
        <v>369</v>
      </c>
      <c r="Q808" t="s">
        <v>28</v>
      </c>
      <c r="R808" t="s">
        <v>29</v>
      </c>
      <c r="S808" t="s">
        <v>30</v>
      </c>
      <c r="T808">
        <v>2024</v>
      </c>
      <c r="U808" t="s">
        <v>62</v>
      </c>
    </row>
    <row r="809" spans="1:21" x14ac:dyDescent="0.35">
      <c r="A809" s="1">
        <v>45399</v>
      </c>
      <c r="B809" t="s">
        <v>48</v>
      </c>
      <c r="C809" t="s">
        <v>49</v>
      </c>
      <c r="D809" t="s">
        <v>50</v>
      </c>
      <c r="E809">
        <v>201</v>
      </c>
      <c r="F809">
        <v>150</v>
      </c>
      <c r="G809">
        <f t="shared" si="36"/>
        <v>30150</v>
      </c>
      <c r="H809">
        <v>100</v>
      </c>
      <c r="I809">
        <f t="shared" si="37"/>
        <v>20100</v>
      </c>
      <c r="J809">
        <f t="shared" si="38"/>
        <v>10050</v>
      </c>
      <c r="K809" t="s">
        <v>35</v>
      </c>
      <c r="L809" t="s">
        <v>25</v>
      </c>
      <c r="M809" t="s">
        <v>37</v>
      </c>
      <c r="N809" t="s">
        <v>43</v>
      </c>
      <c r="O809">
        <v>867</v>
      </c>
      <c r="P809">
        <v>201</v>
      </c>
      <c r="Q809" t="s">
        <v>44</v>
      </c>
      <c r="R809" t="s">
        <v>45</v>
      </c>
      <c r="S809" t="s">
        <v>46</v>
      </c>
      <c r="T809">
        <v>2023</v>
      </c>
      <c r="U809" t="s">
        <v>47</v>
      </c>
    </row>
    <row r="810" spans="1:21" x14ac:dyDescent="0.35">
      <c r="A810" s="1">
        <v>45400</v>
      </c>
      <c r="B810" t="s">
        <v>48</v>
      </c>
      <c r="C810" t="s">
        <v>49</v>
      </c>
      <c r="D810" t="s">
        <v>50</v>
      </c>
      <c r="E810">
        <v>217</v>
      </c>
      <c r="F810">
        <v>150</v>
      </c>
      <c r="G810">
        <f t="shared" si="36"/>
        <v>32550</v>
      </c>
      <c r="H810">
        <v>100</v>
      </c>
      <c r="I810">
        <f t="shared" si="37"/>
        <v>21700</v>
      </c>
      <c r="J810">
        <f t="shared" si="38"/>
        <v>10850</v>
      </c>
      <c r="K810" t="s">
        <v>42</v>
      </c>
      <c r="L810" t="s">
        <v>63</v>
      </c>
      <c r="M810" t="s">
        <v>37</v>
      </c>
      <c r="N810" t="s">
        <v>38</v>
      </c>
      <c r="O810">
        <v>790</v>
      </c>
      <c r="P810">
        <v>217</v>
      </c>
      <c r="Q810" t="s">
        <v>101</v>
      </c>
      <c r="R810" t="s">
        <v>101</v>
      </c>
      <c r="S810" t="s">
        <v>102</v>
      </c>
      <c r="T810">
        <v>2020</v>
      </c>
      <c r="U810" t="s">
        <v>105</v>
      </c>
    </row>
    <row r="811" spans="1:21" x14ac:dyDescent="0.35">
      <c r="A811" s="1">
        <v>45401</v>
      </c>
      <c r="B811" t="s">
        <v>58</v>
      </c>
      <c r="C811" t="s">
        <v>59</v>
      </c>
      <c r="D811" t="s">
        <v>60</v>
      </c>
      <c r="E811">
        <v>213</v>
      </c>
      <c r="F811">
        <v>5</v>
      </c>
      <c r="G811">
        <f t="shared" si="36"/>
        <v>1065</v>
      </c>
      <c r="H811">
        <v>3</v>
      </c>
      <c r="I811">
        <f t="shared" si="37"/>
        <v>639</v>
      </c>
      <c r="J811">
        <f t="shared" si="38"/>
        <v>426</v>
      </c>
      <c r="K811" t="s">
        <v>42</v>
      </c>
      <c r="L811" t="s">
        <v>36</v>
      </c>
      <c r="M811" t="s">
        <v>26</v>
      </c>
      <c r="N811" t="s">
        <v>27</v>
      </c>
      <c r="O811">
        <v>532</v>
      </c>
      <c r="P811">
        <v>213</v>
      </c>
      <c r="Q811" t="s">
        <v>67</v>
      </c>
      <c r="R811" t="s">
        <v>68</v>
      </c>
      <c r="S811" t="s">
        <v>69</v>
      </c>
      <c r="T811">
        <v>2023</v>
      </c>
      <c r="U811" t="s">
        <v>47</v>
      </c>
    </row>
    <row r="812" spans="1:21" x14ac:dyDescent="0.35">
      <c r="A812" s="1">
        <v>45402</v>
      </c>
      <c r="B812" t="s">
        <v>32</v>
      </c>
      <c r="C812" t="s">
        <v>33</v>
      </c>
      <c r="D812" t="s">
        <v>34</v>
      </c>
      <c r="E812">
        <v>431</v>
      </c>
      <c r="F812">
        <v>20</v>
      </c>
      <c r="G812">
        <f t="shared" si="36"/>
        <v>8620</v>
      </c>
      <c r="H812">
        <v>12</v>
      </c>
      <c r="I812">
        <f t="shared" si="37"/>
        <v>5172</v>
      </c>
      <c r="J812">
        <f t="shared" si="38"/>
        <v>3448</v>
      </c>
      <c r="K812" t="s">
        <v>24</v>
      </c>
      <c r="L812" t="s">
        <v>63</v>
      </c>
      <c r="M812" t="s">
        <v>26</v>
      </c>
      <c r="N812" t="s">
        <v>43</v>
      </c>
      <c r="O812">
        <v>504</v>
      </c>
      <c r="P812">
        <v>431</v>
      </c>
      <c r="Q812" t="s">
        <v>74</v>
      </c>
      <c r="R812" t="s">
        <v>75</v>
      </c>
      <c r="S812" t="s">
        <v>76</v>
      </c>
      <c r="T812">
        <v>2021</v>
      </c>
      <c r="U812" t="s">
        <v>62</v>
      </c>
    </row>
    <row r="813" spans="1:21" x14ac:dyDescent="0.35">
      <c r="A813" s="1">
        <v>45403</v>
      </c>
      <c r="B813" t="s">
        <v>32</v>
      </c>
      <c r="C813" t="s">
        <v>33</v>
      </c>
      <c r="D813" t="s">
        <v>34</v>
      </c>
      <c r="E813">
        <v>80</v>
      </c>
      <c r="F813">
        <v>20</v>
      </c>
      <c r="G813">
        <f t="shared" si="36"/>
        <v>1600</v>
      </c>
      <c r="H813">
        <v>12</v>
      </c>
      <c r="I813">
        <f t="shared" si="37"/>
        <v>960</v>
      </c>
      <c r="J813">
        <f t="shared" si="38"/>
        <v>640</v>
      </c>
      <c r="K813" t="s">
        <v>35</v>
      </c>
      <c r="L813" t="s">
        <v>63</v>
      </c>
      <c r="M813" t="s">
        <v>37</v>
      </c>
      <c r="N813" t="s">
        <v>43</v>
      </c>
      <c r="O813">
        <v>876</v>
      </c>
      <c r="P813">
        <v>80</v>
      </c>
      <c r="Q813" t="s">
        <v>94</v>
      </c>
      <c r="R813" t="s">
        <v>75</v>
      </c>
      <c r="S813" t="s">
        <v>95</v>
      </c>
      <c r="T813">
        <v>2023</v>
      </c>
      <c r="U813" t="s">
        <v>86</v>
      </c>
    </row>
    <row r="814" spans="1:21" x14ac:dyDescent="0.35">
      <c r="A814" s="1">
        <v>45404</v>
      </c>
      <c r="B814" t="s">
        <v>80</v>
      </c>
      <c r="C814" t="s">
        <v>81</v>
      </c>
      <c r="D814" t="s">
        <v>82</v>
      </c>
      <c r="E814">
        <v>158</v>
      </c>
      <c r="F814">
        <v>2.5</v>
      </c>
      <c r="G814">
        <f t="shared" si="36"/>
        <v>395</v>
      </c>
      <c r="H814">
        <v>1.5</v>
      </c>
      <c r="I814">
        <f t="shared" si="37"/>
        <v>237</v>
      </c>
      <c r="J814">
        <f t="shared" si="38"/>
        <v>158</v>
      </c>
      <c r="K814" t="s">
        <v>42</v>
      </c>
      <c r="L814" t="s">
        <v>63</v>
      </c>
      <c r="M814" t="s">
        <v>61</v>
      </c>
      <c r="N814" t="s">
        <v>27</v>
      </c>
      <c r="O814">
        <v>851</v>
      </c>
      <c r="P814">
        <v>158</v>
      </c>
      <c r="Q814" t="s">
        <v>83</v>
      </c>
      <c r="R814" t="s">
        <v>84</v>
      </c>
      <c r="S814" t="s">
        <v>85</v>
      </c>
      <c r="T814">
        <v>2023</v>
      </c>
      <c r="U814" t="s">
        <v>96</v>
      </c>
    </row>
    <row r="815" spans="1:21" x14ac:dyDescent="0.35">
      <c r="A815" s="1">
        <v>45405</v>
      </c>
      <c r="B815" t="s">
        <v>98</v>
      </c>
      <c r="C815" t="s">
        <v>99</v>
      </c>
      <c r="D815" t="s">
        <v>100</v>
      </c>
      <c r="E815">
        <v>267</v>
      </c>
      <c r="F815">
        <v>6</v>
      </c>
      <c r="G815">
        <f t="shared" si="36"/>
        <v>1602</v>
      </c>
      <c r="H815">
        <v>4</v>
      </c>
      <c r="I815">
        <f t="shared" si="37"/>
        <v>1068</v>
      </c>
      <c r="J815">
        <f t="shared" si="38"/>
        <v>534</v>
      </c>
      <c r="K815" t="s">
        <v>42</v>
      </c>
      <c r="L815" t="s">
        <v>63</v>
      </c>
      <c r="M815" t="s">
        <v>37</v>
      </c>
      <c r="N815" t="s">
        <v>43</v>
      </c>
      <c r="O815">
        <v>961</v>
      </c>
      <c r="P815">
        <v>267</v>
      </c>
      <c r="Q815" t="s">
        <v>103</v>
      </c>
      <c r="R815" t="s">
        <v>68</v>
      </c>
      <c r="S815" t="s">
        <v>104</v>
      </c>
      <c r="T815">
        <v>2020</v>
      </c>
      <c r="U815" t="s">
        <v>96</v>
      </c>
    </row>
    <row r="816" spans="1:21" x14ac:dyDescent="0.35">
      <c r="A816" s="1">
        <v>45406</v>
      </c>
      <c r="B816" t="s">
        <v>98</v>
      </c>
      <c r="C816" t="s">
        <v>99</v>
      </c>
      <c r="D816" t="s">
        <v>100</v>
      </c>
      <c r="E816">
        <v>425</v>
      </c>
      <c r="F816">
        <v>6</v>
      </c>
      <c r="G816">
        <f t="shared" si="36"/>
        <v>2550</v>
      </c>
      <c r="H816">
        <v>4</v>
      </c>
      <c r="I816">
        <f t="shared" si="37"/>
        <v>1700</v>
      </c>
      <c r="J816">
        <f t="shared" si="38"/>
        <v>850</v>
      </c>
      <c r="K816" t="s">
        <v>35</v>
      </c>
      <c r="L816" t="s">
        <v>36</v>
      </c>
      <c r="M816" t="s">
        <v>26</v>
      </c>
      <c r="N816" t="s">
        <v>38</v>
      </c>
      <c r="O816">
        <v>963</v>
      </c>
      <c r="P816">
        <v>425</v>
      </c>
      <c r="Q816" t="s">
        <v>44</v>
      </c>
      <c r="R816" t="s">
        <v>45</v>
      </c>
      <c r="S816" t="s">
        <v>46</v>
      </c>
      <c r="T816">
        <v>2024</v>
      </c>
      <c r="U816" t="s">
        <v>62</v>
      </c>
    </row>
    <row r="817" spans="1:21" x14ac:dyDescent="0.35">
      <c r="A817" s="1">
        <v>45407</v>
      </c>
      <c r="B817" t="s">
        <v>98</v>
      </c>
      <c r="C817" t="s">
        <v>99</v>
      </c>
      <c r="D817" t="s">
        <v>100</v>
      </c>
      <c r="E817">
        <v>113</v>
      </c>
      <c r="F817">
        <v>6</v>
      </c>
      <c r="G817">
        <f t="shared" si="36"/>
        <v>678</v>
      </c>
      <c r="H817">
        <v>4</v>
      </c>
      <c r="I817">
        <f t="shared" si="37"/>
        <v>452</v>
      </c>
      <c r="J817">
        <f t="shared" si="38"/>
        <v>226</v>
      </c>
      <c r="K817" t="s">
        <v>24</v>
      </c>
      <c r="L817" t="s">
        <v>63</v>
      </c>
      <c r="M817" t="s">
        <v>26</v>
      </c>
      <c r="N817" t="s">
        <v>27</v>
      </c>
      <c r="O817">
        <v>642</v>
      </c>
      <c r="P817">
        <v>113</v>
      </c>
      <c r="Q817" t="s">
        <v>74</v>
      </c>
      <c r="R817" t="s">
        <v>75</v>
      </c>
      <c r="S817" t="s">
        <v>76</v>
      </c>
      <c r="T817">
        <v>2020</v>
      </c>
      <c r="U817" t="s">
        <v>57</v>
      </c>
    </row>
    <row r="818" spans="1:21" x14ac:dyDescent="0.35">
      <c r="A818" s="1">
        <v>45408</v>
      </c>
      <c r="B818" t="s">
        <v>48</v>
      </c>
      <c r="C818" t="s">
        <v>49</v>
      </c>
      <c r="D818" t="s">
        <v>50</v>
      </c>
      <c r="E818">
        <v>230</v>
      </c>
      <c r="F818">
        <v>150</v>
      </c>
      <c r="G818">
        <f t="shared" si="36"/>
        <v>34500</v>
      </c>
      <c r="H818">
        <v>100</v>
      </c>
      <c r="I818">
        <f t="shared" si="37"/>
        <v>23000</v>
      </c>
      <c r="J818">
        <f t="shared" si="38"/>
        <v>11500</v>
      </c>
      <c r="K818" t="s">
        <v>24</v>
      </c>
      <c r="L818" t="s">
        <v>25</v>
      </c>
      <c r="M818" t="s">
        <v>61</v>
      </c>
      <c r="N818" t="s">
        <v>43</v>
      </c>
      <c r="O818">
        <v>638</v>
      </c>
      <c r="P818">
        <v>230</v>
      </c>
      <c r="Q818" t="s">
        <v>64</v>
      </c>
      <c r="R818" t="s">
        <v>29</v>
      </c>
      <c r="S818" t="s">
        <v>65</v>
      </c>
      <c r="T818">
        <v>2021</v>
      </c>
      <c r="U818" t="s">
        <v>91</v>
      </c>
    </row>
    <row r="819" spans="1:21" x14ac:dyDescent="0.35">
      <c r="A819" s="1">
        <v>45409</v>
      </c>
      <c r="B819" t="s">
        <v>21</v>
      </c>
      <c r="C819" t="s">
        <v>22</v>
      </c>
      <c r="D819" t="s">
        <v>23</v>
      </c>
      <c r="E819">
        <v>146</v>
      </c>
      <c r="F819">
        <v>8</v>
      </c>
      <c r="G819">
        <f t="shared" si="36"/>
        <v>1168</v>
      </c>
      <c r="H819">
        <v>5</v>
      </c>
      <c r="I819">
        <f t="shared" si="37"/>
        <v>730</v>
      </c>
      <c r="J819">
        <f t="shared" si="38"/>
        <v>438</v>
      </c>
      <c r="K819" t="s">
        <v>42</v>
      </c>
      <c r="L819" t="s">
        <v>73</v>
      </c>
      <c r="M819" t="s">
        <v>37</v>
      </c>
      <c r="N819" t="s">
        <v>38</v>
      </c>
      <c r="O819">
        <v>642</v>
      </c>
      <c r="P819">
        <v>146</v>
      </c>
      <c r="Q819" t="s">
        <v>44</v>
      </c>
      <c r="R819" t="s">
        <v>45</v>
      </c>
      <c r="S819" t="s">
        <v>46</v>
      </c>
      <c r="T819">
        <v>2022</v>
      </c>
      <c r="U819" t="s">
        <v>62</v>
      </c>
    </row>
    <row r="820" spans="1:21" x14ac:dyDescent="0.35">
      <c r="A820" s="1">
        <v>45410</v>
      </c>
      <c r="B820" t="s">
        <v>80</v>
      </c>
      <c r="C820" t="s">
        <v>81</v>
      </c>
      <c r="D820" t="s">
        <v>82</v>
      </c>
      <c r="E820">
        <v>404</v>
      </c>
      <c r="F820">
        <v>2.5</v>
      </c>
      <c r="G820">
        <f t="shared" si="36"/>
        <v>1010</v>
      </c>
      <c r="H820">
        <v>1.5</v>
      </c>
      <c r="I820">
        <f t="shared" si="37"/>
        <v>606</v>
      </c>
      <c r="J820">
        <f t="shared" si="38"/>
        <v>404</v>
      </c>
      <c r="K820" t="s">
        <v>42</v>
      </c>
      <c r="L820" t="s">
        <v>36</v>
      </c>
      <c r="M820" t="s">
        <v>61</v>
      </c>
      <c r="N820" t="s">
        <v>27</v>
      </c>
      <c r="O820">
        <v>942</v>
      </c>
      <c r="P820">
        <v>404</v>
      </c>
      <c r="Q820" t="s">
        <v>74</v>
      </c>
      <c r="R820" t="s">
        <v>75</v>
      </c>
      <c r="S820" t="s">
        <v>76</v>
      </c>
      <c r="T820">
        <v>2021</v>
      </c>
      <c r="U820" t="s">
        <v>62</v>
      </c>
    </row>
    <row r="821" spans="1:21" x14ac:dyDescent="0.35">
      <c r="A821" s="1">
        <v>45411</v>
      </c>
      <c r="B821" t="s">
        <v>21</v>
      </c>
      <c r="C821" t="s">
        <v>22</v>
      </c>
      <c r="D821" t="s">
        <v>23</v>
      </c>
      <c r="E821">
        <v>14</v>
      </c>
      <c r="F821">
        <v>8</v>
      </c>
      <c r="G821">
        <f t="shared" si="36"/>
        <v>112</v>
      </c>
      <c r="H821">
        <v>5</v>
      </c>
      <c r="I821">
        <f t="shared" si="37"/>
        <v>70</v>
      </c>
      <c r="J821">
        <f t="shared" si="38"/>
        <v>42</v>
      </c>
      <c r="K821" t="s">
        <v>24</v>
      </c>
      <c r="L821" t="s">
        <v>63</v>
      </c>
      <c r="M821" t="s">
        <v>61</v>
      </c>
      <c r="N821" t="s">
        <v>27</v>
      </c>
      <c r="O821">
        <v>992</v>
      </c>
      <c r="P821">
        <v>14</v>
      </c>
      <c r="Q821" t="s">
        <v>90</v>
      </c>
      <c r="R821" t="s">
        <v>55</v>
      </c>
      <c r="S821" t="s">
        <v>85</v>
      </c>
      <c r="T821">
        <v>2022</v>
      </c>
      <c r="U821" t="s">
        <v>91</v>
      </c>
    </row>
    <row r="822" spans="1:21" x14ac:dyDescent="0.35">
      <c r="A822" s="1">
        <v>45412</v>
      </c>
      <c r="B822" t="s">
        <v>58</v>
      </c>
      <c r="C822" t="s">
        <v>59</v>
      </c>
      <c r="D822" t="s">
        <v>60</v>
      </c>
      <c r="E822">
        <v>33</v>
      </c>
      <c r="F822">
        <v>5</v>
      </c>
      <c r="G822">
        <f t="shared" si="36"/>
        <v>165</v>
      </c>
      <c r="H822">
        <v>3</v>
      </c>
      <c r="I822">
        <f t="shared" si="37"/>
        <v>99</v>
      </c>
      <c r="J822">
        <f t="shared" si="38"/>
        <v>66</v>
      </c>
      <c r="K822" t="s">
        <v>35</v>
      </c>
      <c r="L822" t="s">
        <v>73</v>
      </c>
      <c r="M822" t="s">
        <v>37</v>
      </c>
      <c r="N822" t="s">
        <v>38</v>
      </c>
      <c r="O822">
        <v>561</v>
      </c>
      <c r="P822">
        <v>33</v>
      </c>
      <c r="Q822" t="s">
        <v>77</v>
      </c>
      <c r="R822" t="s">
        <v>78</v>
      </c>
      <c r="S822" t="s">
        <v>79</v>
      </c>
      <c r="T822">
        <v>2023</v>
      </c>
      <c r="U822" t="s">
        <v>86</v>
      </c>
    </row>
    <row r="823" spans="1:21" x14ac:dyDescent="0.35">
      <c r="A823" s="1">
        <v>45413</v>
      </c>
      <c r="B823" t="s">
        <v>32</v>
      </c>
      <c r="C823" t="s">
        <v>33</v>
      </c>
      <c r="D823" t="s">
        <v>34</v>
      </c>
      <c r="E823">
        <v>256</v>
      </c>
      <c r="F823">
        <v>20</v>
      </c>
      <c r="G823">
        <f t="shared" si="36"/>
        <v>5120</v>
      </c>
      <c r="H823">
        <v>12</v>
      </c>
      <c r="I823">
        <f t="shared" si="37"/>
        <v>3072</v>
      </c>
      <c r="J823">
        <f t="shared" si="38"/>
        <v>2048</v>
      </c>
      <c r="K823" t="s">
        <v>42</v>
      </c>
      <c r="L823" t="s">
        <v>36</v>
      </c>
      <c r="M823" t="s">
        <v>61</v>
      </c>
      <c r="N823" t="s">
        <v>27</v>
      </c>
      <c r="O823">
        <v>806</v>
      </c>
      <c r="P823">
        <v>256</v>
      </c>
      <c r="Q823" t="s">
        <v>28</v>
      </c>
      <c r="R823" t="s">
        <v>29</v>
      </c>
      <c r="S823" t="s">
        <v>30</v>
      </c>
      <c r="T823">
        <v>2024</v>
      </c>
      <c r="U823" t="s">
        <v>86</v>
      </c>
    </row>
    <row r="824" spans="1:21" x14ac:dyDescent="0.35">
      <c r="A824" s="1">
        <v>45414</v>
      </c>
      <c r="B824" t="s">
        <v>80</v>
      </c>
      <c r="C824" t="s">
        <v>81</v>
      </c>
      <c r="D824" t="s">
        <v>82</v>
      </c>
      <c r="E824">
        <v>64</v>
      </c>
      <c r="F824">
        <v>2.5</v>
      </c>
      <c r="G824">
        <f t="shared" si="36"/>
        <v>160</v>
      </c>
      <c r="H824">
        <v>1.5</v>
      </c>
      <c r="I824">
        <f t="shared" si="37"/>
        <v>96</v>
      </c>
      <c r="J824">
        <f t="shared" si="38"/>
        <v>64</v>
      </c>
      <c r="K824" t="s">
        <v>42</v>
      </c>
      <c r="L824" t="s">
        <v>63</v>
      </c>
      <c r="M824" t="s">
        <v>26</v>
      </c>
      <c r="N824" t="s">
        <v>43</v>
      </c>
      <c r="O824">
        <v>587</v>
      </c>
      <c r="P824">
        <v>64</v>
      </c>
      <c r="Q824" t="s">
        <v>106</v>
      </c>
      <c r="R824" t="s">
        <v>107</v>
      </c>
      <c r="S824" t="s">
        <v>108</v>
      </c>
      <c r="T824">
        <v>2020</v>
      </c>
      <c r="U824" t="s">
        <v>91</v>
      </c>
    </row>
    <row r="825" spans="1:21" x14ac:dyDescent="0.35">
      <c r="A825" s="1">
        <v>45415</v>
      </c>
      <c r="B825" t="s">
        <v>21</v>
      </c>
      <c r="C825" t="s">
        <v>22</v>
      </c>
      <c r="D825" t="s">
        <v>23</v>
      </c>
      <c r="E825">
        <v>493</v>
      </c>
      <c r="F825">
        <v>8</v>
      </c>
      <c r="G825">
        <f t="shared" si="36"/>
        <v>3944</v>
      </c>
      <c r="H825">
        <v>5</v>
      </c>
      <c r="I825">
        <f t="shared" si="37"/>
        <v>2465</v>
      </c>
      <c r="J825">
        <f t="shared" si="38"/>
        <v>1479</v>
      </c>
      <c r="K825" t="s">
        <v>35</v>
      </c>
      <c r="L825" t="s">
        <v>73</v>
      </c>
      <c r="M825" t="s">
        <v>26</v>
      </c>
      <c r="N825" t="s">
        <v>43</v>
      </c>
      <c r="O825">
        <v>549</v>
      </c>
      <c r="P825">
        <v>493</v>
      </c>
      <c r="Q825" t="s">
        <v>110</v>
      </c>
      <c r="R825" t="s">
        <v>111</v>
      </c>
      <c r="S825" t="s">
        <v>112</v>
      </c>
      <c r="T825">
        <v>2023</v>
      </c>
      <c r="U825" t="s">
        <v>57</v>
      </c>
    </row>
    <row r="826" spans="1:21" x14ac:dyDescent="0.35">
      <c r="A826" s="1">
        <v>45416</v>
      </c>
      <c r="B826" t="s">
        <v>32</v>
      </c>
      <c r="C826" t="s">
        <v>33</v>
      </c>
      <c r="D826" t="s">
        <v>34</v>
      </c>
      <c r="E826">
        <v>499</v>
      </c>
      <c r="F826">
        <v>20</v>
      </c>
      <c r="G826">
        <f t="shared" si="36"/>
        <v>9980</v>
      </c>
      <c r="H826">
        <v>12</v>
      </c>
      <c r="I826">
        <f t="shared" si="37"/>
        <v>5988</v>
      </c>
      <c r="J826">
        <f t="shared" si="38"/>
        <v>3992</v>
      </c>
      <c r="K826" t="s">
        <v>24</v>
      </c>
      <c r="L826" t="s">
        <v>25</v>
      </c>
      <c r="M826" t="s">
        <v>37</v>
      </c>
      <c r="N826" t="s">
        <v>38</v>
      </c>
      <c r="O826">
        <v>554</v>
      </c>
      <c r="P826">
        <v>499</v>
      </c>
      <c r="Q826" t="s">
        <v>87</v>
      </c>
      <c r="R826" t="s">
        <v>88</v>
      </c>
      <c r="S826" t="s">
        <v>89</v>
      </c>
      <c r="T826">
        <v>2020</v>
      </c>
      <c r="U826" t="s">
        <v>53</v>
      </c>
    </row>
    <row r="827" spans="1:21" x14ac:dyDescent="0.35">
      <c r="A827" s="1">
        <v>45417</v>
      </c>
      <c r="B827" t="s">
        <v>21</v>
      </c>
      <c r="C827" t="s">
        <v>22</v>
      </c>
      <c r="D827" t="s">
        <v>23</v>
      </c>
      <c r="E827">
        <v>144</v>
      </c>
      <c r="F827">
        <v>8</v>
      </c>
      <c r="G827">
        <f t="shared" si="36"/>
        <v>1152</v>
      </c>
      <c r="H827">
        <v>5</v>
      </c>
      <c r="I827">
        <f t="shared" si="37"/>
        <v>720</v>
      </c>
      <c r="J827">
        <f t="shared" si="38"/>
        <v>432</v>
      </c>
      <c r="K827" t="s">
        <v>24</v>
      </c>
      <c r="L827" t="s">
        <v>63</v>
      </c>
      <c r="M827" t="s">
        <v>37</v>
      </c>
      <c r="N827" t="s">
        <v>38</v>
      </c>
      <c r="O827">
        <v>895</v>
      </c>
      <c r="P827">
        <v>144</v>
      </c>
      <c r="Q827" t="s">
        <v>101</v>
      </c>
      <c r="R827" t="s">
        <v>101</v>
      </c>
      <c r="S827" t="s">
        <v>102</v>
      </c>
      <c r="T827">
        <v>2021</v>
      </c>
      <c r="U827" t="s">
        <v>86</v>
      </c>
    </row>
    <row r="828" spans="1:21" x14ac:dyDescent="0.35">
      <c r="A828" s="1">
        <v>45418</v>
      </c>
      <c r="B828" t="s">
        <v>32</v>
      </c>
      <c r="C828" t="s">
        <v>33</v>
      </c>
      <c r="D828" t="s">
        <v>34</v>
      </c>
      <c r="E828">
        <v>167</v>
      </c>
      <c r="F828">
        <v>20</v>
      </c>
      <c r="G828">
        <f t="shared" si="36"/>
        <v>3340</v>
      </c>
      <c r="H828">
        <v>12</v>
      </c>
      <c r="I828">
        <f t="shared" si="37"/>
        <v>2004</v>
      </c>
      <c r="J828">
        <f t="shared" si="38"/>
        <v>1336</v>
      </c>
      <c r="K828" t="s">
        <v>24</v>
      </c>
      <c r="L828" t="s">
        <v>73</v>
      </c>
      <c r="M828" t="s">
        <v>37</v>
      </c>
      <c r="N828" t="s">
        <v>43</v>
      </c>
      <c r="O828">
        <v>720</v>
      </c>
      <c r="P828">
        <v>167</v>
      </c>
      <c r="Q828" t="s">
        <v>106</v>
      </c>
      <c r="R828" t="s">
        <v>107</v>
      </c>
      <c r="S828" t="s">
        <v>108</v>
      </c>
      <c r="T828">
        <v>2024</v>
      </c>
      <c r="U828" t="s">
        <v>31</v>
      </c>
    </row>
    <row r="829" spans="1:21" x14ac:dyDescent="0.35">
      <c r="A829" s="1">
        <v>45419</v>
      </c>
      <c r="B829" t="s">
        <v>58</v>
      </c>
      <c r="C829" t="s">
        <v>59</v>
      </c>
      <c r="D829" t="s">
        <v>60</v>
      </c>
      <c r="E829">
        <v>126</v>
      </c>
      <c r="F829">
        <v>5</v>
      </c>
      <c r="G829">
        <f t="shared" si="36"/>
        <v>630</v>
      </c>
      <c r="H829">
        <v>3</v>
      </c>
      <c r="I829">
        <f t="shared" si="37"/>
        <v>378</v>
      </c>
      <c r="J829">
        <f t="shared" si="38"/>
        <v>252</v>
      </c>
      <c r="K829" t="s">
        <v>35</v>
      </c>
      <c r="L829" t="s">
        <v>73</v>
      </c>
      <c r="M829" t="s">
        <v>26</v>
      </c>
      <c r="N829" t="s">
        <v>43</v>
      </c>
      <c r="O829">
        <v>859</v>
      </c>
      <c r="P829">
        <v>126</v>
      </c>
      <c r="Q829" t="s">
        <v>70</v>
      </c>
      <c r="R829" t="s">
        <v>71</v>
      </c>
      <c r="S829" t="s">
        <v>72</v>
      </c>
      <c r="T829">
        <v>2022</v>
      </c>
      <c r="U829" t="s">
        <v>47</v>
      </c>
    </row>
    <row r="830" spans="1:21" x14ac:dyDescent="0.35">
      <c r="A830" s="1">
        <v>45420</v>
      </c>
      <c r="B830" t="s">
        <v>21</v>
      </c>
      <c r="C830" t="s">
        <v>22</v>
      </c>
      <c r="D830" t="s">
        <v>23</v>
      </c>
      <c r="E830">
        <v>92</v>
      </c>
      <c r="F830">
        <v>8</v>
      </c>
      <c r="G830">
        <f t="shared" si="36"/>
        <v>736</v>
      </c>
      <c r="H830">
        <v>5</v>
      </c>
      <c r="I830">
        <f t="shared" si="37"/>
        <v>460</v>
      </c>
      <c r="J830">
        <f t="shared" si="38"/>
        <v>276</v>
      </c>
      <c r="K830" t="s">
        <v>24</v>
      </c>
      <c r="L830" t="s">
        <v>73</v>
      </c>
      <c r="M830" t="s">
        <v>26</v>
      </c>
      <c r="N830" t="s">
        <v>43</v>
      </c>
      <c r="O830">
        <v>661</v>
      </c>
      <c r="P830">
        <v>92</v>
      </c>
      <c r="Q830" t="s">
        <v>110</v>
      </c>
      <c r="R830" t="s">
        <v>111</v>
      </c>
      <c r="S830" t="s">
        <v>112</v>
      </c>
      <c r="T830">
        <v>2021</v>
      </c>
      <c r="U830" t="s">
        <v>96</v>
      </c>
    </row>
    <row r="831" spans="1:21" x14ac:dyDescent="0.35">
      <c r="A831" s="1">
        <v>45421</v>
      </c>
      <c r="B831" t="s">
        <v>21</v>
      </c>
      <c r="C831" t="s">
        <v>22</v>
      </c>
      <c r="D831" t="s">
        <v>23</v>
      </c>
      <c r="E831">
        <v>491</v>
      </c>
      <c r="F831">
        <v>8</v>
      </c>
      <c r="G831">
        <f t="shared" si="36"/>
        <v>3928</v>
      </c>
      <c r="H831">
        <v>5</v>
      </c>
      <c r="I831">
        <f t="shared" si="37"/>
        <v>2455</v>
      </c>
      <c r="J831">
        <f t="shared" si="38"/>
        <v>1473</v>
      </c>
      <c r="K831" t="s">
        <v>42</v>
      </c>
      <c r="L831" t="s">
        <v>25</v>
      </c>
      <c r="M831" t="s">
        <v>26</v>
      </c>
      <c r="N831" t="s">
        <v>27</v>
      </c>
      <c r="O831">
        <v>818</v>
      </c>
      <c r="P831">
        <v>491</v>
      </c>
      <c r="Q831" t="s">
        <v>101</v>
      </c>
      <c r="R831" t="s">
        <v>101</v>
      </c>
      <c r="S831" t="s">
        <v>102</v>
      </c>
      <c r="T831">
        <v>2022</v>
      </c>
      <c r="U831" t="s">
        <v>57</v>
      </c>
    </row>
    <row r="832" spans="1:21" x14ac:dyDescent="0.35">
      <c r="A832" s="1">
        <v>45422</v>
      </c>
      <c r="B832" t="s">
        <v>80</v>
      </c>
      <c r="C832" t="s">
        <v>81</v>
      </c>
      <c r="D832" t="s">
        <v>82</v>
      </c>
      <c r="E832">
        <v>321</v>
      </c>
      <c r="F832">
        <v>2.5</v>
      </c>
      <c r="G832">
        <f t="shared" si="36"/>
        <v>802.5</v>
      </c>
      <c r="H832">
        <v>1.5</v>
      </c>
      <c r="I832">
        <f t="shared" si="37"/>
        <v>481.5</v>
      </c>
      <c r="J832">
        <f t="shared" si="38"/>
        <v>321</v>
      </c>
      <c r="K832" t="s">
        <v>24</v>
      </c>
      <c r="L832" t="s">
        <v>63</v>
      </c>
      <c r="M832" t="s">
        <v>37</v>
      </c>
      <c r="N832" t="s">
        <v>43</v>
      </c>
      <c r="O832">
        <v>656</v>
      </c>
      <c r="P832">
        <v>321</v>
      </c>
      <c r="Q832" t="s">
        <v>113</v>
      </c>
      <c r="R832" t="s">
        <v>114</v>
      </c>
      <c r="S832" t="s">
        <v>115</v>
      </c>
      <c r="T832">
        <v>2020</v>
      </c>
      <c r="U832" t="s">
        <v>53</v>
      </c>
    </row>
    <row r="833" spans="1:21" x14ac:dyDescent="0.35">
      <c r="A833" s="1">
        <v>45423</v>
      </c>
      <c r="B833" t="s">
        <v>48</v>
      </c>
      <c r="C833" t="s">
        <v>49</v>
      </c>
      <c r="D833" t="s">
        <v>50</v>
      </c>
      <c r="E833">
        <v>169</v>
      </c>
      <c r="F833">
        <v>150</v>
      </c>
      <c r="G833">
        <f t="shared" si="36"/>
        <v>25350</v>
      </c>
      <c r="H833">
        <v>100</v>
      </c>
      <c r="I833">
        <f t="shared" si="37"/>
        <v>16900</v>
      </c>
      <c r="J833">
        <f t="shared" si="38"/>
        <v>8450</v>
      </c>
      <c r="K833" t="s">
        <v>35</v>
      </c>
      <c r="L833" t="s">
        <v>36</v>
      </c>
      <c r="M833" t="s">
        <v>37</v>
      </c>
      <c r="N833" t="s">
        <v>43</v>
      </c>
      <c r="O833">
        <v>504</v>
      </c>
      <c r="P833">
        <v>169</v>
      </c>
      <c r="Q833" t="s">
        <v>110</v>
      </c>
      <c r="R833" t="s">
        <v>111</v>
      </c>
      <c r="S833" t="s">
        <v>112</v>
      </c>
      <c r="T833">
        <v>2023</v>
      </c>
      <c r="U833" t="s">
        <v>91</v>
      </c>
    </row>
    <row r="834" spans="1:21" x14ac:dyDescent="0.35">
      <c r="A834" s="1">
        <v>45424</v>
      </c>
      <c r="B834" t="s">
        <v>32</v>
      </c>
      <c r="C834" t="s">
        <v>33</v>
      </c>
      <c r="D834" t="s">
        <v>34</v>
      </c>
      <c r="E834">
        <v>91</v>
      </c>
      <c r="F834">
        <v>20</v>
      </c>
      <c r="G834">
        <f t="shared" si="36"/>
        <v>1820</v>
      </c>
      <c r="H834">
        <v>12</v>
      </c>
      <c r="I834">
        <f t="shared" si="37"/>
        <v>1092</v>
      </c>
      <c r="J834">
        <f t="shared" si="38"/>
        <v>728</v>
      </c>
      <c r="K834" t="s">
        <v>35</v>
      </c>
      <c r="L834" t="s">
        <v>25</v>
      </c>
      <c r="M834" t="s">
        <v>61</v>
      </c>
      <c r="N834" t="s">
        <v>38</v>
      </c>
      <c r="O834">
        <v>958</v>
      </c>
      <c r="P834">
        <v>91</v>
      </c>
      <c r="Q834" t="s">
        <v>64</v>
      </c>
      <c r="R834" t="s">
        <v>29</v>
      </c>
      <c r="S834" t="s">
        <v>65</v>
      </c>
      <c r="T834">
        <v>2021</v>
      </c>
      <c r="U834" t="s">
        <v>62</v>
      </c>
    </row>
    <row r="835" spans="1:21" x14ac:dyDescent="0.35">
      <c r="A835" s="1">
        <v>45425</v>
      </c>
      <c r="B835" t="s">
        <v>32</v>
      </c>
      <c r="C835" t="s">
        <v>33</v>
      </c>
      <c r="D835" t="s">
        <v>34</v>
      </c>
      <c r="E835">
        <v>335</v>
      </c>
      <c r="F835">
        <v>20</v>
      </c>
      <c r="G835">
        <f t="shared" ref="G835:G898" si="39">E835*F835</f>
        <v>6700</v>
      </c>
      <c r="H835">
        <v>12</v>
      </c>
      <c r="I835">
        <f t="shared" ref="I835:I898" si="40">E835*H835</f>
        <v>4020</v>
      </c>
      <c r="J835">
        <f t="shared" ref="J835:J898" si="41">G835-I835</f>
        <v>2680</v>
      </c>
      <c r="K835" t="s">
        <v>24</v>
      </c>
      <c r="L835" t="s">
        <v>73</v>
      </c>
      <c r="M835" t="s">
        <v>37</v>
      </c>
      <c r="N835" t="s">
        <v>43</v>
      </c>
      <c r="O835">
        <v>639</v>
      </c>
      <c r="P835">
        <v>335</v>
      </c>
      <c r="Q835" t="s">
        <v>67</v>
      </c>
      <c r="R835" t="s">
        <v>68</v>
      </c>
      <c r="S835" t="s">
        <v>69</v>
      </c>
      <c r="T835">
        <v>2020</v>
      </c>
      <c r="U835" t="s">
        <v>47</v>
      </c>
    </row>
    <row r="836" spans="1:21" x14ac:dyDescent="0.35">
      <c r="A836" s="1">
        <v>45426</v>
      </c>
      <c r="B836" t="s">
        <v>48</v>
      </c>
      <c r="C836" t="s">
        <v>49</v>
      </c>
      <c r="D836" t="s">
        <v>50</v>
      </c>
      <c r="E836">
        <v>327</v>
      </c>
      <c r="F836">
        <v>150</v>
      </c>
      <c r="G836">
        <f t="shared" si="39"/>
        <v>49050</v>
      </c>
      <c r="H836">
        <v>100</v>
      </c>
      <c r="I836">
        <f t="shared" si="40"/>
        <v>32700</v>
      </c>
      <c r="J836">
        <f t="shared" si="41"/>
        <v>16350</v>
      </c>
      <c r="K836" t="s">
        <v>42</v>
      </c>
      <c r="L836" t="s">
        <v>36</v>
      </c>
      <c r="M836" t="s">
        <v>61</v>
      </c>
      <c r="N836" t="s">
        <v>27</v>
      </c>
      <c r="O836">
        <v>556</v>
      </c>
      <c r="P836">
        <v>327</v>
      </c>
      <c r="Q836" t="s">
        <v>87</v>
      </c>
      <c r="R836" t="s">
        <v>88</v>
      </c>
      <c r="S836" t="s">
        <v>89</v>
      </c>
      <c r="T836">
        <v>2020</v>
      </c>
      <c r="U836" t="s">
        <v>47</v>
      </c>
    </row>
    <row r="837" spans="1:21" x14ac:dyDescent="0.35">
      <c r="A837" s="1">
        <v>45427</v>
      </c>
      <c r="B837" t="s">
        <v>98</v>
      </c>
      <c r="C837" t="s">
        <v>99</v>
      </c>
      <c r="D837" t="s">
        <v>100</v>
      </c>
      <c r="E837">
        <v>286</v>
      </c>
      <c r="F837">
        <v>6</v>
      </c>
      <c r="G837">
        <f t="shared" si="39"/>
        <v>1716</v>
      </c>
      <c r="H837">
        <v>4</v>
      </c>
      <c r="I837">
        <f t="shared" si="40"/>
        <v>1144</v>
      </c>
      <c r="J837">
        <f t="shared" si="41"/>
        <v>572</v>
      </c>
      <c r="K837" t="s">
        <v>42</v>
      </c>
      <c r="L837" t="s">
        <v>25</v>
      </c>
      <c r="M837" t="s">
        <v>26</v>
      </c>
      <c r="N837" t="s">
        <v>38</v>
      </c>
      <c r="O837">
        <v>587</v>
      </c>
      <c r="P837">
        <v>286</v>
      </c>
      <c r="Q837" t="s">
        <v>51</v>
      </c>
      <c r="R837" t="s">
        <v>45</v>
      </c>
      <c r="S837" t="s">
        <v>52</v>
      </c>
      <c r="T837">
        <v>2021</v>
      </c>
      <c r="U837" t="s">
        <v>105</v>
      </c>
    </row>
    <row r="838" spans="1:21" x14ac:dyDescent="0.35">
      <c r="A838" s="1">
        <v>45428</v>
      </c>
      <c r="B838" t="s">
        <v>48</v>
      </c>
      <c r="C838" t="s">
        <v>49</v>
      </c>
      <c r="D838" t="s">
        <v>50</v>
      </c>
      <c r="E838">
        <v>162</v>
      </c>
      <c r="F838">
        <v>150</v>
      </c>
      <c r="G838">
        <f t="shared" si="39"/>
        <v>24300</v>
      </c>
      <c r="H838">
        <v>100</v>
      </c>
      <c r="I838">
        <f t="shared" si="40"/>
        <v>16200</v>
      </c>
      <c r="J838">
        <f t="shared" si="41"/>
        <v>8100</v>
      </c>
      <c r="K838" t="s">
        <v>35</v>
      </c>
      <c r="L838" t="s">
        <v>36</v>
      </c>
      <c r="M838" t="s">
        <v>61</v>
      </c>
      <c r="N838" t="s">
        <v>38</v>
      </c>
      <c r="O838">
        <v>723</v>
      </c>
      <c r="P838">
        <v>162</v>
      </c>
      <c r="Q838" t="s">
        <v>51</v>
      </c>
      <c r="R838" t="s">
        <v>45</v>
      </c>
      <c r="S838" t="s">
        <v>52</v>
      </c>
      <c r="T838">
        <v>2021</v>
      </c>
      <c r="U838" t="s">
        <v>66</v>
      </c>
    </row>
    <row r="839" spans="1:21" x14ac:dyDescent="0.35">
      <c r="A839" s="1">
        <v>45429</v>
      </c>
      <c r="B839" t="s">
        <v>48</v>
      </c>
      <c r="C839" t="s">
        <v>49</v>
      </c>
      <c r="D839" t="s">
        <v>50</v>
      </c>
      <c r="E839">
        <v>141</v>
      </c>
      <c r="F839">
        <v>150</v>
      </c>
      <c r="G839">
        <f t="shared" si="39"/>
        <v>21150</v>
      </c>
      <c r="H839">
        <v>100</v>
      </c>
      <c r="I839">
        <f t="shared" si="40"/>
        <v>14100</v>
      </c>
      <c r="J839">
        <f t="shared" si="41"/>
        <v>7050</v>
      </c>
      <c r="K839" t="s">
        <v>42</v>
      </c>
      <c r="L839" t="s">
        <v>63</v>
      </c>
      <c r="M839" t="s">
        <v>26</v>
      </c>
      <c r="N839" t="s">
        <v>38</v>
      </c>
      <c r="O839">
        <v>688</v>
      </c>
      <c r="P839">
        <v>141</v>
      </c>
      <c r="Q839" t="s">
        <v>64</v>
      </c>
      <c r="R839" t="s">
        <v>29</v>
      </c>
      <c r="S839" t="s">
        <v>65</v>
      </c>
      <c r="T839">
        <v>2022</v>
      </c>
      <c r="U839" t="s">
        <v>105</v>
      </c>
    </row>
    <row r="840" spans="1:21" x14ac:dyDescent="0.35">
      <c r="A840" s="1">
        <v>45430</v>
      </c>
      <c r="B840" t="s">
        <v>98</v>
      </c>
      <c r="C840" t="s">
        <v>99</v>
      </c>
      <c r="D840" t="s">
        <v>100</v>
      </c>
      <c r="E840">
        <v>197</v>
      </c>
      <c r="F840">
        <v>6</v>
      </c>
      <c r="G840">
        <f t="shared" si="39"/>
        <v>1182</v>
      </c>
      <c r="H840">
        <v>4</v>
      </c>
      <c r="I840">
        <f t="shared" si="40"/>
        <v>788</v>
      </c>
      <c r="J840">
        <f t="shared" si="41"/>
        <v>394</v>
      </c>
      <c r="K840" t="s">
        <v>35</v>
      </c>
      <c r="L840" t="s">
        <v>73</v>
      </c>
      <c r="M840" t="s">
        <v>61</v>
      </c>
      <c r="N840" t="s">
        <v>43</v>
      </c>
      <c r="O840">
        <v>899</v>
      </c>
      <c r="P840">
        <v>197</v>
      </c>
      <c r="Q840" t="s">
        <v>90</v>
      </c>
      <c r="R840" t="s">
        <v>55</v>
      </c>
      <c r="S840" t="s">
        <v>85</v>
      </c>
      <c r="T840">
        <v>2023</v>
      </c>
      <c r="U840" t="s">
        <v>31</v>
      </c>
    </row>
    <row r="841" spans="1:21" x14ac:dyDescent="0.35">
      <c r="A841" s="1">
        <v>45431</v>
      </c>
      <c r="B841" t="s">
        <v>48</v>
      </c>
      <c r="C841" t="s">
        <v>49</v>
      </c>
      <c r="D841" t="s">
        <v>50</v>
      </c>
      <c r="E841">
        <v>426</v>
      </c>
      <c r="F841">
        <v>150</v>
      </c>
      <c r="G841">
        <f t="shared" si="39"/>
        <v>63900</v>
      </c>
      <c r="H841">
        <v>100</v>
      </c>
      <c r="I841">
        <f t="shared" si="40"/>
        <v>42600</v>
      </c>
      <c r="J841">
        <f t="shared" si="41"/>
        <v>21300</v>
      </c>
      <c r="K841" t="s">
        <v>42</v>
      </c>
      <c r="L841" t="s">
        <v>63</v>
      </c>
      <c r="M841" t="s">
        <v>26</v>
      </c>
      <c r="N841" t="s">
        <v>43</v>
      </c>
      <c r="O841">
        <v>726</v>
      </c>
      <c r="P841">
        <v>426</v>
      </c>
      <c r="Q841" t="s">
        <v>94</v>
      </c>
      <c r="R841" t="s">
        <v>75</v>
      </c>
      <c r="S841" t="s">
        <v>95</v>
      </c>
      <c r="T841">
        <v>2020</v>
      </c>
      <c r="U841" t="s">
        <v>109</v>
      </c>
    </row>
    <row r="842" spans="1:21" x14ac:dyDescent="0.35">
      <c r="A842" s="1">
        <v>45432</v>
      </c>
      <c r="B842" t="s">
        <v>32</v>
      </c>
      <c r="C842" t="s">
        <v>33</v>
      </c>
      <c r="D842" t="s">
        <v>34</v>
      </c>
      <c r="E842">
        <v>494</v>
      </c>
      <c r="F842">
        <v>20</v>
      </c>
      <c r="G842">
        <f t="shared" si="39"/>
        <v>9880</v>
      </c>
      <c r="H842">
        <v>12</v>
      </c>
      <c r="I842">
        <f t="shared" si="40"/>
        <v>5928</v>
      </c>
      <c r="J842">
        <f t="shared" si="41"/>
        <v>3952</v>
      </c>
      <c r="K842" t="s">
        <v>42</v>
      </c>
      <c r="L842" t="s">
        <v>25</v>
      </c>
      <c r="M842" t="s">
        <v>61</v>
      </c>
      <c r="N842" t="s">
        <v>38</v>
      </c>
      <c r="O842">
        <v>740</v>
      </c>
      <c r="P842">
        <v>494</v>
      </c>
      <c r="Q842" t="s">
        <v>64</v>
      </c>
      <c r="R842" t="s">
        <v>29</v>
      </c>
      <c r="S842" t="s">
        <v>65</v>
      </c>
      <c r="T842">
        <v>2021</v>
      </c>
      <c r="U842" t="s">
        <v>66</v>
      </c>
    </row>
    <row r="843" spans="1:21" x14ac:dyDescent="0.35">
      <c r="A843" s="1">
        <v>45433</v>
      </c>
      <c r="B843" t="s">
        <v>32</v>
      </c>
      <c r="C843" t="s">
        <v>33</v>
      </c>
      <c r="D843" t="s">
        <v>34</v>
      </c>
      <c r="E843">
        <v>293</v>
      </c>
      <c r="F843">
        <v>20</v>
      </c>
      <c r="G843">
        <f t="shared" si="39"/>
        <v>5860</v>
      </c>
      <c r="H843">
        <v>12</v>
      </c>
      <c r="I843">
        <f t="shared" si="40"/>
        <v>3516</v>
      </c>
      <c r="J843">
        <f t="shared" si="41"/>
        <v>2344</v>
      </c>
      <c r="K843" t="s">
        <v>42</v>
      </c>
      <c r="L843" t="s">
        <v>63</v>
      </c>
      <c r="M843" t="s">
        <v>61</v>
      </c>
      <c r="N843" t="s">
        <v>43</v>
      </c>
      <c r="O843">
        <v>671</v>
      </c>
      <c r="P843">
        <v>293</v>
      </c>
      <c r="Q843" t="s">
        <v>64</v>
      </c>
      <c r="R843" t="s">
        <v>29</v>
      </c>
      <c r="S843" t="s">
        <v>65</v>
      </c>
      <c r="T843">
        <v>2022</v>
      </c>
      <c r="U843" t="s">
        <v>86</v>
      </c>
    </row>
    <row r="844" spans="1:21" x14ac:dyDescent="0.35">
      <c r="A844" s="1">
        <v>45434</v>
      </c>
      <c r="B844" t="s">
        <v>58</v>
      </c>
      <c r="C844" t="s">
        <v>59</v>
      </c>
      <c r="D844" t="s">
        <v>60</v>
      </c>
      <c r="E844">
        <v>339</v>
      </c>
      <c r="F844">
        <v>5</v>
      </c>
      <c r="G844">
        <f t="shared" si="39"/>
        <v>1695</v>
      </c>
      <c r="H844">
        <v>3</v>
      </c>
      <c r="I844">
        <f t="shared" si="40"/>
        <v>1017</v>
      </c>
      <c r="J844">
        <f t="shared" si="41"/>
        <v>678</v>
      </c>
      <c r="K844" t="s">
        <v>42</v>
      </c>
      <c r="L844" t="s">
        <v>73</v>
      </c>
      <c r="M844" t="s">
        <v>26</v>
      </c>
      <c r="N844" t="s">
        <v>43</v>
      </c>
      <c r="O844">
        <v>591</v>
      </c>
      <c r="P844">
        <v>339</v>
      </c>
      <c r="Q844" t="s">
        <v>74</v>
      </c>
      <c r="R844" t="s">
        <v>75</v>
      </c>
      <c r="S844" t="s">
        <v>76</v>
      </c>
      <c r="T844">
        <v>2023</v>
      </c>
      <c r="U844" t="s">
        <v>109</v>
      </c>
    </row>
    <row r="845" spans="1:21" x14ac:dyDescent="0.35">
      <c r="A845" s="1">
        <v>45435</v>
      </c>
      <c r="B845" t="s">
        <v>32</v>
      </c>
      <c r="C845" t="s">
        <v>33</v>
      </c>
      <c r="D845" t="s">
        <v>34</v>
      </c>
      <c r="E845">
        <v>427</v>
      </c>
      <c r="F845">
        <v>20</v>
      </c>
      <c r="G845">
        <f t="shared" si="39"/>
        <v>8540</v>
      </c>
      <c r="H845">
        <v>12</v>
      </c>
      <c r="I845">
        <f t="shared" si="40"/>
        <v>5124</v>
      </c>
      <c r="J845">
        <f t="shared" si="41"/>
        <v>3416</v>
      </c>
      <c r="K845" t="s">
        <v>24</v>
      </c>
      <c r="L845" t="s">
        <v>25</v>
      </c>
      <c r="M845" t="s">
        <v>61</v>
      </c>
      <c r="N845" t="s">
        <v>38</v>
      </c>
      <c r="O845">
        <v>738</v>
      </c>
      <c r="P845">
        <v>427</v>
      </c>
      <c r="Q845" t="s">
        <v>77</v>
      </c>
      <c r="R845" t="s">
        <v>78</v>
      </c>
      <c r="S845" t="s">
        <v>79</v>
      </c>
      <c r="T845">
        <v>2022</v>
      </c>
      <c r="U845" t="s">
        <v>91</v>
      </c>
    </row>
    <row r="846" spans="1:21" x14ac:dyDescent="0.35">
      <c r="A846" s="1">
        <v>45436</v>
      </c>
      <c r="B846" t="s">
        <v>32</v>
      </c>
      <c r="C846" t="s">
        <v>33</v>
      </c>
      <c r="D846" t="s">
        <v>34</v>
      </c>
      <c r="E846">
        <v>22</v>
      </c>
      <c r="F846">
        <v>20</v>
      </c>
      <c r="G846">
        <f t="shared" si="39"/>
        <v>440</v>
      </c>
      <c r="H846">
        <v>12</v>
      </c>
      <c r="I846">
        <f t="shared" si="40"/>
        <v>264</v>
      </c>
      <c r="J846">
        <f t="shared" si="41"/>
        <v>176</v>
      </c>
      <c r="K846" t="s">
        <v>35</v>
      </c>
      <c r="L846" t="s">
        <v>25</v>
      </c>
      <c r="M846" t="s">
        <v>61</v>
      </c>
      <c r="N846" t="s">
        <v>27</v>
      </c>
      <c r="O846">
        <v>828</v>
      </c>
      <c r="P846">
        <v>22</v>
      </c>
      <c r="Q846" t="s">
        <v>28</v>
      </c>
      <c r="R846" t="s">
        <v>29</v>
      </c>
      <c r="S846" t="s">
        <v>30</v>
      </c>
      <c r="T846">
        <v>2021</v>
      </c>
      <c r="U846" t="s">
        <v>53</v>
      </c>
    </row>
    <row r="847" spans="1:21" x14ac:dyDescent="0.35">
      <c r="A847" s="1">
        <v>45437</v>
      </c>
      <c r="B847" t="s">
        <v>21</v>
      </c>
      <c r="C847" t="s">
        <v>22</v>
      </c>
      <c r="D847" t="s">
        <v>23</v>
      </c>
      <c r="E847">
        <v>251</v>
      </c>
      <c r="F847">
        <v>8</v>
      </c>
      <c r="G847">
        <f t="shared" si="39"/>
        <v>2008</v>
      </c>
      <c r="H847">
        <v>5</v>
      </c>
      <c r="I847">
        <f t="shared" si="40"/>
        <v>1255</v>
      </c>
      <c r="J847">
        <f t="shared" si="41"/>
        <v>753</v>
      </c>
      <c r="K847" t="s">
        <v>24</v>
      </c>
      <c r="L847" t="s">
        <v>63</v>
      </c>
      <c r="M847" t="s">
        <v>26</v>
      </c>
      <c r="N847" t="s">
        <v>43</v>
      </c>
      <c r="O847">
        <v>610</v>
      </c>
      <c r="P847">
        <v>251</v>
      </c>
      <c r="Q847" t="s">
        <v>28</v>
      </c>
      <c r="R847" t="s">
        <v>29</v>
      </c>
      <c r="S847" t="s">
        <v>30</v>
      </c>
      <c r="T847">
        <v>2021</v>
      </c>
      <c r="U847" t="s">
        <v>96</v>
      </c>
    </row>
    <row r="848" spans="1:21" x14ac:dyDescent="0.35">
      <c r="A848" s="1">
        <v>45438</v>
      </c>
      <c r="B848" t="s">
        <v>98</v>
      </c>
      <c r="C848" t="s">
        <v>99</v>
      </c>
      <c r="D848" t="s">
        <v>100</v>
      </c>
      <c r="E848">
        <v>256</v>
      </c>
      <c r="F848">
        <v>6</v>
      </c>
      <c r="G848">
        <f t="shared" si="39"/>
        <v>1536</v>
      </c>
      <c r="H848">
        <v>4</v>
      </c>
      <c r="I848">
        <f t="shared" si="40"/>
        <v>1024</v>
      </c>
      <c r="J848">
        <f t="shared" si="41"/>
        <v>512</v>
      </c>
      <c r="K848" t="s">
        <v>35</v>
      </c>
      <c r="L848" t="s">
        <v>63</v>
      </c>
      <c r="M848" t="s">
        <v>26</v>
      </c>
      <c r="N848" t="s">
        <v>38</v>
      </c>
      <c r="O848">
        <v>969</v>
      </c>
      <c r="P848">
        <v>256</v>
      </c>
      <c r="Q848" t="s">
        <v>103</v>
      </c>
      <c r="R848" t="s">
        <v>68</v>
      </c>
      <c r="S848" t="s">
        <v>104</v>
      </c>
      <c r="T848">
        <v>2024</v>
      </c>
      <c r="U848" t="s">
        <v>53</v>
      </c>
    </row>
    <row r="849" spans="1:21" x14ac:dyDescent="0.35">
      <c r="A849" s="1">
        <v>45439</v>
      </c>
      <c r="B849" t="s">
        <v>48</v>
      </c>
      <c r="C849" t="s">
        <v>49</v>
      </c>
      <c r="D849" t="s">
        <v>50</v>
      </c>
      <c r="E849">
        <v>61</v>
      </c>
      <c r="F849">
        <v>150</v>
      </c>
      <c r="G849">
        <f t="shared" si="39"/>
        <v>9150</v>
      </c>
      <c r="H849">
        <v>100</v>
      </c>
      <c r="I849">
        <f t="shared" si="40"/>
        <v>6100</v>
      </c>
      <c r="J849">
        <f t="shared" si="41"/>
        <v>3050</v>
      </c>
      <c r="K849" t="s">
        <v>35</v>
      </c>
      <c r="L849" t="s">
        <v>73</v>
      </c>
      <c r="M849" t="s">
        <v>61</v>
      </c>
      <c r="N849" t="s">
        <v>43</v>
      </c>
      <c r="O849">
        <v>948</v>
      </c>
      <c r="P849">
        <v>61</v>
      </c>
      <c r="Q849" t="s">
        <v>106</v>
      </c>
      <c r="R849" t="s">
        <v>107</v>
      </c>
      <c r="S849" t="s">
        <v>108</v>
      </c>
      <c r="T849">
        <v>2023</v>
      </c>
      <c r="U849" t="s">
        <v>53</v>
      </c>
    </row>
    <row r="850" spans="1:21" x14ac:dyDescent="0.35">
      <c r="A850" s="1">
        <v>45440</v>
      </c>
      <c r="B850" t="s">
        <v>58</v>
      </c>
      <c r="C850" t="s">
        <v>59</v>
      </c>
      <c r="D850" t="s">
        <v>60</v>
      </c>
      <c r="E850">
        <v>175</v>
      </c>
      <c r="F850">
        <v>5</v>
      </c>
      <c r="G850">
        <f t="shared" si="39"/>
        <v>875</v>
      </c>
      <c r="H850">
        <v>3</v>
      </c>
      <c r="I850">
        <f t="shared" si="40"/>
        <v>525</v>
      </c>
      <c r="J850">
        <f t="shared" si="41"/>
        <v>350</v>
      </c>
      <c r="K850" t="s">
        <v>24</v>
      </c>
      <c r="L850" t="s">
        <v>36</v>
      </c>
      <c r="M850" t="s">
        <v>61</v>
      </c>
      <c r="N850" t="s">
        <v>43</v>
      </c>
      <c r="O850">
        <v>597</v>
      </c>
      <c r="P850">
        <v>175</v>
      </c>
      <c r="Q850" t="s">
        <v>74</v>
      </c>
      <c r="R850" t="s">
        <v>75</v>
      </c>
      <c r="S850" t="s">
        <v>76</v>
      </c>
      <c r="T850">
        <v>2022</v>
      </c>
      <c r="U850" t="s">
        <v>53</v>
      </c>
    </row>
    <row r="851" spans="1:21" x14ac:dyDescent="0.35">
      <c r="A851" s="1">
        <v>45441</v>
      </c>
      <c r="B851" t="s">
        <v>98</v>
      </c>
      <c r="C851" t="s">
        <v>99</v>
      </c>
      <c r="D851" t="s">
        <v>100</v>
      </c>
      <c r="E851">
        <v>471</v>
      </c>
      <c r="F851">
        <v>6</v>
      </c>
      <c r="G851">
        <f t="shared" si="39"/>
        <v>2826</v>
      </c>
      <c r="H851">
        <v>4</v>
      </c>
      <c r="I851">
        <f t="shared" si="40"/>
        <v>1884</v>
      </c>
      <c r="J851">
        <f t="shared" si="41"/>
        <v>942</v>
      </c>
      <c r="K851" t="s">
        <v>24</v>
      </c>
      <c r="L851" t="s">
        <v>63</v>
      </c>
      <c r="M851" t="s">
        <v>37</v>
      </c>
      <c r="N851" t="s">
        <v>38</v>
      </c>
      <c r="O851">
        <v>516</v>
      </c>
      <c r="P851">
        <v>471</v>
      </c>
      <c r="Q851" t="s">
        <v>92</v>
      </c>
      <c r="R851" t="s">
        <v>45</v>
      </c>
      <c r="S851" t="s">
        <v>93</v>
      </c>
      <c r="T851">
        <v>2023</v>
      </c>
      <c r="U851" t="s">
        <v>62</v>
      </c>
    </row>
    <row r="852" spans="1:21" x14ac:dyDescent="0.35">
      <c r="A852" s="1">
        <v>45442</v>
      </c>
      <c r="B852" t="s">
        <v>98</v>
      </c>
      <c r="C852" t="s">
        <v>99</v>
      </c>
      <c r="D852" t="s">
        <v>100</v>
      </c>
      <c r="E852">
        <v>288</v>
      </c>
      <c r="F852">
        <v>6</v>
      </c>
      <c r="G852">
        <f t="shared" si="39"/>
        <v>1728</v>
      </c>
      <c r="H852">
        <v>4</v>
      </c>
      <c r="I852">
        <f t="shared" si="40"/>
        <v>1152</v>
      </c>
      <c r="J852">
        <f t="shared" si="41"/>
        <v>576</v>
      </c>
      <c r="K852" t="s">
        <v>24</v>
      </c>
      <c r="L852" t="s">
        <v>73</v>
      </c>
      <c r="M852" t="s">
        <v>37</v>
      </c>
      <c r="N852" t="s">
        <v>43</v>
      </c>
      <c r="O852">
        <v>772</v>
      </c>
      <c r="P852">
        <v>288</v>
      </c>
      <c r="Q852" t="s">
        <v>90</v>
      </c>
      <c r="R852" t="s">
        <v>55</v>
      </c>
      <c r="S852" t="s">
        <v>85</v>
      </c>
      <c r="T852">
        <v>2022</v>
      </c>
      <c r="U852" t="s">
        <v>97</v>
      </c>
    </row>
    <row r="853" spans="1:21" x14ac:dyDescent="0.35">
      <c r="A853" s="1">
        <v>45443</v>
      </c>
      <c r="B853" t="s">
        <v>48</v>
      </c>
      <c r="C853" t="s">
        <v>49</v>
      </c>
      <c r="D853" t="s">
        <v>50</v>
      </c>
      <c r="E853">
        <v>350</v>
      </c>
      <c r="F853">
        <v>150</v>
      </c>
      <c r="G853">
        <f t="shared" si="39"/>
        <v>52500</v>
      </c>
      <c r="H853">
        <v>100</v>
      </c>
      <c r="I853">
        <f t="shared" si="40"/>
        <v>35000</v>
      </c>
      <c r="J853">
        <f t="shared" si="41"/>
        <v>17500</v>
      </c>
      <c r="K853" t="s">
        <v>42</v>
      </c>
      <c r="L853" t="s">
        <v>36</v>
      </c>
      <c r="M853" t="s">
        <v>37</v>
      </c>
      <c r="N853" t="s">
        <v>27</v>
      </c>
      <c r="O853">
        <v>697</v>
      </c>
      <c r="P853">
        <v>350</v>
      </c>
      <c r="Q853" t="s">
        <v>39</v>
      </c>
      <c r="R853" t="s">
        <v>40</v>
      </c>
      <c r="S853" t="s">
        <v>41</v>
      </c>
      <c r="T853">
        <v>2020</v>
      </c>
      <c r="U853" t="s">
        <v>47</v>
      </c>
    </row>
    <row r="854" spans="1:21" x14ac:dyDescent="0.35">
      <c r="A854" s="1">
        <v>45444</v>
      </c>
      <c r="B854" t="s">
        <v>48</v>
      </c>
      <c r="C854" t="s">
        <v>49</v>
      </c>
      <c r="D854" t="s">
        <v>50</v>
      </c>
      <c r="E854">
        <v>443</v>
      </c>
      <c r="F854">
        <v>150</v>
      </c>
      <c r="G854">
        <f t="shared" si="39"/>
        <v>66450</v>
      </c>
      <c r="H854">
        <v>100</v>
      </c>
      <c r="I854">
        <f t="shared" si="40"/>
        <v>44300</v>
      </c>
      <c r="J854">
        <f t="shared" si="41"/>
        <v>22150</v>
      </c>
      <c r="K854" t="s">
        <v>24</v>
      </c>
      <c r="L854" t="s">
        <v>36</v>
      </c>
      <c r="M854" t="s">
        <v>37</v>
      </c>
      <c r="N854" t="s">
        <v>38</v>
      </c>
      <c r="O854">
        <v>525</v>
      </c>
      <c r="P854">
        <v>443</v>
      </c>
      <c r="Q854" t="s">
        <v>70</v>
      </c>
      <c r="R854" t="s">
        <v>71</v>
      </c>
      <c r="S854" t="s">
        <v>72</v>
      </c>
      <c r="T854">
        <v>2022</v>
      </c>
      <c r="U854" t="s">
        <v>66</v>
      </c>
    </row>
    <row r="855" spans="1:21" x14ac:dyDescent="0.35">
      <c r="A855" s="1">
        <v>45445</v>
      </c>
      <c r="B855" t="s">
        <v>48</v>
      </c>
      <c r="C855" t="s">
        <v>49</v>
      </c>
      <c r="D855" t="s">
        <v>50</v>
      </c>
      <c r="E855">
        <v>447</v>
      </c>
      <c r="F855">
        <v>150</v>
      </c>
      <c r="G855">
        <f t="shared" si="39"/>
        <v>67050</v>
      </c>
      <c r="H855">
        <v>100</v>
      </c>
      <c r="I855">
        <f t="shared" si="40"/>
        <v>44700</v>
      </c>
      <c r="J855">
        <f t="shared" si="41"/>
        <v>22350</v>
      </c>
      <c r="K855" t="s">
        <v>35</v>
      </c>
      <c r="L855" t="s">
        <v>63</v>
      </c>
      <c r="M855" t="s">
        <v>37</v>
      </c>
      <c r="N855" t="s">
        <v>27</v>
      </c>
      <c r="O855">
        <v>968</v>
      </c>
      <c r="P855">
        <v>447</v>
      </c>
      <c r="Q855" t="s">
        <v>51</v>
      </c>
      <c r="R855" t="s">
        <v>45</v>
      </c>
      <c r="S855" t="s">
        <v>52</v>
      </c>
      <c r="T855">
        <v>2020</v>
      </c>
      <c r="U855" t="s">
        <v>62</v>
      </c>
    </row>
    <row r="856" spans="1:21" x14ac:dyDescent="0.35">
      <c r="A856" s="1">
        <v>45446</v>
      </c>
      <c r="B856" t="s">
        <v>32</v>
      </c>
      <c r="C856" t="s">
        <v>33</v>
      </c>
      <c r="D856" t="s">
        <v>34</v>
      </c>
      <c r="E856">
        <v>342</v>
      </c>
      <c r="F856">
        <v>20</v>
      </c>
      <c r="G856">
        <f t="shared" si="39"/>
        <v>6840</v>
      </c>
      <c r="H856">
        <v>12</v>
      </c>
      <c r="I856">
        <f t="shared" si="40"/>
        <v>4104</v>
      </c>
      <c r="J856">
        <f t="shared" si="41"/>
        <v>2736</v>
      </c>
      <c r="K856" t="s">
        <v>24</v>
      </c>
      <c r="L856" t="s">
        <v>63</v>
      </c>
      <c r="M856" t="s">
        <v>26</v>
      </c>
      <c r="N856" t="s">
        <v>43</v>
      </c>
      <c r="O856">
        <v>580</v>
      </c>
      <c r="P856">
        <v>342</v>
      </c>
      <c r="Q856" t="s">
        <v>70</v>
      </c>
      <c r="R856" t="s">
        <v>71</v>
      </c>
      <c r="S856" t="s">
        <v>72</v>
      </c>
      <c r="T856">
        <v>2021</v>
      </c>
      <c r="U856" t="s">
        <v>62</v>
      </c>
    </row>
    <row r="857" spans="1:21" x14ac:dyDescent="0.35">
      <c r="A857" s="1">
        <v>45447</v>
      </c>
      <c r="B857" t="s">
        <v>98</v>
      </c>
      <c r="C857" t="s">
        <v>99</v>
      </c>
      <c r="D857" t="s">
        <v>100</v>
      </c>
      <c r="E857">
        <v>376</v>
      </c>
      <c r="F857">
        <v>6</v>
      </c>
      <c r="G857">
        <f t="shared" si="39"/>
        <v>2256</v>
      </c>
      <c r="H857">
        <v>4</v>
      </c>
      <c r="I857">
        <f t="shared" si="40"/>
        <v>1504</v>
      </c>
      <c r="J857">
        <f t="shared" si="41"/>
        <v>752</v>
      </c>
      <c r="K857" t="s">
        <v>24</v>
      </c>
      <c r="L857" t="s">
        <v>36</v>
      </c>
      <c r="M857" t="s">
        <v>37</v>
      </c>
      <c r="N857" t="s">
        <v>43</v>
      </c>
      <c r="O857">
        <v>701</v>
      </c>
      <c r="P857">
        <v>376</v>
      </c>
      <c r="Q857" t="s">
        <v>74</v>
      </c>
      <c r="R857" t="s">
        <v>75</v>
      </c>
      <c r="S857" t="s">
        <v>76</v>
      </c>
      <c r="T857">
        <v>2023</v>
      </c>
      <c r="U857" t="s">
        <v>86</v>
      </c>
    </row>
    <row r="858" spans="1:21" x14ac:dyDescent="0.35">
      <c r="A858" s="1">
        <v>45448</v>
      </c>
      <c r="B858" t="s">
        <v>32</v>
      </c>
      <c r="C858" t="s">
        <v>33</v>
      </c>
      <c r="D858" t="s">
        <v>34</v>
      </c>
      <c r="E858">
        <v>175</v>
      </c>
      <c r="F858">
        <v>20</v>
      </c>
      <c r="G858">
        <f t="shared" si="39"/>
        <v>3500</v>
      </c>
      <c r="H858">
        <v>12</v>
      </c>
      <c r="I858">
        <f t="shared" si="40"/>
        <v>2100</v>
      </c>
      <c r="J858">
        <f t="shared" si="41"/>
        <v>1400</v>
      </c>
      <c r="K858" t="s">
        <v>42</v>
      </c>
      <c r="L858" t="s">
        <v>73</v>
      </c>
      <c r="M858" t="s">
        <v>37</v>
      </c>
      <c r="N858" t="s">
        <v>43</v>
      </c>
      <c r="O858">
        <v>863</v>
      </c>
      <c r="P858">
        <v>175</v>
      </c>
      <c r="Q858" t="s">
        <v>54</v>
      </c>
      <c r="R858" t="s">
        <v>55</v>
      </c>
      <c r="S858" t="s">
        <v>56</v>
      </c>
      <c r="T858">
        <v>2020</v>
      </c>
      <c r="U858" t="s">
        <v>66</v>
      </c>
    </row>
    <row r="859" spans="1:21" x14ac:dyDescent="0.35">
      <c r="A859" s="1">
        <v>45449</v>
      </c>
      <c r="B859" t="s">
        <v>80</v>
      </c>
      <c r="C859" t="s">
        <v>81</v>
      </c>
      <c r="D859" t="s">
        <v>82</v>
      </c>
      <c r="E859">
        <v>480</v>
      </c>
      <c r="F859">
        <v>2.5</v>
      </c>
      <c r="G859">
        <f t="shared" si="39"/>
        <v>1200</v>
      </c>
      <c r="H859">
        <v>1.5</v>
      </c>
      <c r="I859">
        <f t="shared" si="40"/>
        <v>720</v>
      </c>
      <c r="J859">
        <f t="shared" si="41"/>
        <v>480</v>
      </c>
      <c r="K859" t="s">
        <v>35</v>
      </c>
      <c r="L859" t="s">
        <v>63</v>
      </c>
      <c r="M859" t="s">
        <v>37</v>
      </c>
      <c r="N859" t="s">
        <v>38</v>
      </c>
      <c r="O859">
        <v>867</v>
      </c>
      <c r="P859">
        <v>480</v>
      </c>
      <c r="Q859" t="s">
        <v>83</v>
      </c>
      <c r="R859" t="s">
        <v>84</v>
      </c>
      <c r="S859" t="s">
        <v>85</v>
      </c>
      <c r="T859">
        <v>2023</v>
      </c>
      <c r="U859" t="s">
        <v>53</v>
      </c>
    </row>
    <row r="860" spans="1:21" x14ac:dyDescent="0.35">
      <c r="A860" s="1">
        <v>45450</v>
      </c>
      <c r="B860" t="s">
        <v>58</v>
      </c>
      <c r="C860" t="s">
        <v>59</v>
      </c>
      <c r="D860" t="s">
        <v>60</v>
      </c>
      <c r="E860">
        <v>494</v>
      </c>
      <c r="F860">
        <v>5</v>
      </c>
      <c r="G860">
        <f t="shared" si="39"/>
        <v>2470</v>
      </c>
      <c r="H860">
        <v>3</v>
      </c>
      <c r="I860">
        <f t="shared" si="40"/>
        <v>1482</v>
      </c>
      <c r="J860">
        <f t="shared" si="41"/>
        <v>988</v>
      </c>
      <c r="K860" t="s">
        <v>24</v>
      </c>
      <c r="L860" t="s">
        <v>36</v>
      </c>
      <c r="M860" t="s">
        <v>61</v>
      </c>
      <c r="N860" t="s">
        <v>43</v>
      </c>
      <c r="O860">
        <v>624</v>
      </c>
      <c r="P860">
        <v>494</v>
      </c>
      <c r="Q860" t="s">
        <v>39</v>
      </c>
      <c r="R860" t="s">
        <v>40</v>
      </c>
      <c r="S860" t="s">
        <v>41</v>
      </c>
      <c r="T860">
        <v>2024</v>
      </c>
      <c r="U860" t="s">
        <v>96</v>
      </c>
    </row>
    <row r="861" spans="1:21" x14ac:dyDescent="0.35">
      <c r="A861" s="1">
        <v>45451</v>
      </c>
      <c r="B861" t="s">
        <v>32</v>
      </c>
      <c r="C861" t="s">
        <v>33</v>
      </c>
      <c r="D861" t="s">
        <v>34</v>
      </c>
      <c r="E861">
        <v>281</v>
      </c>
      <c r="F861">
        <v>20</v>
      </c>
      <c r="G861">
        <f t="shared" si="39"/>
        <v>5620</v>
      </c>
      <c r="H861">
        <v>12</v>
      </c>
      <c r="I861">
        <f t="shared" si="40"/>
        <v>3372</v>
      </c>
      <c r="J861">
        <f t="shared" si="41"/>
        <v>2248</v>
      </c>
      <c r="K861" t="s">
        <v>35</v>
      </c>
      <c r="L861" t="s">
        <v>36</v>
      </c>
      <c r="M861" t="s">
        <v>37</v>
      </c>
      <c r="N861" t="s">
        <v>38</v>
      </c>
      <c r="O861">
        <v>750</v>
      </c>
      <c r="P861">
        <v>281</v>
      </c>
      <c r="Q861" t="s">
        <v>51</v>
      </c>
      <c r="R861" t="s">
        <v>45</v>
      </c>
      <c r="S861" t="s">
        <v>52</v>
      </c>
      <c r="T861">
        <v>2024</v>
      </c>
      <c r="U861" t="s">
        <v>96</v>
      </c>
    </row>
    <row r="862" spans="1:21" x14ac:dyDescent="0.35">
      <c r="A862" s="1">
        <v>45452</v>
      </c>
      <c r="B862" t="s">
        <v>80</v>
      </c>
      <c r="C862" t="s">
        <v>81</v>
      </c>
      <c r="D862" t="s">
        <v>82</v>
      </c>
      <c r="E862">
        <v>161</v>
      </c>
      <c r="F862">
        <v>2.5</v>
      </c>
      <c r="G862">
        <f t="shared" si="39"/>
        <v>402.5</v>
      </c>
      <c r="H862">
        <v>1.5</v>
      </c>
      <c r="I862">
        <f t="shared" si="40"/>
        <v>241.5</v>
      </c>
      <c r="J862">
        <f t="shared" si="41"/>
        <v>161</v>
      </c>
      <c r="K862" t="s">
        <v>35</v>
      </c>
      <c r="L862" t="s">
        <v>36</v>
      </c>
      <c r="M862" t="s">
        <v>37</v>
      </c>
      <c r="N862" t="s">
        <v>43</v>
      </c>
      <c r="O862">
        <v>665</v>
      </c>
      <c r="P862">
        <v>161</v>
      </c>
      <c r="Q862" t="s">
        <v>101</v>
      </c>
      <c r="R862" t="s">
        <v>101</v>
      </c>
      <c r="S862" t="s">
        <v>102</v>
      </c>
      <c r="T862">
        <v>2021</v>
      </c>
      <c r="U862" t="s">
        <v>31</v>
      </c>
    </row>
    <row r="863" spans="1:21" x14ac:dyDescent="0.35">
      <c r="A863" s="1">
        <v>45453</v>
      </c>
      <c r="B863" t="s">
        <v>32</v>
      </c>
      <c r="C863" t="s">
        <v>33</v>
      </c>
      <c r="D863" t="s">
        <v>34</v>
      </c>
      <c r="E863">
        <v>282</v>
      </c>
      <c r="F863">
        <v>20</v>
      </c>
      <c r="G863">
        <f t="shared" si="39"/>
        <v>5640</v>
      </c>
      <c r="H863">
        <v>12</v>
      </c>
      <c r="I863">
        <f t="shared" si="40"/>
        <v>3384</v>
      </c>
      <c r="J863">
        <f t="shared" si="41"/>
        <v>2256</v>
      </c>
      <c r="K863" t="s">
        <v>35</v>
      </c>
      <c r="L863" t="s">
        <v>36</v>
      </c>
      <c r="M863" t="s">
        <v>61</v>
      </c>
      <c r="N863" t="s">
        <v>43</v>
      </c>
      <c r="O863">
        <v>618</v>
      </c>
      <c r="P863">
        <v>282</v>
      </c>
      <c r="Q863" t="s">
        <v>39</v>
      </c>
      <c r="R863" t="s">
        <v>40</v>
      </c>
      <c r="S863" t="s">
        <v>41</v>
      </c>
      <c r="T863">
        <v>2023</v>
      </c>
      <c r="U863" t="s">
        <v>96</v>
      </c>
    </row>
    <row r="864" spans="1:21" x14ac:dyDescent="0.35">
      <c r="A864" s="1">
        <v>45454</v>
      </c>
      <c r="B864" t="s">
        <v>32</v>
      </c>
      <c r="C864" t="s">
        <v>33</v>
      </c>
      <c r="D864" t="s">
        <v>34</v>
      </c>
      <c r="E864">
        <v>375</v>
      </c>
      <c r="F864">
        <v>20</v>
      </c>
      <c r="G864">
        <f t="shared" si="39"/>
        <v>7500</v>
      </c>
      <c r="H864">
        <v>12</v>
      </c>
      <c r="I864">
        <f t="shared" si="40"/>
        <v>4500</v>
      </c>
      <c r="J864">
        <f t="shared" si="41"/>
        <v>3000</v>
      </c>
      <c r="K864" t="s">
        <v>24</v>
      </c>
      <c r="L864" t="s">
        <v>36</v>
      </c>
      <c r="M864" t="s">
        <v>37</v>
      </c>
      <c r="N864" t="s">
        <v>43</v>
      </c>
      <c r="O864">
        <v>817</v>
      </c>
      <c r="P864">
        <v>375</v>
      </c>
      <c r="Q864" t="s">
        <v>101</v>
      </c>
      <c r="R864" t="s">
        <v>101</v>
      </c>
      <c r="S864" t="s">
        <v>102</v>
      </c>
      <c r="T864">
        <v>2021</v>
      </c>
      <c r="U864" t="s">
        <v>53</v>
      </c>
    </row>
    <row r="865" spans="1:21" x14ac:dyDescent="0.35">
      <c r="A865" s="1">
        <v>45455</v>
      </c>
      <c r="B865" t="s">
        <v>21</v>
      </c>
      <c r="C865" t="s">
        <v>22</v>
      </c>
      <c r="D865" t="s">
        <v>23</v>
      </c>
      <c r="E865">
        <v>440</v>
      </c>
      <c r="F865">
        <v>8</v>
      </c>
      <c r="G865">
        <f t="shared" si="39"/>
        <v>3520</v>
      </c>
      <c r="H865">
        <v>5</v>
      </c>
      <c r="I865">
        <f t="shared" si="40"/>
        <v>2200</v>
      </c>
      <c r="J865">
        <f t="shared" si="41"/>
        <v>1320</v>
      </c>
      <c r="K865" t="s">
        <v>42</v>
      </c>
      <c r="L865" t="s">
        <v>25</v>
      </c>
      <c r="M865" t="s">
        <v>37</v>
      </c>
      <c r="N865" t="s">
        <v>27</v>
      </c>
      <c r="O865">
        <v>589</v>
      </c>
      <c r="P865">
        <v>440</v>
      </c>
      <c r="Q865" t="s">
        <v>87</v>
      </c>
      <c r="R865" t="s">
        <v>88</v>
      </c>
      <c r="S865" t="s">
        <v>89</v>
      </c>
      <c r="T865">
        <v>2020</v>
      </c>
      <c r="U865" t="s">
        <v>31</v>
      </c>
    </row>
    <row r="866" spans="1:21" x14ac:dyDescent="0.35">
      <c r="A866" s="1">
        <v>45456</v>
      </c>
      <c r="B866" t="s">
        <v>80</v>
      </c>
      <c r="C866" t="s">
        <v>81</v>
      </c>
      <c r="D866" t="s">
        <v>82</v>
      </c>
      <c r="E866">
        <v>152</v>
      </c>
      <c r="F866">
        <v>2.5</v>
      </c>
      <c r="G866">
        <f t="shared" si="39"/>
        <v>380</v>
      </c>
      <c r="H866">
        <v>1.5</v>
      </c>
      <c r="I866">
        <f t="shared" si="40"/>
        <v>228</v>
      </c>
      <c r="J866">
        <f t="shared" si="41"/>
        <v>152</v>
      </c>
      <c r="K866" t="s">
        <v>42</v>
      </c>
      <c r="L866" t="s">
        <v>73</v>
      </c>
      <c r="M866" t="s">
        <v>26</v>
      </c>
      <c r="N866" t="s">
        <v>43</v>
      </c>
      <c r="O866">
        <v>605</v>
      </c>
      <c r="P866">
        <v>152</v>
      </c>
      <c r="Q866" t="s">
        <v>39</v>
      </c>
      <c r="R866" t="s">
        <v>40</v>
      </c>
      <c r="S866" t="s">
        <v>41</v>
      </c>
      <c r="T866">
        <v>2022</v>
      </c>
      <c r="U866" t="s">
        <v>86</v>
      </c>
    </row>
    <row r="867" spans="1:21" x14ac:dyDescent="0.35">
      <c r="A867" s="1">
        <v>45457</v>
      </c>
      <c r="B867" t="s">
        <v>48</v>
      </c>
      <c r="C867" t="s">
        <v>49</v>
      </c>
      <c r="D867" t="s">
        <v>50</v>
      </c>
      <c r="E867">
        <v>127</v>
      </c>
      <c r="F867">
        <v>150</v>
      </c>
      <c r="G867">
        <f t="shared" si="39"/>
        <v>19050</v>
      </c>
      <c r="H867">
        <v>100</v>
      </c>
      <c r="I867">
        <f t="shared" si="40"/>
        <v>12700</v>
      </c>
      <c r="J867">
        <f t="shared" si="41"/>
        <v>6350</v>
      </c>
      <c r="K867" t="s">
        <v>35</v>
      </c>
      <c r="L867" t="s">
        <v>63</v>
      </c>
      <c r="M867" t="s">
        <v>61</v>
      </c>
      <c r="N867" t="s">
        <v>43</v>
      </c>
      <c r="O867">
        <v>764</v>
      </c>
      <c r="P867">
        <v>127</v>
      </c>
      <c r="Q867" t="s">
        <v>83</v>
      </c>
      <c r="R867" t="s">
        <v>84</v>
      </c>
      <c r="S867" t="s">
        <v>85</v>
      </c>
      <c r="T867">
        <v>2024</v>
      </c>
      <c r="U867" t="s">
        <v>105</v>
      </c>
    </row>
    <row r="868" spans="1:21" x14ac:dyDescent="0.35">
      <c r="A868" s="1">
        <v>45458</v>
      </c>
      <c r="B868" t="s">
        <v>58</v>
      </c>
      <c r="C868" t="s">
        <v>59</v>
      </c>
      <c r="D868" t="s">
        <v>60</v>
      </c>
      <c r="E868">
        <v>434</v>
      </c>
      <c r="F868">
        <v>5</v>
      </c>
      <c r="G868">
        <f t="shared" si="39"/>
        <v>2170</v>
      </c>
      <c r="H868">
        <v>3</v>
      </c>
      <c r="I868">
        <f t="shared" si="40"/>
        <v>1302</v>
      </c>
      <c r="J868">
        <f t="shared" si="41"/>
        <v>868</v>
      </c>
      <c r="K868" t="s">
        <v>35</v>
      </c>
      <c r="L868" t="s">
        <v>73</v>
      </c>
      <c r="M868" t="s">
        <v>61</v>
      </c>
      <c r="N868" t="s">
        <v>43</v>
      </c>
      <c r="O868">
        <v>519</v>
      </c>
      <c r="P868">
        <v>434</v>
      </c>
      <c r="Q868" t="s">
        <v>94</v>
      </c>
      <c r="R868" t="s">
        <v>75</v>
      </c>
      <c r="S868" t="s">
        <v>95</v>
      </c>
      <c r="T868">
        <v>2021</v>
      </c>
      <c r="U868" t="s">
        <v>31</v>
      </c>
    </row>
    <row r="869" spans="1:21" x14ac:dyDescent="0.35">
      <c r="A869" s="1">
        <v>45459</v>
      </c>
      <c r="B869" t="s">
        <v>80</v>
      </c>
      <c r="C869" t="s">
        <v>81</v>
      </c>
      <c r="D869" t="s">
        <v>82</v>
      </c>
      <c r="E869">
        <v>494</v>
      </c>
      <c r="F869">
        <v>2.5</v>
      </c>
      <c r="G869">
        <f t="shared" si="39"/>
        <v>1235</v>
      </c>
      <c r="H869">
        <v>1.5</v>
      </c>
      <c r="I869">
        <f t="shared" si="40"/>
        <v>741</v>
      </c>
      <c r="J869">
        <f t="shared" si="41"/>
        <v>494</v>
      </c>
      <c r="K869" t="s">
        <v>24</v>
      </c>
      <c r="L869" t="s">
        <v>36</v>
      </c>
      <c r="M869" t="s">
        <v>26</v>
      </c>
      <c r="N869" t="s">
        <v>43</v>
      </c>
      <c r="O869">
        <v>957</v>
      </c>
      <c r="P869">
        <v>494</v>
      </c>
      <c r="Q869" t="s">
        <v>28</v>
      </c>
      <c r="R869" t="s">
        <v>29</v>
      </c>
      <c r="S869" t="s">
        <v>30</v>
      </c>
      <c r="T869">
        <v>2024</v>
      </c>
      <c r="U869" t="s">
        <v>86</v>
      </c>
    </row>
    <row r="870" spans="1:21" x14ac:dyDescent="0.35">
      <c r="A870" s="1">
        <v>45460</v>
      </c>
      <c r="B870" t="s">
        <v>21</v>
      </c>
      <c r="C870" t="s">
        <v>22</v>
      </c>
      <c r="D870" t="s">
        <v>23</v>
      </c>
      <c r="E870">
        <v>65</v>
      </c>
      <c r="F870">
        <v>8</v>
      </c>
      <c r="G870">
        <f t="shared" si="39"/>
        <v>520</v>
      </c>
      <c r="H870">
        <v>5</v>
      </c>
      <c r="I870">
        <f t="shared" si="40"/>
        <v>325</v>
      </c>
      <c r="J870">
        <f t="shared" si="41"/>
        <v>195</v>
      </c>
      <c r="K870" t="s">
        <v>42</v>
      </c>
      <c r="L870" t="s">
        <v>73</v>
      </c>
      <c r="M870" t="s">
        <v>26</v>
      </c>
      <c r="N870" t="s">
        <v>27</v>
      </c>
      <c r="O870">
        <v>687</v>
      </c>
      <c r="P870">
        <v>65</v>
      </c>
      <c r="Q870" t="s">
        <v>44</v>
      </c>
      <c r="R870" t="s">
        <v>45</v>
      </c>
      <c r="S870" t="s">
        <v>46</v>
      </c>
      <c r="T870">
        <v>2021</v>
      </c>
      <c r="U870" t="s">
        <v>31</v>
      </c>
    </row>
    <row r="871" spans="1:21" x14ac:dyDescent="0.35">
      <c r="A871" s="1">
        <v>45461</v>
      </c>
      <c r="B871" t="s">
        <v>48</v>
      </c>
      <c r="C871" t="s">
        <v>49</v>
      </c>
      <c r="D871" t="s">
        <v>50</v>
      </c>
      <c r="E871">
        <v>462</v>
      </c>
      <c r="F871">
        <v>150</v>
      </c>
      <c r="G871">
        <f t="shared" si="39"/>
        <v>69300</v>
      </c>
      <c r="H871">
        <v>100</v>
      </c>
      <c r="I871">
        <f t="shared" si="40"/>
        <v>46200</v>
      </c>
      <c r="J871">
        <f t="shared" si="41"/>
        <v>23100</v>
      </c>
      <c r="K871" t="s">
        <v>24</v>
      </c>
      <c r="L871" t="s">
        <v>25</v>
      </c>
      <c r="M871" t="s">
        <v>61</v>
      </c>
      <c r="N871" t="s">
        <v>27</v>
      </c>
      <c r="O871">
        <v>771</v>
      </c>
      <c r="P871">
        <v>462</v>
      </c>
      <c r="Q871" t="s">
        <v>28</v>
      </c>
      <c r="R871" t="s">
        <v>29</v>
      </c>
      <c r="S871" t="s">
        <v>30</v>
      </c>
      <c r="T871">
        <v>2023</v>
      </c>
      <c r="U871" t="s">
        <v>97</v>
      </c>
    </row>
    <row r="872" spans="1:21" x14ac:dyDescent="0.35">
      <c r="A872" s="1">
        <v>45462</v>
      </c>
      <c r="B872" t="s">
        <v>98</v>
      </c>
      <c r="C872" t="s">
        <v>99</v>
      </c>
      <c r="D872" t="s">
        <v>100</v>
      </c>
      <c r="E872">
        <v>59</v>
      </c>
      <c r="F872">
        <v>6</v>
      </c>
      <c r="G872">
        <f t="shared" si="39"/>
        <v>354</v>
      </c>
      <c r="H872">
        <v>4</v>
      </c>
      <c r="I872">
        <f t="shared" si="40"/>
        <v>236</v>
      </c>
      <c r="J872">
        <f t="shared" si="41"/>
        <v>118</v>
      </c>
      <c r="K872" t="s">
        <v>24</v>
      </c>
      <c r="L872" t="s">
        <v>73</v>
      </c>
      <c r="M872" t="s">
        <v>26</v>
      </c>
      <c r="N872" t="s">
        <v>43</v>
      </c>
      <c r="O872">
        <v>782</v>
      </c>
      <c r="P872">
        <v>59</v>
      </c>
      <c r="Q872" t="s">
        <v>70</v>
      </c>
      <c r="R872" t="s">
        <v>71</v>
      </c>
      <c r="S872" t="s">
        <v>72</v>
      </c>
      <c r="T872">
        <v>2020</v>
      </c>
      <c r="U872" t="s">
        <v>53</v>
      </c>
    </row>
    <row r="873" spans="1:21" x14ac:dyDescent="0.35">
      <c r="A873" s="1">
        <v>45463</v>
      </c>
      <c r="B873" t="s">
        <v>80</v>
      </c>
      <c r="C873" t="s">
        <v>81</v>
      </c>
      <c r="D873" t="s">
        <v>82</v>
      </c>
      <c r="E873">
        <v>123</v>
      </c>
      <c r="F873">
        <v>2.5</v>
      </c>
      <c r="G873">
        <f t="shared" si="39"/>
        <v>307.5</v>
      </c>
      <c r="H873">
        <v>1.5</v>
      </c>
      <c r="I873">
        <f t="shared" si="40"/>
        <v>184.5</v>
      </c>
      <c r="J873">
        <f t="shared" si="41"/>
        <v>123</v>
      </c>
      <c r="K873" t="s">
        <v>24</v>
      </c>
      <c r="L873" t="s">
        <v>73</v>
      </c>
      <c r="M873" t="s">
        <v>61</v>
      </c>
      <c r="N873" t="s">
        <v>27</v>
      </c>
      <c r="O873">
        <v>641</v>
      </c>
      <c r="P873">
        <v>123</v>
      </c>
      <c r="Q873" t="s">
        <v>51</v>
      </c>
      <c r="R873" t="s">
        <v>45</v>
      </c>
      <c r="S873" t="s">
        <v>52</v>
      </c>
      <c r="T873">
        <v>2024</v>
      </c>
      <c r="U873" t="s">
        <v>86</v>
      </c>
    </row>
    <row r="874" spans="1:21" x14ac:dyDescent="0.35">
      <c r="A874" s="1">
        <v>45464</v>
      </c>
      <c r="B874" t="s">
        <v>80</v>
      </c>
      <c r="C874" t="s">
        <v>81</v>
      </c>
      <c r="D874" t="s">
        <v>82</v>
      </c>
      <c r="E874">
        <v>256</v>
      </c>
      <c r="F874">
        <v>2.5</v>
      </c>
      <c r="G874">
        <f t="shared" si="39"/>
        <v>640</v>
      </c>
      <c r="H874">
        <v>1.5</v>
      </c>
      <c r="I874">
        <f t="shared" si="40"/>
        <v>384</v>
      </c>
      <c r="J874">
        <f t="shared" si="41"/>
        <v>256</v>
      </c>
      <c r="K874" t="s">
        <v>24</v>
      </c>
      <c r="L874" t="s">
        <v>25</v>
      </c>
      <c r="M874" t="s">
        <v>37</v>
      </c>
      <c r="N874" t="s">
        <v>38</v>
      </c>
      <c r="O874">
        <v>609</v>
      </c>
      <c r="P874">
        <v>256</v>
      </c>
      <c r="Q874" t="s">
        <v>44</v>
      </c>
      <c r="R874" t="s">
        <v>45</v>
      </c>
      <c r="S874" t="s">
        <v>46</v>
      </c>
      <c r="T874">
        <v>2024</v>
      </c>
      <c r="U874" t="s">
        <v>31</v>
      </c>
    </row>
    <row r="875" spans="1:21" x14ac:dyDescent="0.35">
      <c r="A875" s="1">
        <v>45465</v>
      </c>
      <c r="B875" t="s">
        <v>32</v>
      </c>
      <c r="C875" t="s">
        <v>33</v>
      </c>
      <c r="D875" t="s">
        <v>34</v>
      </c>
      <c r="E875">
        <v>389</v>
      </c>
      <c r="F875">
        <v>20</v>
      </c>
      <c r="G875">
        <f t="shared" si="39"/>
        <v>7780</v>
      </c>
      <c r="H875">
        <v>12</v>
      </c>
      <c r="I875">
        <f t="shared" si="40"/>
        <v>4668</v>
      </c>
      <c r="J875">
        <f t="shared" si="41"/>
        <v>3112</v>
      </c>
      <c r="K875" t="s">
        <v>24</v>
      </c>
      <c r="L875" t="s">
        <v>25</v>
      </c>
      <c r="M875" t="s">
        <v>61</v>
      </c>
      <c r="N875" t="s">
        <v>43</v>
      </c>
      <c r="O875">
        <v>503</v>
      </c>
      <c r="P875">
        <v>389</v>
      </c>
      <c r="Q875" t="s">
        <v>87</v>
      </c>
      <c r="R875" t="s">
        <v>88</v>
      </c>
      <c r="S875" t="s">
        <v>89</v>
      </c>
      <c r="T875">
        <v>2023</v>
      </c>
      <c r="U875" t="s">
        <v>57</v>
      </c>
    </row>
    <row r="876" spans="1:21" x14ac:dyDescent="0.35">
      <c r="A876" s="1">
        <v>45466</v>
      </c>
      <c r="B876" t="s">
        <v>21</v>
      </c>
      <c r="C876" t="s">
        <v>22</v>
      </c>
      <c r="D876" t="s">
        <v>23</v>
      </c>
      <c r="E876">
        <v>388</v>
      </c>
      <c r="F876">
        <v>8</v>
      </c>
      <c r="G876">
        <f t="shared" si="39"/>
        <v>3104</v>
      </c>
      <c r="H876">
        <v>5</v>
      </c>
      <c r="I876">
        <f t="shared" si="40"/>
        <v>1940</v>
      </c>
      <c r="J876">
        <f t="shared" si="41"/>
        <v>1164</v>
      </c>
      <c r="K876" t="s">
        <v>35</v>
      </c>
      <c r="L876" t="s">
        <v>25</v>
      </c>
      <c r="M876" t="s">
        <v>61</v>
      </c>
      <c r="N876" t="s">
        <v>43</v>
      </c>
      <c r="O876">
        <v>643</v>
      </c>
      <c r="P876">
        <v>388</v>
      </c>
      <c r="Q876" t="s">
        <v>64</v>
      </c>
      <c r="R876" t="s">
        <v>29</v>
      </c>
      <c r="S876" t="s">
        <v>65</v>
      </c>
      <c r="T876">
        <v>2023</v>
      </c>
      <c r="U876" t="s">
        <v>62</v>
      </c>
    </row>
    <row r="877" spans="1:21" x14ac:dyDescent="0.35">
      <c r="A877" s="1">
        <v>45467</v>
      </c>
      <c r="B877" t="s">
        <v>80</v>
      </c>
      <c r="C877" t="s">
        <v>81</v>
      </c>
      <c r="D877" t="s">
        <v>82</v>
      </c>
      <c r="E877">
        <v>267</v>
      </c>
      <c r="F877">
        <v>2.5</v>
      </c>
      <c r="G877">
        <f t="shared" si="39"/>
        <v>667.5</v>
      </c>
      <c r="H877">
        <v>1.5</v>
      </c>
      <c r="I877">
        <f t="shared" si="40"/>
        <v>400.5</v>
      </c>
      <c r="J877">
        <f t="shared" si="41"/>
        <v>267</v>
      </c>
      <c r="K877" t="s">
        <v>42</v>
      </c>
      <c r="L877" t="s">
        <v>63</v>
      </c>
      <c r="M877" t="s">
        <v>26</v>
      </c>
      <c r="N877" t="s">
        <v>38</v>
      </c>
      <c r="O877">
        <v>544</v>
      </c>
      <c r="P877">
        <v>267</v>
      </c>
      <c r="Q877" t="s">
        <v>77</v>
      </c>
      <c r="R877" t="s">
        <v>78</v>
      </c>
      <c r="S877" t="s">
        <v>79</v>
      </c>
      <c r="T877">
        <v>2020</v>
      </c>
      <c r="U877" t="s">
        <v>66</v>
      </c>
    </row>
    <row r="878" spans="1:21" x14ac:dyDescent="0.35">
      <c r="A878" s="1">
        <v>45468</v>
      </c>
      <c r="B878" t="s">
        <v>48</v>
      </c>
      <c r="C878" t="s">
        <v>49</v>
      </c>
      <c r="D878" t="s">
        <v>50</v>
      </c>
      <c r="E878">
        <v>376</v>
      </c>
      <c r="F878">
        <v>150</v>
      </c>
      <c r="G878">
        <f t="shared" si="39"/>
        <v>56400</v>
      </c>
      <c r="H878">
        <v>100</v>
      </c>
      <c r="I878">
        <f t="shared" si="40"/>
        <v>37600</v>
      </c>
      <c r="J878">
        <f t="shared" si="41"/>
        <v>18800</v>
      </c>
      <c r="K878" t="s">
        <v>24</v>
      </c>
      <c r="L878" t="s">
        <v>63</v>
      </c>
      <c r="M878" t="s">
        <v>37</v>
      </c>
      <c r="N878" t="s">
        <v>43</v>
      </c>
      <c r="O878">
        <v>606</v>
      </c>
      <c r="P878">
        <v>376</v>
      </c>
      <c r="Q878" t="s">
        <v>51</v>
      </c>
      <c r="R878" t="s">
        <v>45</v>
      </c>
      <c r="S878" t="s">
        <v>52</v>
      </c>
      <c r="T878">
        <v>2021</v>
      </c>
      <c r="U878" t="s">
        <v>86</v>
      </c>
    </row>
    <row r="879" spans="1:21" x14ac:dyDescent="0.35">
      <c r="A879" s="1">
        <v>45469</v>
      </c>
      <c r="B879" t="s">
        <v>32</v>
      </c>
      <c r="C879" t="s">
        <v>33</v>
      </c>
      <c r="D879" t="s">
        <v>34</v>
      </c>
      <c r="E879">
        <v>500</v>
      </c>
      <c r="F879">
        <v>20</v>
      </c>
      <c r="G879">
        <f t="shared" si="39"/>
        <v>10000</v>
      </c>
      <c r="H879">
        <v>12</v>
      </c>
      <c r="I879">
        <f t="shared" si="40"/>
        <v>6000</v>
      </c>
      <c r="J879">
        <f t="shared" si="41"/>
        <v>4000</v>
      </c>
      <c r="K879" t="s">
        <v>35</v>
      </c>
      <c r="L879" t="s">
        <v>25</v>
      </c>
      <c r="M879" t="s">
        <v>37</v>
      </c>
      <c r="N879" t="s">
        <v>27</v>
      </c>
      <c r="O879">
        <v>540</v>
      </c>
      <c r="P879">
        <v>500</v>
      </c>
      <c r="Q879" t="s">
        <v>54</v>
      </c>
      <c r="R879" t="s">
        <v>55</v>
      </c>
      <c r="S879" t="s">
        <v>56</v>
      </c>
      <c r="T879">
        <v>2023</v>
      </c>
      <c r="U879" t="s">
        <v>97</v>
      </c>
    </row>
    <row r="880" spans="1:21" x14ac:dyDescent="0.35">
      <c r="A880" s="1">
        <v>45470</v>
      </c>
      <c r="B880" t="s">
        <v>80</v>
      </c>
      <c r="C880" t="s">
        <v>81</v>
      </c>
      <c r="D880" t="s">
        <v>82</v>
      </c>
      <c r="E880">
        <v>307</v>
      </c>
      <c r="F880">
        <v>2.5</v>
      </c>
      <c r="G880">
        <f t="shared" si="39"/>
        <v>767.5</v>
      </c>
      <c r="H880">
        <v>1.5</v>
      </c>
      <c r="I880">
        <f t="shared" si="40"/>
        <v>460.5</v>
      </c>
      <c r="J880">
        <f t="shared" si="41"/>
        <v>307</v>
      </c>
      <c r="K880" t="s">
        <v>35</v>
      </c>
      <c r="L880" t="s">
        <v>63</v>
      </c>
      <c r="M880" t="s">
        <v>26</v>
      </c>
      <c r="N880" t="s">
        <v>43</v>
      </c>
      <c r="O880">
        <v>838</v>
      </c>
      <c r="P880">
        <v>307</v>
      </c>
      <c r="Q880" t="s">
        <v>39</v>
      </c>
      <c r="R880" t="s">
        <v>40</v>
      </c>
      <c r="S880" t="s">
        <v>41</v>
      </c>
      <c r="T880">
        <v>2021</v>
      </c>
      <c r="U880" t="s">
        <v>86</v>
      </c>
    </row>
    <row r="881" spans="1:21" x14ac:dyDescent="0.35">
      <c r="A881" s="1">
        <v>45471</v>
      </c>
      <c r="B881" t="s">
        <v>32</v>
      </c>
      <c r="C881" t="s">
        <v>33</v>
      </c>
      <c r="D881" t="s">
        <v>34</v>
      </c>
      <c r="E881">
        <v>105</v>
      </c>
      <c r="F881">
        <v>20</v>
      </c>
      <c r="G881">
        <f t="shared" si="39"/>
        <v>2100</v>
      </c>
      <c r="H881">
        <v>12</v>
      </c>
      <c r="I881">
        <f t="shared" si="40"/>
        <v>1260</v>
      </c>
      <c r="J881">
        <f t="shared" si="41"/>
        <v>840</v>
      </c>
      <c r="K881" t="s">
        <v>35</v>
      </c>
      <c r="L881" t="s">
        <v>25</v>
      </c>
      <c r="M881" t="s">
        <v>26</v>
      </c>
      <c r="N881" t="s">
        <v>43</v>
      </c>
      <c r="O881">
        <v>648</v>
      </c>
      <c r="P881">
        <v>105</v>
      </c>
      <c r="Q881" t="s">
        <v>110</v>
      </c>
      <c r="R881" t="s">
        <v>111</v>
      </c>
      <c r="S881" t="s">
        <v>112</v>
      </c>
      <c r="T881">
        <v>2022</v>
      </c>
      <c r="U881" t="s">
        <v>109</v>
      </c>
    </row>
    <row r="882" spans="1:21" x14ac:dyDescent="0.35">
      <c r="A882" s="1">
        <v>45472</v>
      </c>
      <c r="B882" t="s">
        <v>32</v>
      </c>
      <c r="C882" t="s">
        <v>33</v>
      </c>
      <c r="D882" t="s">
        <v>34</v>
      </c>
      <c r="E882">
        <v>98</v>
      </c>
      <c r="F882">
        <v>20</v>
      </c>
      <c r="G882">
        <f t="shared" si="39"/>
        <v>1960</v>
      </c>
      <c r="H882">
        <v>12</v>
      </c>
      <c r="I882">
        <f t="shared" si="40"/>
        <v>1176</v>
      </c>
      <c r="J882">
        <f t="shared" si="41"/>
        <v>784</v>
      </c>
      <c r="K882" t="s">
        <v>35</v>
      </c>
      <c r="L882" t="s">
        <v>25</v>
      </c>
      <c r="M882" t="s">
        <v>26</v>
      </c>
      <c r="N882" t="s">
        <v>43</v>
      </c>
      <c r="O882">
        <v>893</v>
      </c>
      <c r="P882">
        <v>98</v>
      </c>
      <c r="Q882" t="s">
        <v>77</v>
      </c>
      <c r="R882" t="s">
        <v>78</v>
      </c>
      <c r="S882" t="s">
        <v>79</v>
      </c>
      <c r="T882">
        <v>2020</v>
      </c>
      <c r="U882" t="s">
        <v>47</v>
      </c>
    </row>
    <row r="883" spans="1:21" x14ac:dyDescent="0.35">
      <c r="A883" s="1">
        <v>45473</v>
      </c>
      <c r="B883" t="s">
        <v>21</v>
      </c>
      <c r="C883" t="s">
        <v>22</v>
      </c>
      <c r="D883" t="s">
        <v>23</v>
      </c>
      <c r="E883">
        <v>97</v>
      </c>
      <c r="F883">
        <v>8</v>
      </c>
      <c r="G883">
        <f t="shared" si="39"/>
        <v>776</v>
      </c>
      <c r="H883">
        <v>5</v>
      </c>
      <c r="I883">
        <f t="shared" si="40"/>
        <v>485</v>
      </c>
      <c r="J883">
        <f t="shared" si="41"/>
        <v>291</v>
      </c>
      <c r="K883" t="s">
        <v>42</v>
      </c>
      <c r="L883" t="s">
        <v>36</v>
      </c>
      <c r="M883" t="s">
        <v>26</v>
      </c>
      <c r="N883" t="s">
        <v>27</v>
      </c>
      <c r="O883">
        <v>937</v>
      </c>
      <c r="P883">
        <v>97</v>
      </c>
      <c r="Q883" t="s">
        <v>77</v>
      </c>
      <c r="R883" t="s">
        <v>78</v>
      </c>
      <c r="S883" t="s">
        <v>79</v>
      </c>
      <c r="T883">
        <v>2023</v>
      </c>
      <c r="U883" t="s">
        <v>97</v>
      </c>
    </row>
    <row r="884" spans="1:21" x14ac:dyDescent="0.35">
      <c r="A884" s="1">
        <v>45474</v>
      </c>
      <c r="B884" t="s">
        <v>48</v>
      </c>
      <c r="C884" t="s">
        <v>49</v>
      </c>
      <c r="D884" t="s">
        <v>50</v>
      </c>
      <c r="E884">
        <v>428</v>
      </c>
      <c r="F884">
        <v>150</v>
      </c>
      <c r="G884">
        <f t="shared" si="39"/>
        <v>64200</v>
      </c>
      <c r="H884">
        <v>100</v>
      </c>
      <c r="I884">
        <f t="shared" si="40"/>
        <v>42800</v>
      </c>
      <c r="J884">
        <f t="shared" si="41"/>
        <v>21400</v>
      </c>
      <c r="K884" t="s">
        <v>42</v>
      </c>
      <c r="L884" t="s">
        <v>73</v>
      </c>
      <c r="M884" t="s">
        <v>26</v>
      </c>
      <c r="N884" t="s">
        <v>27</v>
      </c>
      <c r="O884">
        <v>930</v>
      </c>
      <c r="P884">
        <v>428</v>
      </c>
      <c r="Q884" t="s">
        <v>106</v>
      </c>
      <c r="R884" t="s">
        <v>107</v>
      </c>
      <c r="S884" t="s">
        <v>108</v>
      </c>
      <c r="T884">
        <v>2021</v>
      </c>
      <c r="U884" t="s">
        <v>62</v>
      </c>
    </row>
    <row r="885" spans="1:21" x14ac:dyDescent="0.35">
      <c r="A885" s="1">
        <v>45475</v>
      </c>
      <c r="B885" t="s">
        <v>21</v>
      </c>
      <c r="C885" t="s">
        <v>22</v>
      </c>
      <c r="D885" t="s">
        <v>23</v>
      </c>
      <c r="E885">
        <v>34</v>
      </c>
      <c r="F885">
        <v>8</v>
      </c>
      <c r="G885">
        <f t="shared" si="39"/>
        <v>272</v>
      </c>
      <c r="H885">
        <v>5</v>
      </c>
      <c r="I885">
        <f t="shared" si="40"/>
        <v>170</v>
      </c>
      <c r="J885">
        <f t="shared" si="41"/>
        <v>102</v>
      </c>
      <c r="K885" t="s">
        <v>35</v>
      </c>
      <c r="L885" t="s">
        <v>73</v>
      </c>
      <c r="M885" t="s">
        <v>61</v>
      </c>
      <c r="N885" t="s">
        <v>43</v>
      </c>
      <c r="O885">
        <v>631</v>
      </c>
      <c r="P885">
        <v>34</v>
      </c>
      <c r="Q885" t="s">
        <v>39</v>
      </c>
      <c r="R885" t="s">
        <v>40</v>
      </c>
      <c r="S885" t="s">
        <v>41</v>
      </c>
      <c r="T885">
        <v>2024</v>
      </c>
      <c r="U885" t="s">
        <v>47</v>
      </c>
    </row>
    <row r="886" spans="1:21" x14ac:dyDescent="0.35">
      <c r="A886" s="1">
        <v>45476</v>
      </c>
      <c r="B886" t="s">
        <v>48</v>
      </c>
      <c r="C886" t="s">
        <v>49</v>
      </c>
      <c r="D886" t="s">
        <v>50</v>
      </c>
      <c r="E886">
        <v>416</v>
      </c>
      <c r="F886">
        <v>150</v>
      </c>
      <c r="G886">
        <f t="shared" si="39"/>
        <v>62400</v>
      </c>
      <c r="H886">
        <v>100</v>
      </c>
      <c r="I886">
        <f t="shared" si="40"/>
        <v>41600</v>
      </c>
      <c r="J886">
        <f t="shared" si="41"/>
        <v>20800</v>
      </c>
      <c r="K886" t="s">
        <v>24</v>
      </c>
      <c r="L886" t="s">
        <v>73</v>
      </c>
      <c r="M886" t="s">
        <v>26</v>
      </c>
      <c r="N886" t="s">
        <v>43</v>
      </c>
      <c r="O886">
        <v>787</v>
      </c>
      <c r="P886">
        <v>416</v>
      </c>
      <c r="Q886" t="s">
        <v>28</v>
      </c>
      <c r="R886" t="s">
        <v>29</v>
      </c>
      <c r="S886" t="s">
        <v>30</v>
      </c>
      <c r="T886">
        <v>2024</v>
      </c>
      <c r="U886" t="s">
        <v>66</v>
      </c>
    </row>
    <row r="887" spans="1:21" x14ac:dyDescent="0.35">
      <c r="A887" s="1">
        <v>45477</v>
      </c>
      <c r="B887" t="s">
        <v>48</v>
      </c>
      <c r="C887" t="s">
        <v>49</v>
      </c>
      <c r="D887" t="s">
        <v>50</v>
      </c>
      <c r="E887">
        <v>172</v>
      </c>
      <c r="F887">
        <v>150</v>
      </c>
      <c r="G887">
        <f t="shared" si="39"/>
        <v>25800</v>
      </c>
      <c r="H887">
        <v>100</v>
      </c>
      <c r="I887">
        <f t="shared" si="40"/>
        <v>17200</v>
      </c>
      <c r="J887">
        <f t="shared" si="41"/>
        <v>8600</v>
      </c>
      <c r="K887" t="s">
        <v>24</v>
      </c>
      <c r="L887" t="s">
        <v>63</v>
      </c>
      <c r="M887" t="s">
        <v>26</v>
      </c>
      <c r="N887" t="s">
        <v>43</v>
      </c>
      <c r="O887">
        <v>698</v>
      </c>
      <c r="P887">
        <v>172</v>
      </c>
      <c r="Q887" t="s">
        <v>44</v>
      </c>
      <c r="R887" t="s">
        <v>45</v>
      </c>
      <c r="S887" t="s">
        <v>46</v>
      </c>
      <c r="T887">
        <v>2023</v>
      </c>
      <c r="U887" t="s">
        <v>57</v>
      </c>
    </row>
    <row r="888" spans="1:21" x14ac:dyDescent="0.35">
      <c r="A888" s="1">
        <v>45478</v>
      </c>
      <c r="B888" t="s">
        <v>58</v>
      </c>
      <c r="C888" t="s">
        <v>59</v>
      </c>
      <c r="D888" t="s">
        <v>60</v>
      </c>
      <c r="E888">
        <v>354</v>
      </c>
      <c r="F888">
        <v>5</v>
      </c>
      <c r="G888">
        <f t="shared" si="39"/>
        <v>1770</v>
      </c>
      <c r="H888">
        <v>3</v>
      </c>
      <c r="I888">
        <f t="shared" si="40"/>
        <v>1062</v>
      </c>
      <c r="J888">
        <f t="shared" si="41"/>
        <v>708</v>
      </c>
      <c r="K888" t="s">
        <v>35</v>
      </c>
      <c r="L888" t="s">
        <v>25</v>
      </c>
      <c r="M888" t="s">
        <v>37</v>
      </c>
      <c r="N888" t="s">
        <v>38</v>
      </c>
      <c r="O888">
        <v>936</v>
      </c>
      <c r="P888">
        <v>354</v>
      </c>
      <c r="Q888" t="s">
        <v>113</v>
      </c>
      <c r="R888" t="s">
        <v>114</v>
      </c>
      <c r="S888" t="s">
        <v>115</v>
      </c>
      <c r="T888">
        <v>2023</v>
      </c>
      <c r="U888" t="s">
        <v>31</v>
      </c>
    </row>
    <row r="889" spans="1:21" x14ac:dyDescent="0.35">
      <c r="A889" s="1">
        <v>45479</v>
      </c>
      <c r="B889" t="s">
        <v>80</v>
      </c>
      <c r="C889" t="s">
        <v>81</v>
      </c>
      <c r="D889" t="s">
        <v>82</v>
      </c>
      <c r="E889">
        <v>403</v>
      </c>
      <c r="F889">
        <v>2.5</v>
      </c>
      <c r="G889">
        <f t="shared" si="39"/>
        <v>1007.5</v>
      </c>
      <c r="H889">
        <v>1.5</v>
      </c>
      <c r="I889">
        <f t="shared" si="40"/>
        <v>604.5</v>
      </c>
      <c r="J889">
        <f t="shared" si="41"/>
        <v>403</v>
      </c>
      <c r="K889" t="s">
        <v>24</v>
      </c>
      <c r="L889" t="s">
        <v>25</v>
      </c>
      <c r="M889" t="s">
        <v>37</v>
      </c>
      <c r="N889" t="s">
        <v>38</v>
      </c>
      <c r="O889">
        <v>594</v>
      </c>
      <c r="P889">
        <v>403</v>
      </c>
      <c r="Q889" t="s">
        <v>67</v>
      </c>
      <c r="R889" t="s">
        <v>68</v>
      </c>
      <c r="S889" t="s">
        <v>69</v>
      </c>
      <c r="T889">
        <v>2021</v>
      </c>
      <c r="U889" t="s">
        <v>91</v>
      </c>
    </row>
    <row r="890" spans="1:21" x14ac:dyDescent="0.35">
      <c r="A890" s="1">
        <v>45480</v>
      </c>
      <c r="B890" t="s">
        <v>32</v>
      </c>
      <c r="C890" t="s">
        <v>33</v>
      </c>
      <c r="D890" t="s">
        <v>34</v>
      </c>
      <c r="E890">
        <v>426</v>
      </c>
      <c r="F890">
        <v>20</v>
      </c>
      <c r="G890">
        <f t="shared" si="39"/>
        <v>8520</v>
      </c>
      <c r="H890">
        <v>12</v>
      </c>
      <c r="I890">
        <f t="shared" si="40"/>
        <v>5112</v>
      </c>
      <c r="J890">
        <f t="shared" si="41"/>
        <v>3408</v>
      </c>
      <c r="K890" t="s">
        <v>35</v>
      </c>
      <c r="L890" t="s">
        <v>73</v>
      </c>
      <c r="M890" t="s">
        <v>61</v>
      </c>
      <c r="N890" t="s">
        <v>27</v>
      </c>
      <c r="O890">
        <v>625</v>
      </c>
      <c r="P890">
        <v>426</v>
      </c>
      <c r="Q890" t="s">
        <v>103</v>
      </c>
      <c r="R890" t="s">
        <v>68</v>
      </c>
      <c r="S890" t="s">
        <v>104</v>
      </c>
      <c r="T890">
        <v>2022</v>
      </c>
      <c r="U890" t="s">
        <v>97</v>
      </c>
    </row>
    <row r="891" spans="1:21" x14ac:dyDescent="0.35">
      <c r="A891" s="1">
        <v>45481</v>
      </c>
      <c r="B891" t="s">
        <v>58</v>
      </c>
      <c r="C891" t="s">
        <v>59</v>
      </c>
      <c r="D891" t="s">
        <v>60</v>
      </c>
      <c r="E891">
        <v>202</v>
      </c>
      <c r="F891">
        <v>5</v>
      </c>
      <c r="G891">
        <f t="shared" si="39"/>
        <v>1010</v>
      </c>
      <c r="H891">
        <v>3</v>
      </c>
      <c r="I891">
        <f t="shared" si="40"/>
        <v>606</v>
      </c>
      <c r="J891">
        <f t="shared" si="41"/>
        <v>404</v>
      </c>
      <c r="K891" t="s">
        <v>24</v>
      </c>
      <c r="L891" t="s">
        <v>36</v>
      </c>
      <c r="M891" t="s">
        <v>37</v>
      </c>
      <c r="N891" t="s">
        <v>27</v>
      </c>
      <c r="O891">
        <v>571</v>
      </c>
      <c r="P891">
        <v>202</v>
      </c>
      <c r="Q891" t="s">
        <v>113</v>
      </c>
      <c r="R891" t="s">
        <v>114</v>
      </c>
      <c r="S891" t="s">
        <v>115</v>
      </c>
      <c r="T891">
        <v>2023</v>
      </c>
      <c r="U891" t="s">
        <v>105</v>
      </c>
    </row>
    <row r="892" spans="1:21" x14ac:dyDescent="0.35">
      <c r="A892" s="1">
        <v>45482</v>
      </c>
      <c r="B892" t="s">
        <v>21</v>
      </c>
      <c r="C892" t="s">
        <v>22</v>
      </c>
      <c r="D892" t="s">
        <v>23</v>
      </c>
      <c r="E892">
        <v>408</v>
      </c>
      <c r="F892">
        <v>8</v>
      </c>
      <c r="G892">
        <f t="shared" si="39"/>
        <v>3264</v>
      </c>
      <c r="H892">
        <v>5</v>
      </c>
      <c r="I892">
        <f t="shared" si="40"/>
        <v>2040</v>
      </c>
      <c r="J892">
        <f t="shared" si="41"/>
        <v>1224</v>
      </c>
      <c r="K892" t="s">
        <v>35</v>
      </c>
      <c r="L892" t="s">
        <v>25</v>
      </c>
      <c r="M892" t="s">
        <v>61</v>
      </c>
      <c r="N892" t="s">
        <v>43</v>
      </c>
      <c r="O892">
        <v>828</v>
      </c>
      <c r="P892">
        <v>408</v>
      </c>
      <c r="Q892" t="s">
        <v>54</v>
      </c>
      <c r="R892" t="s">
        <v>55</v>
      </c>
      <c r="S892" t="s">
        <v>56</v>
      </c>
      <c r="T892">
        <v>2024</v>
      </c>
      <c r="U892" t="s">
        <v>57</v>
      </c>
    </row>
    <row r="893" spans="1:21" x14ac:dyDescent="0.35">
      <c r="A893" s="1">
        <v>45483</v>
      </c>
      <c r="B893" t="s">
        <v>80</v>
      </c>
      <c r="C893" t="s">
        <v>81</v>
      </c>
      <c r="D893" t="s">
        <v>82</v>
      </c>
      <c r="E893">
        <v>407</v>
      </c>
      <c r="F893">
        <v>2.5</v>
      </c>
      <c r="G893">
        <f t="shared" si="39"/>
        <v>1017.5</v>
      </c>
      <c r="H893">
        <v>1.5</v>
      </c>
      <c r="I893">
        <f t="shared" si="40"/>
        <v>610.5</v>
      </c>
      <c r="J893">
        <f t="shared" si="41"/>
        <v>407</v>
      </c>
      <c r="K893" t="s">
        <v>35</v>
      </c>
      <c r="L893" t="s">
        <v>73</v>
      </c>
      <c r="M893" t="s">
        <v>61</v>
      </c>
      <c r="N893" t="s">
        <v>38</v>
      </c>
      <c r="O893">
        <v>944</v>
      </c>
      <c r="P893">
        <v>407</v>
      </c>
      <c r="Q893" t="s">
        <v>67</v>
      </c>
      <c r="R893" t="s">
        <v>68</v>
      </c>
      <c r="S893" t="s">
        <v>69</v>
      </c>
      <c r="T893">
        <v>2022</v>
      </c>
      <c r="U893" t="s">
        <v>86</v>
      </c>
    </row>
    <row r="894" spans="1:21" x14ac:dyDescent="0.35">
      <c r="A894" s="1">
        <v>45484</v>
      </c>
      <c r="B894" t="s">
        <v>48</v>
      </c>
      <c r="C894" t="s">
        <v>49</v>
      </c>
      <c r="D894" t="s">
        <v>50</v>
      </c>
      <c r="E894">
        <v>254</v>
      </c>
      <c r="F894">
        <v>150</v>
      </c>
      <c r="G894">
        <f t="shared" si="39"/>
        <v>38100</v>
      </c>
      <c r="H894">
        <v>100</v>
      </c>
      <c r="I894">
        <f t="shared" si="40"/>
        <v>25400</v>
      </c>
      <c r="J894">
        <f t="shared" si="41"/>
        <v>12700</v>
      </c>
      <c r="K894" t="s">
        <v>35</v>
      </c>
      <c r="L894" t="s">
        <v>25</v>
      </c>
      <c r="M894" t="s">
        <v>61</v>
      </c>
      <c r="N894" t="s">
        <v>38</v>
      </c>
      <c r="O894">
        <v>670</v>
      </c>
      <c r="P894">
        <v>254</v>
      </c>
      <c r="Q894" t="s">
        <v>101</v>
      </c>
      <c r="R894" t="s">
        <v>101</v>
      </c>
      <c r="S894" t="s">
        <v>102</v>
      </c>
      <c r="T894">
        <v>2023</v>
      </c>
      <c r="U894" t="s">
        <v>31</v>
      </c>
    </row>
    <row r="895" spans="1:21" x14ac:dyDescent="0.35">
      <c r="A895" s="1">
        <v>45485</v>
      </c>
      <c r="B895" t="s">
        <v>21</v>
      </c>
      <c r="C895" t="s">
        <v>22</v>
      </c>
      <c r="D895" t="s">
        <v>23</v>
      </c>
      <c r="E895">
        <v>399</v>
      </c>
      <c r="F895">
        <v>8</v>
      </c>
      <c r="G895">
        <f t="shared" si="39"/>
        <v>3192</v>
      </c>
      <c r="H895">
        <v>5</v>
      </c>
      <c r="I895">
        <f t="shared" si="40"/>
        <v>1995</v>
      </c>
      <c r="J895">
        <f t="shared" si="41"/>
        <v>1197</v>
      </c>
      <c r="K895" t="s">
        <v>35</v>
      </c>
      <c r="L895" t="s">
        <v>63</v>
      </c>
      <c r="M895" t="s">
        <v>26</v>
      </c>
      <c r="N895" t="s">
        <v>38</v>
      </c>
      <c r="O895">
        <v>707</v>
      </c>
      <c r="P895">
        <v>399</v>
      </c>
      <c r="Q895" t="s">
        <v>83</v>
      </c>
      <c r="R895" t="s">
        <v>84</v>
      </c>
      <c r="S895" t="s">
        <v>85</v>
      </c>
      <c r="T895">
        <v>2022</v>
      </c>
      <c r="U895" t="s">
        <v>31</v>
      </c>
    </row>
    <row r="896" spans="1:21" x14ac:dyDescent="0.35">
      <c r="A896" s="1">
        <v>45486</v>
      </c>
      <c r="B896" t="s">
        <v>48</v>
      </c>
      <c r="C896" t="s">
        <v>49</v>
      </c>
      <c r="D896" t="s">
        <v>50</v>
      </c>
      <c r="E896">
        <v>439</v>
      </c>
      <c r="F896">
        <v>150</v>
      </c>
      <c r="G896">
        <f t="shared" si="39"/>
        <v>65850</v>
      </c>
      <c r="H896">
        <v>100</v>
      </c>
      <c r="I896">
        <f t="shared" si="40"/>
        <v>43900</v>
      </c>
      <c r="J896">
        <f t="shared" si="41"/>
        <v>21950</v>
      </c>
      <c r="K896" t="s">
        <v>35</v>
      </c>
      <c r="L896" t="s">
        <v>36</v>
      </c>
      <c r="M896" t="s">
        <v>61</v>
      </c>
      <c r="N896" t="s">
        <v>38</v>
      </c>
      <c r="O896">
        <v>726</v>
      </c>
      <c r="P896">
        <v>439</v>
      </c>
      <c r="Q896" t="s">
        <v>90</v>
      </c>
      <c r="R896" t="s">
        <v>55</v>
      </c>
      <c r="S896" t="s">
        <v>85</v>
      </c>
      <c r="T896">
        <v>2020</v>
      </c>
      <c r="U896" t="s">
        <v>62</v>
      </c>
    </row>
    <row r="897" spans="1:21" x14ac:dyDescent="0.35">
      <c r="A897" s="1">
        <v>45487</v>
      </c>
      <c r="B897" t="s">
        <v>21</v>
      </c>
      <c r="C897" t="s">
        <v>22</v>
      </c>
      <c r="D897" t="s">
        <v>23</v>
      </c>
      <c r="E897">
        <v>377</v>
      </c>
      <c r="F897">
        <v>8</v>
      </c>
      <c r="G897">
        <f t="shared" si="39"/>
        <v>3016</v>
      </c>
      <c r="H897">
        <v>5</v>
      </c>
      <c r="I897">
        <f t="shared" si="40"/>
        <v>1885</v>
      </c>
      <c r="J897">
        <f t="shared" si="41"/>
        <v>1131</v>
      </c>
      <c r="K897" t="s">
        <v>42</v>
      </c>
      <c r="L897" t="s">
        <v>25</v>
      </c>
      <c r="M897" t="s">
        <v>61</v>
      </c>
      <c r="N897" t="s">
        <v>43</v>
      </c>
      <c r="O897">
        <v>958</v>
      </c>
      <c r="P897">
        <v>377</v>
      </c>
      <c r="Q897" t="s">
        <v>103</v>
      </c>
      <c r="R897" t="s">
        <v>68</v>
      </c>
      <c r="S897" t="s">
        <v>104</v>
      </c>
      <c r="T897">
        <v>2022</v>
      </c>
      <c r="U897" t="s">
        <v>31</v>
      </c>
    </row>
    <row r="898" spans="1:21" x14ac:dyDescent="0.35">
      <c r="A898" s="1">
        <v>45488</v>
      </c>
      <c r="B898" t="s">
        <v>98</v>
      </c>
      <c r="C898" t="s">
        <v>99</v>
      </c>
      <c r="D898" t="s">
        <v>100</v>
      </c>
      <c r="E898">
        <v>314</v>
      </c>
      <c r="F898">
        <v>6</v>
      </c>
      <c r="G898">
        <f t="shared" si="39"/>
        <v>1884</v>
      </c>
      <c r="H898">
        <v>4</v>
      </c>
      <c r="I898">
        <f t="shared" si="40"/>
        <v>1256</v>
      </c>
      <c r="J898">
        <f t="shared" si="41"/>
        <v>628</v>
      </c>
      <c r="K898" t="s">
        <v>35</v>
      </c>
      <c r="L898" t="s">
        <v>36</v>
      </c>
      <c r="M898" t="s">
        <v>37</v>
      </c>
      <c r="N898" t="s">
        <v>38</v>
      </c>
      <c r="O898">
        <v>765</v>
      </c>
      <c r="P898">
        <v>314</v>
      </c>
      <c r="Q898" t="s">
        <v>44</v>
      </c>
      <c r="R898" t="s">
        <v>45</v>
      </c>
      <c r="S898" t="s">
        <v>46</v>
      </c>
      <c r="T898">
        <v>2020</v>
      </c>
      <c r="U898" t="s">
        <v>47</v>
      </c>
    </row>
    <row r="899" spans="1:21" x14ac:dyDescent="0.35">
      <c r="A899" s="1">
        <v>45489</v>
      </c>
      <c r="B899" t="s">
        <v>58</v>
      </c>
      <c r="C899" t="s">
        <v>59</v>
      </c>
      <c r="D899" t="s">
        <v>60</v>
      </c>
      <c r="E899">
        <v>133</v>
      </c>
      <c r="F899">
        <v>5</v>
      </c>
      <c r="G899">
        <f t="shared" ref="G899:G962" si="42">E899*F899</f>
        <v>665</v>
      </c>
      <c r="H899">
        <v>3</v>
      </c>
      <c r="I899">
        <f t="shared" ref="I899:I962" si="43">E899*H899</f>
        <v>399</v>
      </c>
      <c r="J899">
        <f t="shared" ref="J899:J962" si="44">G899-I899</f>
        <v>266</v>
      </c>
      <c r="K899" t="s">
        <v>42</v>
      </c>
      <c r="L899" t="s">
        <v>25</v>
      </c>
      <c r="M899" t="s">
        <v>37</v>
      </c>
      <c r="N899" t="s">
        <v>43</v>
      </c>
      <c r="O899">
        <v>843</v>
      </c>
      <c r="P899">
        <v>133</v>
      </c>
      <c r="Q899" t="s">
        <v>54</v>
      </c>
      <c r="R899" t="s">
        <v>55</v>
      </c>
      <c r="S899" t="s">
        <v>56</v>
      </c>
      <c r="T899">
        <v>2023</v>
      </c>
      <c r="U899" t="s">
        <v>53</v>
      </c>
    </row>
    <row r="900" spans="1:21" x14ac:dyDescent="0.35">
      <c r="A900" s="1">
        <v>45490</v>
      </c>
      <c r="B900" t="s">
        <v>98</v>
      </c>
      <c r="C900" t="s">
        <v>99</v>
      </c>
      <c r="D900" t="s">
        <v>100</v>
      </c>
      <c r="E900">
        <v>71</v>
      </c>
      <c r="F900">
        <v>6</v>
      </c>
      <c r="G900">
        <f t="shared" si="42"/>
        <v>426</v>
      </c>
      <c r="H900">
        <v>4</v>
      </c>
      <c r="I900">
        <f t="shared" si="43"/>
        <v>284</v>
      </c>
      <c r="J900">
        <f t="shared" si="44"/>
        <v>142</v>
      </c>
      <c r="K900" t="s">
        <v>35</v>
      </c>
      <c r="L900" t="s">
        <v>36</v>
      </c>
      <c r="M900" t="s">
        <v>37</v>
      </c>
      <c r="N900" t="s">
        <v>43</v>
      </c>
      <c r="O900">
        <v>608</v>
      </c>
      <c r="P900">
        <v>71</v>
      </c>
      <c r="Q900" t="s">
        <v>28</v>
      </c>
      <c r="R900" t="s">
        <v>29</v>
      </c>
      <c r="S900" t="s">
        <v>30</v>
      </c>
      <c r="T900">
        <v>2023</v>
      </c>
      <c r="U900" t="s">
        <v>91</v>
      </c>
    </row>
    <row r="901" spans="1:21" x14ac:dyDescent="0.35">
      <c r="A901" s="1">
        <v>45491</v>
      </c>
      <c r="B901" t="s">
        <v>32</v>
      </c>
      <c r="C901" t="s">
        <v>33</v>
      </c>
      <c r="D901" t="s">
        <v>34</v>
      </c>
      <c r="E901">
        <v>420</v>
      </c>
      <c r="F901">
        <v>20</v>
      </c>
      <c r="G901">
        <f t="shared" si="42"/>
        <v>8400</v>
      </c>
      <c r="H901">
        <v>12</v>
      </c>
      <c r="I901">
        <f t="shared" si="43"/>
        <v>5040</v>
      </c>
      <c r="J901">
        <f t="shared" si="44"/>
        <v>3360</v>
      </c>
      <c r="K901" t="s">
        <v>42</v>
      </c>
      <c r="L901" t="s">
        <v>73</v>
      </c>
      <c r="M901" t="s">
        <v>37</v>
      </c>
      <c r="N901" t="s">
        <v>38</v>
      </c>
      <c r="O901">
        <v>683</v>
      </c>
      <c r="P901">
        <v>420</v>
      </c>
      <c r="Q901" t="s">
        <v>113</v>
      </c>
      <c r="R901" t="s">
        <v>114</v>
      </c>
      <c r="S901" t="s">
        <v>115</v>
      </c>
      <c r="T901">
        <v>2022</v>
      </c>
      <c r="U901" t="s">
        <v>109</v>
      </c>
    </row>
    <row r="902" spans="1:21" x14ac:dyDescent="0.35">
      <c r="A902" s="1">
        <v>45492</v>
      </c>
      <c r="B902" t="s">
        <v>32</v>
      </c>
      <c r="C902" t="s">
        <v>33</v>
      </c>
      <c r="D902" t="s">
        <v>34</v>
      </c>
      <c r="E902">
        <v>226</v>
      </c>
      <c r="F902">
        <v>20</v>
      </c>
      <c r="G902">
        <f t="shared" si="42"/>
        <v>4520</v>
      </c>
      <c r="H902">
        <v>12</v>
      </c>
      <c r="I902">
        <f t="shared" si="43"/>
        <v>2712</v>
      </c>
      <c r="J902">
        <f t="shared" si="44"/>
        <v>1808</v>
      </c>
      <c r="K902" t="s">
        <v>42</v>
      </c>
      <c r="L902" t="s">
        <v>73</v>
      </c>
      <c r="M902" t="s">
        <v>26</v>
      </c>
      <c r="N902" t="s">
        <v>43</v>
      </c>
      <c r="O902">
        <v>500</v>
      </c>
      <c r="P902">
        <v>226</v>
      </c>
      <c r="Q902" t="s">
        <v>51</v>
      </c>
      <c r="R902" t="s">
        <v>45</v>
      </c>
      <c r="S902" t="s">
        <v>52</v>
      </c>
      <c r="T902">
        <v>2024</v>
      </c>
      <c r="U902" t="s">
        <v>109</v>
      </c>
    </row>
    <row r="903" spans="1:21" x14ac:dyDescent="0.35">
      <c r="A903" s="1">
        <v>45493</v>
      </c>
      <c r="B903" t="s">
        <v>98</v>
      </c>
      <c r="C903" t="s">
        <v>99</v>
      </c>
      <c r="D903" t="s">
        <v>100</v>
      </c>
      <c r="E903">
        <v>499</v>
      </c>
      <c r="F903">
        <v>6</v>
      </c>
      <c r="G903">
        <f t="shared" si="42"/>
        <v>2994</v>
      </c>
      <c r="H903">
        <v>4</v>
      </c>
      <c r="I903">
        <f t="shared" si="43"/>
        <v>1996</v>
      </c>
      <c r="J903">
        <f t="shared" si="44"/>
        <v>998</v>
      </c>
      <c r="K903" t="s">
        <v>35</v>
      </c>
      <c r="L903" t="s">
        <v>73</v>
      </c>
      <c r="M903" t="s">
        <v>37</v>
      </c>
      <c r="N903" t="s">
        <v>38</v>
      </c>
      <c r="O903">
        <v>920</v>
      </c>
      <c r="P903">
        <v>499</v>
      </c>
      <c r="Q903" t="s">
        <v>87</v>
      </c>
      <c r="R903" t="s">
        <v>88</v>
      </c>
      <c r="S903" t="s">
        <v>89</v>
      </c>
      <c r="T903">
        <v>2023</v>
      </c>
      <c r="U903" t="s">
        <v>62</v>
      </c>
    </row>
    <row r="904" spans="1:21" x14ac:dyDescent="0.35">
      <c r="A904" s="1">
        <v>45494</v>
      </c>
      <c r="B904" t="s">
        <v>21</v>
      </c>
      <c r="C904" t="s">
        <v>22</v>
      </c>
      <c r="D904" t="s">
        <v>23</v>
      </c>
      <c r="E904">
        <v>369</v>
      </c>
      <c r="F904">
        <v>8</v>
      </c>
      <c r="G904">
        <f t="shared" si="42"/>
        <v>2952</v>
      </c>
      <c r="H904">
        <v>5</v>
      </c>
      <c r="I904">
        <f t="shared" si="43"/>
        <v>1845</v>
      </c>
      <c r="J904">
        <f t="shared" si="44"/>
        <v>1107</v>
      </c>
      <c r="K904" t="s">
        <v>35</v>
      </c>
      <c r="L904" t="s">
        <v>63</v>
      </c>
      <c r="M904" t="s">
        <v>26</v>
      </c>
      <c r="N904" t="s">
        <v>43</v>
      </c>
      <c r="O904">
        <v>654</v>
      </c>
      <c r="P904">
        <v>369</v>
      </c>
      <c r="Q904" t="s">
        <v>77</v>
      </c>
      <c r="R904" t="s">
        <v>78</v>
      </c>
      <c r="S904" t="s">
        <v>79</v>
      </c>
      <c r="T904">
        <v>2020</v>
      </c>
      <c r="U904" t="s">
        <v>62</v>
      </c>
    </row>
    <row r="905" spans="1:21" x14ac:dyDescent="0.35">
      <c r="A905" s="1">
        <v>45495</v>
      </c>
      <c r="B905" t="s">
        <v>58</v>
      </c>
      <c r="C905" t="s">
        <v>59</v>
      </c>
      <c r="D905" t="s">
        <v>60</v>
      </c>
      <c r="E905">
        <v>138</v>
      </c>
      <c r="F905">
        <v>5</v>
      </c>
      <c r="G905">
        <f t="shared" si="42"/>
        <v>690</v>
      </c>
      <c r="H905">
        <v>3</v>
      </c>
      <c r="I905">
        <f t="shared" si="43"/>
        <v>414</v>
      </c>
      <c r="J905">
        <f t="shared" si="44"/>
        <v>276</v>
      </c>
      <c r="K905" t="s">
        <v>24</v>
      </c>
      <c r="L905" t="s">
        <v>36</v>
      </c>
      <c r="M905" t="s">
        <v>37</v>
      </c>
      <c r="N905" t="s">
        <v>38</v>
      </c>
      <c r="O905">
        <v>844</v>
      </c>
      <c r="P905">
        <v>138</v>
      </c>
      <c r="Q905" t="s">
        <v>90</v>
      </c>
      <c r="R905" t="s">
        <v>55</v>
      </c>
      <c r="S905" t="s">
        <v>85</v>
      </c>
      <c r="T905">
        <v>2023</v>
      </c>
      <c r="U905" t="s">
        <v>62</v>
      </c>
    </row>
    <row r="906" spans="1:21" x14ac:dyDescent="0.35">
      <c r="A906" s="1">
        <v>45496</v>
      </c>
      <c r="B906" t="s">
        <v>48</v>
      </c>
      <c r="C906" t="s">
        <v>49</v>
      </c>
      <c r="D906" t="s">
        <v>50</v>
      </c>
      <c r="E906">
        <v>330</v>
      </c>
      <c r="F906">
        <v>150</v>
      </c>
      <c r="G906">
        <f t="shared" si="42"/>
        <v>49500</v>
      </c>
      <c r="H906">
        <v>100</v>
      </c>
      <c r="I906">
        <f t="shared" si="43"/>
        <v>33000</v>
      </c>
      <c r="J906">
        <f t="shared" si="44"/>
        <v>16500</v>
      </c>
      <c r="K906" t="s">
        <v>24</v>
      </c>
      <c r="L906" t="s">
        <v>36</v>
      </c>
      <c r="M906" t="s">
        <v>37</v>
      </c>
      <c r="N906" t="s">
        <v>27</v>
      </c>
      <c r="O906">
        <v>915</v>
      </c>
      <c r="P906">
        <v>330</v>
      </c>
      <c r="Q906" t="s">
        <v>90</v>
      </c>
      <c r="R906" t="s">
        <v>55</v>
      </c>
      <c r="S906" t="s">
        <v>85</v>
      </c>
      <c r="T906">
        <v>2022</v>
      </c>
      <c r="U906" t="s">
        <v>57</v>
      </c>
    </row>
    <row r="907" spans="1:21" x14ac:dyDescent="0.35">
      <c r="A907" s="1">
        <v>45497</v>
      </c>
      <c r="B907" t="s">
        <v>32</v>
      </c>
      <c r="C907" t="s">
        <v>33</v>
      </c>
      <c r="D907" t="s">
        <v>34</v>
      </c>
      <c r="E907">
        <v>402</v>
      </c>
      <c r="F907">
        <v>20</v>
      </c>
      <c r="G907">
        <f t="shared" si="42"/>
        <v>8040</v>
      </c>
      <c r="H907">
        <v>12</v>
      </c>
      <c r="I907">
        <f t="shared" si="43"/>
        <v>4824</v>
      </c>
      <c r="J907">
        <f t="shared" si="44"/>
        <v>3216</v>
      </c>
      <c r="K907" t="s">
        <v>35</v>
      </c>
      <c r="L907" t="s">
        <v>36</v>
      </c>
      <c r="M907" t="s">
        <v>61</v>
      </c>
      <c r="N907" t="s">
        <v>27</v>
      </c>
      <c r="O907">
        <v>960</v>
      </c>
      <c r="P907">
        <v>402</v>
      </c>
      <c r="Q907" t="s">
        <v>51</v>
      </c>
      <c r="R907" t="s">
        <v>45</v>
      </c>
      <c r="S907" t="s">
        <v>52</v>
      </c>
      <c r="T907">
        <v>2022</v>
      </c>
      <c r="U907" t="s">
        <v>47</v>
      </c>
    </row>
    <row r="908" spans="1:21" x14ac:dyDescent="0.35">
      <c r="A908" s="1">
        <v>45498</v>
      </c>
      <c r="B908" t="s">
        <v>80</v>
      </c>
      <c r="C908" t="s">
        <v>81</v>
      </c>
      <c r="D908" t="s">
        <v>82</v>
      </c>
      <c r="E908">
        <v>211</v>
      </c>
      <c r="F908">
        <v>2.5</v>
      </c>
      <c r="G908">
        <f t="shared" si="42"/>
        <v>527.5</v>
      </c>
      <c r="H908">
        <v>1.5</v>
      </c>
      <c r="I908">
        <f t="shared" si="43"/>
        <v>316.5</v>
      </c>
      <c r="J908">
        <f t="shared" si="44"/>
        <v>211</v>
      </c>
      <c r="K908" t="s">
        <v>35</v>
      </c>
      <c r="L908" t="s">
        <v>63</v>
      </c>
      <c r="M908" t="s">
        <v>26</v>
      </c>
      <c r="N908" t="s">
        <v>43</v>
      </c>
      <c r="O908">
        <v>756</v>
      </c>
      <c r="P908">
        <v>211</v>
      </c>
      <c r="Q908" t="s">
        <v>94</v>
      </c>
      <c r="R908" t="s">
        <v>75</v>
      </c>
      <c r="S908" t="s">
        <v>95</v>
      </c>
      <c r="T908">
        <v>2020</v>
      </c>
      <c r="U908" t="s">
        <v>31</v>
      </c>
    </row>
    <row r="909" spans="1:21" x14ac:dyDescent="0.35">
      <c r="A909" s="1">
        <v>45499</v>
      </c>
      <c r="B909" t="s">
        <v>80</v>
      </c>
      <c r="C909" t="s">
        <v>81</v>
      </c>
      <c r="D909" t="s">
        <v>82</v>
      </c>
      <c r="E909">
        <v>157</v>
      </c>
      <c r="F909">
        <v>2.5</v>
      </c>
      <c r="G909">
        <f t="shared" si="42"/>
        <v>392.5</v>
      </c>
      <c r="H909">
        <v>1.5</v>
      </c>
      <c r="I909">
        <f t="shared" si="43"/>
        <v>235.5</v>
      </c>
      <c r="J909">
        <f t="shared" si="44"/>
        <v>157</v>
      </c>
      <c r="K909" t="s">
        <v>24</v>
      </c>
      <c r="L909" t="s">
        <v>36</v>
      </c>
      <c r="M909" t="s">
        <v>61</v>
      </c>
      <c r="N909" t="s">
        <v>27</v>
      </c>
      <c r="O909">
        <v>630</v>
      </c>
      <c r="P909">
        <v>157</v>
      </c>
      <c r="Q909" t="s">
        <v>77</v>
      </c>
      <c r="R909" t="s">
        <v>78</v>
      </c>
      <c r="S909" t="s">
        <v>79</v>
      </c>
      <c r="T909">
        <v>2021</v>
      </c>
      <c r="U909" t="s">
        <v>53</v>
      </c>
    </row>
    <row r="910" spans="1:21" x14ac:dyDescent="0.35">
      <c r="A910" s="1">
        <v>45500</v>
      </c>
      <c r="B910" t="s">
        <v>58</v>
      </c>
      <c r="C910" t="s">
        <v>59</v>
      </c>
      <c r="D910" t="s">
        <v>60</v>
      </c>
      <c r="E910">
        <v>66</v>
      </c>
      <c r="F910">
        <v>5</v>
      </c>
      <c r="G910">
        <f t="shared" si="42"/>
        <v>330</v>
      </c>
      <c r="H910">
        <v>3</v>
      </c>
      <c r="I910">
        <f t="shared" si="43"/>
        <v>198</v>
      </c>
      <c r="J910">
        <f t="shared" si="44"/>
        <v>132</v>
      </c>
      <c r="K910" t="s">
        <v>35</v>
      </c>
      <c r="L910" t="s">
        <v>36</v>
      </c>
      <c r="M910" t="s">
        <v>61</v>
      </c>
      <c r="N910" t="s">
        <v>43</v>
      </c>
      <c r="O910">
        <v>976</v>
      </c>
      <c r="P910">
        <v>66</v>
      </c>
      <c r="Q910" t="s">
        <v>74</v>
      </c>
      <c r="R910" t="s">
        <v>75</v>
      </c>
      <c r="S910" t="s">
        <v>76</v>
      </c>
      <c r="T910">
        <v>2021</v>
      </c>
      <c r="U910" t="s">
        <v>31</v>
      </c>
    </row>
    <row r="911" spans="1:21" x14ac:dyDescent="0.35">
      <c r="A911" s="1">
        <v>45501</v>
      </c>
      <c r="B911" t="s">
        <v>21</v>
      </c>
      <c r="C911" t="s">
        <v>22</v>
      </c>
      <c r="D911" t="s">
        <v>23</v>
      </c>
      <c r="E911">
        <v>493</v>
      </c>
      <c r="F911">
        <v>8</v>
      </c>
      <c r="G911">
        <f t="shared" si="42"/>
        <v>3944</v>
      </c>
      <c r="H911">
        <v>5</v>
      </c>
      <c r="I911">
        <f t="shared" si="43"/>
        <v>2465</v>
      </c>
      <c r="J911">
        <f t="shared" si="44"/>
        <v>1479</v>
      </c>
      <c r="K911" t="s">
        <v>35</v>
      </c>
      <c r="L911" t="s">
        <v>73</v>
      </c>
      <c r="M911" t="s">
        <v>26</v>
      </c>
      <c r="N911" t="s">
        <v>27</v>
      </c>
      <c r="O911">
        <v>978</v>
      </c>
      <c r="P911">
        <v>493</v>
      </c>
      <c r="Q911" t="s">
        <v>39</v>
      </c>
      <c r="R911" t="s">
        <v>40</v>
      </c>
      <c r="S911" t="s">
        <v>41</v>
      </c>
      <c r="T911">
        <v>2024</v>
      </c>
      <c r="U911" t="s">
        <v>53</v>
      </c>
    </row>
    <row r="912" spans="1:21" x14ac:dyDescent="0.35">
      <c r="A912" s="1">
        <v>45502</v>
      </c>
      <c r="B912" t="s">
        <v>32</v>
      </c>
      <c r="C912" t="s">
        <v>33</v>
      </c>
      <c r="D912" t="s">
        <v>34</v>
      </c>
      <c r="E912">
        <v>447</v>
      </c>
      <c r="F912">
        <v>20</v>
      </c>
      <c r="G912">
        <f t="shared" si="42"/>
        <v>8940</v>
      </c>
      <c r="H912">
        <v>12</v>
      </c>
      <c r="I912">
        <f t="shared" si="43"/>
        <v>5364</v>
      </c>
      <c r="J912">
        <f t="shared" si="44"/>
        <v>3576</v>
      </c>
      <c r="K912" t="s">
        <v>42</v>
      </c>
      <c r="L912" t="s">
        <v>73</v>
      </c>
      <c r="M912" t="s">
        <v>37</v>
      </c>
      <c r="N912" t="s">
        <v>38</v>
      </c>
      <c r="O912">
        <v>551</v>
      </c>
      <c r="P912">
        <v>447</v>
      </c>
      <c r="Q912" t="s">
        <v>70</v>
      </c>
      <c r="R912" t="s">
        <v>71</v>
      </c>
      <c r="S912" t="s">
        <v>72</v>
      </c>
      <c r="T912">
        <v>2021</v>
      </c>
      <c r="U912" t="s">
        <v>96</v>
      </c>
    </row>
    <row r="913" spans="1:21" x14ac:dyDescent="0.35">
      <c r="A913" s="1">
        <v>45503</v>
      </c>
      <c r="B913" t="s">
        <v>80</v>
      </c>
      <c r="C913" t="s">
        <v>81</v>
      </c>
      <c r="D913" t="s">
        <v>82</v>
      </c>
      <c r="E913">
        <v>346</v>
      </c>
      <c r="F913">
        <v>2.5</v>
      </c>
      <c r="G913">
        <f t="shared" si="42"/>
        <v>865</v>
      </c>
      <c r="H913">
        <v>1.5</v>
      </c>
      <c r="I913">
        <f t="shared" si="43"/>
        <v>519</v>
      </c>
      <c r="J913">
        <f t="shared" si="44"/>
        <v>346</v>
      </c>
      <c r="K913" t="s">
        <v>42</v>
      </c>
      <c r="L913" t="s">
        <v>25</v>
      </c>
      <c r="M913" t="s">
        <v>37</v>
      </c>
      <c r="N913" t="s">
        <v>43</v>
      </c>
      <c r="O913">
        <v>622</v>
      </c>
      <c r="P913">
        <v>346</v>
      </c>
      <c r="Q913" t="s">
        <v>110</v>
      </c>
      <c r="R913" t="s">
        <v>111</v>
      </c>
      <c r="S913" t="s">
        <v>112</v>
      </c>
      <c r="T913">
        <v>2023</v>
      </c>
      <c r="U913" t="s">
        <v>47</v>
      </c>
    </row>
    <row r="914" spans="1:21" x14ac:dyDescent="0.35">
      <c r="A914" s="1">
        <v>45504</v>
      </c>
      <c r="B914" t="s">
        <v>58</v>
      </c>
      <c r="C914" t="s">
        <v>59</v>
      </c>
      <c r="D914" t="s">
        <v>60</v>
      </c>
      <c r="E914">
        <v>199</v>
      </c>
      <c r="F914">
        <v>5</v>
      </c>
      <c r="G914">
        <f t="shared" si="42"/>
        <v>995</v>
      </c>
      <c r="H914">
        <v>3</v>
      </c>
      <c r="I914">
        <f t="shared" si="43"/>
        <v>597</v>
      </c>
      <c r="J914">
        <f t="shared" si="44"/>
        <v>398</v>
      </c>
      <c r="K914" t="s">
        <v>35</v>
      </c>
      <c r="L914" t="s">
        <v>63</v>
      </c>
      <c r="M914" t="s">
        <v>61</v>
      </c>
      <c r="N914" t="s">
        <v>38</v>
      </c>
      <c r="O914">
        <v>806</v>
      </c>
      <c r="P914">
        <v>199</v>
      </c>
      <c r="Q914" t="s">
        <v>103</v>
      </c>
      <c r="R914" t="s">
        <v>68</v>
      </c>
      <c r="S914" t="s">
        <v>104</v>
      </c>
      <c r="T914">
        <v>2023</v>
      </c>
      <c r="U914" t="s">
        <v>91</v>
      </c>
    </row>
    <row r="915" spans="1:21" x14ac:dyDescent="0.35">
      <c r="A915" s="1">
        <v>45505</v>
      </c>
      <c r="B915" t="s">
        <v>98</v>
      </c>
      <c r="C915" t="s">
        <v>99</v>
      </c>
      <c r="D915" t="s">
        <v>100</v>
      </c>
      <c r="E915">
        <v>111</v>
      </c>
      <c r="F915">
        <v>6</v>
      </c>
      <c r="G915">
        <f t="shared" si="42"/>
        <v>666</v>
      </c>
      <c r="H915">
        <v>4</v>
      </c>
      <c r="I915">
        <f t="shared" si="43"/>
        <v>444</v>
      </c>
      <c r="J915">
        <f t="shared" si="44"/>
        <v>222</v>
      </c>
      <c r="K915" t="s">
        <v>42</v>
      </c>
      <c r="L915" t="s">
        <v>73</v>
      </c>
      <c r="M915" t="s">
        <v>61</v>
      </c>
      <c r="N915" t="s">
        <v>43</v>
      </c>
      <c r="O915">
        <v>928</v>
      </c>
      <c r="P915">
        <v>111</v>
      </c>
      <c r="Q915" t="s">
        <v>70</v>
      </c>
      <c r="R915" t="s">
        <v>71</v>
      </c>
      <c r="S915" t="s">
        <v>72</v>
      </c>
      <c r="T915">
        <v>2024</v>
      </c>
      <c r="U915" t="s">
        <v>96</v>
      </c>
    </row>
    <row r="916" spans="1:21" x14ac:dyDescent="0.35">
      <c r="A916" s="1">
        <v>45506</v>
      </c>
      <c r="B916" t="s">
        <v>98</v>
      </c>
      <c r="C916" t="s">
        <v>99</v>
      </c>
      <c r="D916" t="s">
        <v>100</v>
      </c>
      <c r="E916">
        <v>179</v>
      </c>
      <c r="F916">
        <v>6</v>
      </c>
      <c r="G916">
        <f t="shared" si="42"/>
        <v>1074</v>
      </c>
      <c r="H916">
        <v>4</v>
      </c>
      <c r="I916">
        <f t="shared" si="43"/>
        <v>716</v>
      </c>
      <c r="J916">
        <f t="shared" si="44"/>
        <v>358</v>
      </c>
      <c r="K916" t="s">
        <v>42</v>
      </c>
      <c r="L916" t="s">
        <v>73</v>
      </c>
      <c r="M916" t="s">
        <v>37</v>
      </c>
      <c r="N916" t="s">
        <v>43</v>
      </c>
      <c r="O916">
        <v>872</v>
      </c>
      <c r="P916">
        <v>179</v>
      </c>
      <c r="Q916" t="s">
        <v>67</v>
      </c>
      <c r="R916" t="s">
        <v>68</v>
      </c>
      <c r="S916" t="s">
        <v>69</v>
      </c>
      <c r="T916">
        <v>2021</v>
      </c>
      <c r="U916" t="s">
        <v>91</v>
      </c>
    </row>
    <row r="917" spans="1:21" x14ac:dyDescent="0.35">
      <c r="A917" s="1">
        <v>45507</v>
      </c>
      <c r="B917" t="s">
        <v>32</v>
      </c>
      <c r="C917" t="s">
        <v>33</v>
      </c>
      <c r="D917" t="s">
        <v>34</v>
      </c>
      <c r="E917">
        <v>147</v>
      </c>
      <c r="F917">
        <v>20</v>
      </c>
      <c r="G917">
        <f t="shared" si="42"/>
        <v>2940</v>
      </c>
      <c r="H917">
        <v>12</v>
      </c>
      <c r="I917">
        <f t="shared" si="43"/>
        <v>1764</v>
      </c>
      <c r="J917">
        <f t="shared" si="44"/>
        <v>1176</v>
      </c>
      <c r="K917" t="s">
        <v>42</v>
      </c>
      <c r="L917" t="s">
        <v>73</v>
      </c>
      <c r="M917" t="s">
        <v>26</v>
      </c>
      <c r="N917" t="s">
        <v>38</v>
      </c>
      <c r="O917">
        <v>864</v>
      </c>
      <c r="P917">
        <v>147</v>
      </c>
      <c r="Q917" t="s">
        <v>101</v>
      </c>
      <c r="R917" t="s">
        <v>101</v>
      </c>
      <c r="S917" t="s">
        <v>102</v>
      </c>
      <c r="T917">
        <v>2023</v>
      </c>
      <c r="U917" t="s">
        <v>47</v>
      </c>
    </row>
    <row r="918" spans="1:21" x14ac:dyDescent="0.35">
      <c r="A918" s="1">
        <v>45508</v>
      </c>
      <c r="B918" t="s">
        <v>98</v>
      </c>
      <c r="C918" t="s">
        <v>99</v>
      </c>
      <c r="D918" t="s">
        <v>100</v>
      </c>
      <c r="E918">
        <v>21</v>
      </c>
      <c r="F918">
        <v>6</v>
      </c>
      <c r="G918">
        <f t="shared" si="42"/>
        <v>126</v>
      </c>
      <c r="H918">
        <v>4</v>
      </c>
      <c r="I918">
        <f t="shared" si="43"/>
        <v>84</v>
      </c>
      <c r="J918">
        <f t="shared" si="44"/>
        <v>42</v>
      </c>
      <c r="K918" t="s">
        <v>42</v>
      </c>
      <c r="L918" t="s">
        <v>25</v>
      </c>
      <c r="M918" t="s">
        <v>61</v>
      </c>
      <c r="N918" t="s">
        <v>43</v>
      </c>
      <c r="O918">
        <v>985</v>
      </c>
      <c r="P918">
        <v>21</v>
      </c>
      <c r="Q918" t="s">
        <v>54</v>
      </c>
      <c r="R918" t="s">
        <v>55</v>
      </c>
      <c r="S918" t="s">
        <v>56</v>
      </c>
      <c r="T918">
        <v>2022</v>
      </c>
      <c r="U918" t="s">
        <v>96</v>
      </c>
    </row>
    <row r="919" spans="1:21" x14ac:dyDescent="0.35">
      <c r="A919" s="1">
        <v>45509</v>
      </c>
      <c r="B919" t="s">
        <v>21</v>
      </c>
      <c r="C919" t="s">
        <v>22</v>
      </c>
      <c r="D919" t="s">
        <v>23</v>
      </c>
      <c r="E919">
        <v>253</v>
      </c>
      <c r="F919">
        <v>8</v>
      </c>
      <c r="G919">
        <f t="shared" si="42"/>
        <v>2024</v>
      </c>
      <c r="H919">
        <v>5</v>
      </c>
      <c r="I919">
        <f t="shared" si="43"/>
        <v>1265</v>
      </c>
      <c r="J919">
        <f t="shared" si="44"/>
        <v>759</v>
      </c>
      <c r="K919" t="s">
        <v>42</v>
      </c>
      <c r="L919" t="s">
        <v>73</v>
      </c>
      <c r="M919" t="s">
        <v>26</v>
      </c>
      <c r="N919" t="s">
        <v>43</v>
      </c>
      <c r="O919">
        <v>803</v>
      </c>
      <c r="P919">
        <v>253</v>
      </c>
      <c r="Q919" t="s">
        <v>83</v>
      </c>
      <c r="R919" t="s">
        <v>84</v>
      </c>
      <c r="S919" t="s">
        <v>85</v>
      </c>
      <c r="T919">
        <v>2024</v>
      </c>
      <c r="U919" t="s">
        <v>47</v>
      </c>
    </row>
    <row r="920" spans="1:21" x14ac:dyDescent="0.35">
      <c r="A920" s="1">
        <v>45510</v>
      </c>
      <c r="B920" t="s">
        <v>21</v>
      </c>
      <c r="C920" t="s">
        <v>22</v>
      </c>
      <c r="D920" t="s">
        <v>23</v>
      </c>
      <c r="E920">
        <v>77</v>
      </c>
      <c r="F920">
        <v>8</v>
      </c>
      <c r="G920">
        <f t="shared" si="42"/>
        <v>616</v>
      </c>
      <c r="H920">
        <v>5</v>
      </c>
      <c r="I920">
        <f t="shared" si="43"/>
        <v>385</v>
      </c>
      <c r="J920">
        <f t="shared" si="44"/>
        <v>231</v>
      </c>
      <c r="K920" t="s">
        <v>42</v>
      </c>
      <c r="L920" t="s">
        <v>25</v>
      </c>
      <c r="M920" t="s">
        <v>37</v>
      </c>
      <c r="N920" t="s">
        <v>27</v>
      </c>
      <c r="O920">
        <v>636</v>
      </c>
      <c r="P920">
        <v>77</v>
      </c>
      <c r="Q920" t="s">
        <v>110</v>
      </c>
      <c r="R920" t="s">
        <v>111</v>
      </c>
      <c r="S920" t="s">
        <v>112</v>
      </c>
      <c r="T920">
        <v>2021</v>
      </c>
      <c r="U920" t="s">
        <v>97</v>
      </c>
    </row>
    <row r="921" spans="1:21" x14ac:dyDescent="0.35">
      <c r="A921" s="1">
        <v>45511</v>
      </c>
      <c r="B921" t="s">
        <v>58</v>
      </c>
      <c r="C921" t="s">
        <v>59</v>
      </c>
      <c r="D921" t="s">
        <v>60</v>
      </c>
      <c r="E921">
        <v>39</v>
      </c>
      <c r="F921">
        <v>5</v>
      </c>
      <c r="G921">
        <f t="shared" si="42"/>
        <v>195</v>
      </c>
      <c r="H921">
        <v>3</v>
      </c>
      <c r="I921">
        <f t="shared" si="43"/>
        <v>117</v>
      </c>
      <c r="J921">
        <f t="shared" si="44"/>
        <v>78</v>
      </c>
      <c r="K921" t="s">
        <v>42</v>
      </c>
      <c r="L921" t="s">
        <v>73</v>
      </c>
      <c r="M921" t="s">
        <v>26</v>
      </c>
      <c r="N921" t="s">
        <v>38</v>
      </c>
      <c r="O921">
        <v>703</v>
      </c>
      <c r="P921">
        <v>39</v>
      </c>
      <c r="Q921" t="s">
        <v>103</v>
      </c>
      <c r="R921" t="s">
        <v>68</v>
      </c>
      <c r="S921" t="s">
        <v>104</v>
      </c>
      <c r="T921">
        <v>2022</v>
      </c>
      <c r="U921" t="s">
        <v>105</v>
      </c>
    </row>
    <row r="922" spans="1:21" x14ac:dyDescent="0.35">
      <c r="A922" s="1">
        <v>45512</v>
      </c>
      <c r="B922" t="s">
        <v>80</v>
      </c>
      <c r="C922" t="s">
        <v>81</v>
      </c>
      <c r="D922" t="s">
        <v>82</v>
      </c>
      <c r="E922">
        <v>243</v>
      </c>
      <c r="F922">
        <v>2.5</v>
      </c>
      <c r="G922">
        <f t="shared" si="42"/>
        <v>607.5</v>
      </c>
      <c r="H922">
        <v>1.5</v>
      </c>
      <c r="I922">
        <f t="shared" si="43"/>
        <v>364.5</v>
      </c>
      <c r="J922">
        <f t="shared" si="44"/>
        <v>243</v>
      </c>
      <c r="K922" t="s">
        <v>42</v>
      </c>
      <c r="L922" t="s">
        <v>36</v>
      </c>
      <c r="M922" t="s">
        <v>26</v>
      </c>
      <c r="N922" t="s">
        <v>27</v>
      </c>
      <c r="O922">
        <v>886</v>
      </c>
      <c r="P922">
        <v>243</v>
      </c>
      <c r="Q922" t="s">
        <v>94</v>
      </c>
      <c r="R922" t="s">
        <v>75</v>
      </c>
      <c r="S922" t="s">
        <v>95</v>
      </c>
      <c r="T922">
        <v>2020</v>
      </c>
      <c r="U922" t="s">
        <v>57</v>
      </c>
    </row>
    <row r="923" spans="1:21" x14ac:dyDescent="0.35">
      <c r="A923" s="1">
        <v>45513</v>
      </c>
      <c r="B923" t="s">
        <v>21</v>
      </c>
      <c r="C923" t="s">
        <v>22</v>
      </c>
      <c r="D923" t="s">
        <v>23</v>
      </c>
      <c r="E923">
        <v>361</v>
      </c>
      <c r="F923">
        <v>8</v>
      </c>
      <c r="G923">
        <f t="shared" si="42"/>
        <v>2888</v>
      </c>
      <c r="H923">
        <v>5</v>
      </c>
      <c r="I923">
        <f t="shared" si="43"/>
        <v>1805</v>
      </c>
      <c r="J923">
        <f t="shared" si="44"/>
        <v>1083</v>
      </c>
      <c r="K923" t="s">
        <v>24</v>
      </c>
      <c r="L923" t="s">
        <v>25</v>
      </c>
      <c r="M923" t="s">
        <v>26</v>
      </c>
      <c r="N923" t="s">
        <v>43</v>
      </c>
      <c r="O923">
        <v>834</v>
      </c>
      <c r="P923">
        <v>361</v>
      </c>
      <c r="Q923" t="s">
        <v>110</v>
      </c>
      <c r="R923" t="s">
        <v>111</v>
      </c>
      <c r="S923" t="s">
        <v>112</v>
      </c>
      <c r="T923">
        <v>2021</v>
      </c>
      <c r="U923" t="s">
        <v>96</v>
      </c>
    </row>
    <row r="924" spans="1:21" x14ac:dyDescent="0.35">
      <c r="A924" s="1">
        <v>45514</v>
      </c>
      <c r="B924" t="s">
        <v>48</v>
      </c>
      <c r="C924" t="s">
        <v>49</v>
      </c>
      <c r="D924" t="s">
        <v>50</v>
      </c>
      <c r="E924">
        <v>116</v>
      </c>
      <c r="F924">
        <v>150</v>
      </c>
      <c r="G924">
        <f t="shared" si="42"/>
        <v>17400</v>
      </c>
      <c r="H924">
        <v>100</v>
      </c>
      <c r="I924">
        <f t="shared" si="43"/>
        <v>11600</v>
      </c>
      <c r="J924">
        <f t="shared" si="44"/>
        <v>5800</v>
      </c>
      <c r="K924" t="s">
        <v>24</v>
      </c>
      <c r="L924" t="s">
        <v>73</v>
      </c>
      <c r="M924" t="s">
        <v>61</v>
      </c>
      <c r="N924" t="s">
        <v>27</v>
      </c>
      <c r="O924">
        <v>843</v>
      </c>
      <c r="P924">
        <v>116</v>
      </c>
      <c r="Q924" t="s">
        <v>103</v>
      </c>
      <c r="R924" t="s">
        <v>68</v>
      </c>
      <c r="S924" t="s">
        <v>104</v>
      </c>
      <c r="T924">
        <v>2022</v>
      </c>
      <c r="U924" t="s">
        <v>86</v>
      </c>
    </row>
    <row r="925" spans="1:21" x14ac:dyDescent="0.35">
      <c r="A925" s="1">
        <v>45515</v>
      </c>
      <c r="B925" t="s">
        <v>48</v>
      </c>
      <c r="C925" t="s">
        <v>49</v>
      </c>
      <c r="D925" t="s">
        <v>50</v>
      </c>
      <c r="E925">
        <v>70</v>
      </c>
      <c r="F925">
        <v>150</v>
      </c>
      <c r="G925">
        <f t="shared" si="42"/>
        <v>10500</v>
      </c>
      <c r="H925">
        <v>100</v>
      </c>
      <c r="I925">
        <f t="shared" si="43"/>
        <v>7000</v>
      </c>
      <c r="J925">
        <f t="shared" si="44"/>
        <v>3500</v>
      </c>
      <c r="K925" t="s">
        <v>35</v>
      </c>
      <c r="L925" t="s">
        <v>25</v>
      </c>
      <c r="M925" t="s">
        <v>37</v>
      </c>
      <c r="N925" t="s">
        <v>43</v>
      </c>
      <c r="O925">
        <v>897</v>
      </c>
      <c r="P925">
        <v>70</v>
      </c>
      <c r="Q925" t="s">
        <v>113</v>
      </c>
      <c r="R925" t="s">
        <v>114</v>
      </c>
      <c r="S925" t="s">
        <v>115</v>
      </c>
      <c r="T925">
        <v>2020</v>
      </c>
      <c r="U925" t="s">
        <v>53</v>
      </c>
    </row>
    <row r="926" spans="1:21" x14ac:dyDescent="0.35">
      <c r="A926" s="1">
        <v>45516</v>
      </c>
      <c r="B926" t="s">
        <v>80</v>
      </c>
      <c r="C926" t="s">
        <v>81</v>
      </c>
      <c r="D926" t="s">
        <v>82</v>
      </c>
      <c r="E926">
        <v>120</v>
      </c>
      <c r="F926">
        <v>2.5</v>
      </c>
      <c r="G926">
        <f t="shared" si="42"/>
        <v>300</v>
      </c>
      <c r="H926">
        <v>1.5</v>
      </c>
      <c r="I926">
        <f t="shared" si="43"/>
        <v>180</v>
      </c>
      <c r="J926">
        <f t="shared" si="44"/>
        <v>120</v>
      </c>
      <c r="K926" t="s">
        <v>42</v>
      </c>
      <c r="L926" t="s">
        <v>73</v>
      </c>
      <c r="M926" t="s">
        <v>26</v>
      </c>
      <c r="N926" t="s">
        <v>38</v>
      </c>
      <c r="O926">
        <v>945</v>
      </c>
      <c r="P926">
        <v>120</v>
      </c>
      <c r="Q926" t="s">
        <v>113</v>
      </c>
      <c r="R926" t="s">
        <v>114</v>
      </c>
      <c r="S926" t="s">
        <v>115</v>
      </c>
      <c r="T926">
        <v>2020</v>
      </c>
      <c r="U926" t="s">
        <v>96</v>
      </c>
    </row>
    <row r="927" spans="1:21" x14ac:dyDescent="0.35">
      <c r="A927" s="1">
        <v>45517</v>
      </c>
      <c r="B927" t="s">
        <v>98</v>
      </c>
      <c r="C927" t="s">
        <v>99</v>
      </c>
      <c r="D927" t="s">
        <v>100</v>
      </c>
      <c r="E927">
        <v>143</v>
      </c>
      <c r="F927">
        <v>6</v>
      </c>
      <c r="G927">
        <f t="shared" si="42"/>
        <v>858</v>
      </c>
      <c r="H927">
        <v>4</v>
      </c>
      <c r="I927">
        <f t="shared" si="43"/>
        <v>572</v>
      </c>
      <c r="J927">
        <f t="shared" si="44"/>
        <v>286</v>
      </c>
      <c r="K927" t="s">
        <v>35</v>
      </c>
      <c r="L927" t="s">
        <v>25</v>
      </c>
      <c r="M927" t="s">
        <v>61</v>
      </c>
      <c r="N927" t="s">
        <v>38</v>
      </c>
      <c r="O927">
        <v>587</v>
      </c>
      <c r="P927">
        <v>143</v>
      </c>
      <c r="Q927" t="s">
        <v>92</v>
      </c>
      <c r="R927" t="s">
        <v>45</v>
      </c>
      <c r="S927" t="s">
        <v>93</v>
      </c>
      <c r="T927">
        <v>2024</v>
      </c>
      <c r="U927" t="s">
        <v>47</v>
      </c>
    </row>
    <row r="928" spans="1:21" x14ac:dyDescent="0.35">
      <c r="A928" s="1">
        <v>45518</v>
      </c>
      <c r="B928" t="s">
        <v>21</v>
      </c>
      <c r="C928" t="s">
        <v>22</v>
      </c>
      <c r="D928" t="s">
        <v>23</v>
      </c>
      <c r="E928">
        <v>38</v>
      </c>
      <c r="F928">
        <v>8</v>
      </c>
      <c r="G928">
        <f t="shared" si="42"/>
        <v>304</v>
      </c>
      <c r="H928">
        <v>5</v>
      </c>
      <c r="I928">
        <f t="shared" si="43"/>
        <v>190</v>
      </c>
      <c r="J928">
        <f t="shared" si="44"/>
        <v>114</v>
      </c>
      <c r="K928" t="s">
        <v>42</v>
      </c>
      <c r="L928" t="s">
        <v>73</v>
      </c>
      <c r="M928" t="s">
        <v>61</v>
      </c>
      <c r="N928" t="s">
        <v>43</v>
      </c>
      <c r="O928">
        <v>537</v>
      </c>
      <c r="P928">
        <v>38</v>
      </c>
      <c r="Q928" t="s">
        <v>44</v>
      </c>
      <c r="R928" t="s">
        <v>45</v>
      </c>
      <c r="S928" t="s">
        <v>46</v>
      </c>
      <c r="T928">
        <v>2021</v>
      </c>
      <c r="U928" t="s">
        <v>66</v>
      </c>
    </row>
    <row r="929" spans="1:21" x14ac:dyDescent="0.35">
      <c r="A929" s="1">
        <v>45519</v>
      </c>
      <c r="B929" t="s">
        <v>58</v>
      </c>
      <c r="C929" t="s">
        <v>59</v>
      </c>
      <c r="D929" t="s">
        <v>60</v>
      </c>
      <c r="E929">
        <v>340</v>
      </c>
      <c r="F929">
        <v>5</v>
      </c>
      <c r="G929">
        <f t="shared" si="42"/>
        <v>1700</v>
      </c>
      <c r="H929">
        <v>3</v>
      </c>
      <c r="I929">
        <f t="shared" si="43"/>
        <v>1020</v>
      </c>
      <c r="J929">
        <f t="shared" si="44"/>
        <v>680</v>
      </c>
      <c r="K929" t="s">
        <v>42</v>
      </c>
      <c r="L929" t="s">
        <v>36</v>
      </c>
      <c r="M929" t="s">
        <v>61</v>
      </c>
      <c r="N929" t="s">
        <v>38</v>
      </c>
      <c r="O929">
        <v>632</v>
      </c>
      <c r="P929">
        <v>340</v>
      </c>
      <c r="Q929" t="s">
        <v>28</v>
      </c>
      <c r="R929" t="s">
        <v>29</v>
      </c>
      <c r="S929" t="s">
        <v>30</v>
      </c>
      <c r="T929">
        <v>2020</v>
      </c>
      <c r="U929" t="s">
        <v>57</v>
      </c>
    </row>
    <row r="930" spans="1:21" x14ac:dyDescent="0.35">
      <c r="A930" s="1">
        <v>45520</v>
      </c>
      <c r="B930" t="s">
        <v>21</v>
      </c>
      <c r="C930" t="s">
        <v>22</v>
      </c>
      <c r="D930" t="s">
        <v>23</v>
      </c>
      <c r="E930">
        <v>206</v>
      </c>
      <c r="F930">
        <v>8</v>
      </c>
      <c r="G930">
        <f t="shared" si="42"/>
        <v>1648</v>
      </c>
      <c r="H930">
        <v>5</v>
      </c>
      <c r="I930">
        <f t="shared" si="43"/>
        <v>1030</v>
      </c>
      <c r="J930">
        <f t="shared" si="44"/>
        <v>618</v>
      </c>
      <c r="K930" t="s">
        <v>42</v>
      </c>
      <c r="L930" t="s">
        <v>25</v>
      </c>
      <c r="M930" t="s">
        <v>26</v>
      </c>
      <c r="N930" t="s">
        <v>27</v>
      </c>
      <c r="O930">
        <v>516</v>
      </c>
      <c r="P930">
        <v>206</v>
      </c>
      <c r="Q930" t="s">
        <v>44</v>
      </c>
      <c r="R930" t="s">
        <v>45</v>
      </c>
      <c r="S930" t="s">
        <v>46</v>
      </c>
      <c r="T930">
        <v>2024</v>
      </c>
      <c r="U930" t="s">
        <v>66</v>
      </c>
    </row>
    <row r="931" spans="1:21" x14ac:dyDescent="0.35">
      <c r="A931" s="1">
        <v>45521</v>
      </c>
      <c r="B931" t="s">
        <v>21</v>
      </c>
      <c r="C931" t="s">
        <v>22</v>
      </c>
      <c r="D931" t="s">
        <v>23</v>
      </c>
      <c r="E931">
        <v>139</v>
      </c>
      <c r="F931">
        <v>8</v>
      </c>
      <c r="G931">
        <f t="shared" si="42"/>
        <v>1112</v>
      </c>
      <c r="H931">
        <v>5</v>
      </c>
      <c r="I931">
        <f t="shared" si="43"/>
        <v>695</v>
      </c>
      <c r="J931">
        <f t="shared" si="44"/>
        <v>417</v>
      </c>
      <c r="K931" t="s">
        <v>24</v>
      </c>
      <c r="L931" t="s">
        <v>63</v>
      </c>
      <c r="M931" t="s">
        <v>61</v>
      </c>
      <c r="N931" t="s">
        <v>43</v>
      </c>
      <c r="O931">
        <v>966</v>
      </c>
      <c r="P931">
        <v>139</v>
      </c>
      <c r="Q931" t="s">
        <v>103</v>
      </c>
      <c r="R931" t="s">
        <v>68</v>
      </c>
      <c r="S931" t="s">
        <v>104</v>
      </c>
      <c r="T931">
        <v>2022</v>
      </c>
      <c r="U931" t="s">
        <v>96</v>
      </c>
    </row>
    <row r="932" spans="1:21" x14ac:dyDescent="0.35">
      <c r="A932" s="1">
        <v>45522</v>
      </c>
      <c r="B932" t="s">
        <v>58</v>
      </c>
      <c r="C932" t="s">
        <v>59</v>
      </c>
      <c r="D932" t="s">
        <v>60</v>
      </c>
      <c r="E932">
        <v>76</v>
      </c>
      <c r="F932">
        <v>5</v>
      </c>
      <c r="G932">
        <f t="shared" si="42"/>
        <v>380</v>
      </c>
      <c r="H932">
        <v>3</v>
      </c>
      <c r="I932">
        <f t="shared" si="43"/>
        <v>228</v>
      </c>
      <c r="J932">
        <f t="shared" si="44"/>
        <v>152</v>
      </c>
      <c r="K932" t="s">
        <v>42</v>
      </c>
      <c r="L932" t="s">
        <v>73</v>
      </c>
      <c r="M932" t="s">
        <v>26</v>
      </c>
      <c r="N932" t="s">
        <v>43</v>
      </c>
      <c r="O932">
        <v>955</v>
      </c>
      <c r="P932">
        <v>76</v>
      </c>
      <c r="Q932" t="s">
        <v>28</v>
      </c>
      <c r="R932" t="s">
        <v>29</v>
      </c>
      <c r="S932" t="s">
        <v>30</v>
      </c>
      <c r="T932">
        <v>2022</v>
      </c>
      <c r="U932" t="s">
        <v>66</v>
      </c>
    </row>
    <row r="933" spans="1:21" x14ac:dyDescent="0.35">
      <c r="A933" s="1">
        <v>45523</v>
      </c>
      <c r="B933" t="s">
        <v>21</v>
      </c>
      <c r="C933" t="s">
        <v>22</v>
      </c>
      <c r="D933" t="s">
        <v>23</v>
      </c>
      <c r="E933">
        <v>152</v>
      </c>
      <c r="F933">
        <v>8</v>
      </c>
      <c r="G933">
        <f t="shared" si="42"/>
        <v>1216</v>
      </c>
      <c r="H933">
        <v>5</v>
      </c>
      <c r="I933">
        <f t="shared" si="43"/>
        <v>760</v>
      </c>
      <c r="J933">
        <f t="shared" si="44"/>
        <v>456</v>
      </c>
      <c r="K933" t="s">
        <v>42</v>
      </c>
      <c r="L933" t="s">
        <v>63</v>
      </c>
      <c r="M933" t="s">
        <v>26</v>
      </c>
      <c r="N933" t="s">
        <v>43</v>
      </c>
      <c r="O933">
        <v>722</v>
      </c>
      <c r="P933">
        <v>152</v>
      </c>
      <c r="Q933" t="s">
        <v>90</v>
      </c>
      <c r="R933" t="s">
        <v>55</v>
      </c>
      <c r="S933" t="s">
        <v>85</v>
      </c>
      <c r="T933">
        <v>2022</v>
      </c>
      <c r="U933" t="s">
        <v>53</v>
      </c>
    </row>
    <row r="934" spans="1:21" x14ac:dyDescent="0.35">
      <c r="A934" s="1">
        <v>45524</v>
      </c>
      <c r="B934" t="s">
        <v>48</v>
      </c>
      <c r="C934" t="s">
        <v>49</v>
      </c>
      <c r="D934" t="s">
        <v>50</v>
      </c>
      <c r="E934">
        <v>358</v>
      </c>
      <c r="F934">
        <v>150</v>
      </c>
      <c r="G934">
        <f t="shared" si="42"/>
        <v>53700</v>
      </c>
      <c r="H934">
        <v>100</v>
      </c>
      <c r="I934">
        <f t="shared" si="43"/>
        <v>35800</v>
      </c>
      <c r="J934">
        <f t="shared" si="44"/>
        <v>17900</v>
      </c>
      <c r="K934" t="s">
        <v>42</v>
      </c>
      <c r="L934" t="s">
        <v>36</v>
      </c>
      <c r="M934" t="s">
        <v>26</v>
      </c>
      <c r="N934" t="s">
        <v>38</v>
      </c>
      <c r="O934">
        <v>772</v>
      </c>
      <c r="P934">
        <v>358</v>
      </c>
      <c r="Q934" t="s">
        <v>54</v>
      </c>
      <c r="R934" t="s">
        <v>55</v>
      </c>
      <c r="S934" t="s">
        <v>56</v>
      </c>
      <c r="T934">
        <v>2022</v>
      </c>
      <c r="U934" t="s">
        <v>53</v>
      </c>
    </row>
    <row r="935" spans="1:21" x14ac:dyDescent="0.35">
      <c r="A935" s="1">
        <v>45525</v>
      </c>
      <c r="B935" t="s">
        <v>32</v>
      </c>
      <c r="C935" t="s">
        <v>33</v>
      </c>
      <c r="D935" t="s">
        <v>34</v>
      </c>
      <c r="E935">
        <v>358</v>
      </c>
      <c r="F935">
        <v>20</v>
      </c>
      <c r="G935">
        <f t="shared" si="42"/>
        <v>7160</v>
      </c>
      <c r="H935">
        <v>12</v>
      </c>
      <c r="I935">
        <f t="shared" si="43"/>
        <v>4296</v>
      </c>
      <c r="J935">
        <f t="shared" si="44"/>
        <v>2864</v>
      </c>
      <c r="K935" t="s">
        <v>24</v>
      </c>
      <c r="L935" t="s">
        <v>73</v>
      </c>
      <c r="M935" t="s">
        <v>26</v>
      </c>
      <c r="N935" t="s">
        <v>38</v>
      </c>
      <c r="O935">
        <v>793</v>
      </c>
      <c r="P935">
        <v>358</v>
      </c>
      <c r="Q935" t="s">
        <v>94</v>
      </c>
      <c r="R935" t="s">
        <v>75</v>
      </c>
      <c r="S935" t="s">
        <v>95</v>
      </c>
      <c r="T935">
        <v>2020</v>
      </c>
      <c r="U935" t="s">
        <v>53</v>
      </c>
    </row>
    <row r="936" spans="1:21" x14ac:dyDescent="0.35">
      <c r="A936" s="1">
        <v>45526</v>
      </c>
      <c r="B936" t="s">
        <v>32</v>
      </c>
      <c r="C936" t="s">
        <v>33</v>
      </c>
      <c r="D936" t="s">
        <v>34</v>
      </c>
      <c r="E936">
        <v>42</v>
      </c>
      <c r="F936">
        <v>20</v>
      </c>
      <c r="G936">
        <f t="shared" si="42"/>
        <v>840</v>
      </c>
      <c r="H936">
        <v>12</v>
      </c>
      <c r="I936">
        <f t="shared" si="43"/>
        <v>504</v>
      </c>
      <c r="J936">
        <f t="shared" si="44"/>
        <v>336</v>
      </c>
      <c r="K936" t="s">
        <v>24</v>
      </c>
      <c r="L936" t="s">
        <v>73</v>
      </c>
      <c r="M936" t="s">
        <v>61</v>
      </c>
      <c r="N936" t="s">
        <v>38</v>
      </c>
      <c r="O936">
        <v>977</v>
      </c>
      <c r="P936">
        <v>42</v>
      </c>
      <c r="Q936" t="s">
        <v>64</v>
      </c>
      <c r="R936" t="s">
        <v>29</v>
      </c>
      <c r="S936" t="s">
        <v>65</v>
      </c>
      <c r="T936">
        <v>2020</v>
      </c>
      <c r="U936" t="s">
        <v>66</v>
      </c>
    </row>
    <row r="937" spans="1:21" x14ac:dyDescent="0.35">
      <c r="A937" s="1">
        <v>45527</v>
      </c>
      <c r="B937" t="s">
        <v>80</v>
      </c>
      <c r="C937" t="s">
        <v>81</v>
      </c>
      <c r="D937" t="s">
        <v>82</v>
      </c>
      <c r="E937">
        <v>325</v>
      </c>
      <c r="F937">
        <v>2.5</v>
      </c>
      <c r="G937">
        <f t="shared" si="42"/>
        <v>812.5</v>
      </c>
      <c r="H937">
        <v>1.5</v>
      </c>
      <c r="I937">
        <f t="shared" si="43"/>
        <v>487.5</v>
      </c>
      <c r="J937">
        <f t="shared" si="44"/>
        <v>325</v>
      </c>
      <c r="K937" t="s">
        <v>24</v>
      </c>
      <c r="L937" t="s">
        <v>36</v>
      </c>
      <c r="M937" t="s">
        <v>26</v>
      </c>
      <c r="N937" t="s">
        <v>38</v>
      </c>
      <c r="O937">
        <v>842</v>
      </c>
      <c r="P937">
        <v>325</v>
      </c>
      <c r="Q937" t="s">
        <v>113</v>
      </c>
      <c r="R937" t="s">
        <v>114</v>
      </c>
      <c r="S937" t="s">
        <v>115</v>
      </c>
      <c r="T937">
        <v>2023</v>
      </c>
      <c r="U937" t="s">
        <v>97</v>
      </c>
    </row>
    <row r="938" spans="1:21" x14ac:dyDescent="0.35">
      <c r="A938" s="1">
        <v>45528</v>
      </c>
      <c r="B938" t="s">
        <v>98</v>
      </c>
      <c r="C938" t="s">
        <v>99</v>
      </c>
      <c r="D938" t="s">
        <v>100</v>
      </c>
      <c r="E938">
        <v>437</v>
      </c>
      <c r="F938">
        <v>6</v>
      </c>
      <c r="G938">
        <f t="shared" si="42"/>
        <v>2622</v>
      </c>
      <c r="H938">
        <v>4</v>
      </c>
      <c r="I938">
        <f t="shared" si="43"/>
        <v>1748</v>
      </c>
      <c r="J938">
        <f t="shared" si="44"/>
        <v>874</v>
      </c>
      <c r="K938" t="s">
        <v>42</v>
      </c>
      <c r="L938" t="s">
        <v>63</v>
      </c>
      <c r="M938" t="s">
        <v>61</v>
      </c>
      <c r="N938" t="s">
        <v>38</v>
      </c>
      <c r="O938">
        <v>611</v>
      </c>
      <c r="P938">
        <v>437</v>
      </c>
      <c r="Q938" t="s">
        <v>64</v>
      </c>
      <c r="R938" t="s">
        <v>29</v>
      </c>
      <c r="S938" t="s">
        <v>65</v>
      </c>
      <c r="T938">
        <v>2021</v>
      </c>
      <c r="U938" t="s">
        <v>62</v>
      </c>
    </row>
    <row r="939" spans="1:21" x14ac:dyDescent="0.35">
      <c r="A939" s="1">
        <v>45529</v>
      </c>
      <c r="B939" t="s">
        <v>48</v>
      </c>
      <c r="C939" t="s">
        <v>49</v>
      </c>
      <c r="D939" t="s">
        <v>50</v>
      </c>
      <c r="E939">
        <v>203</v>
      </c>
      <c r="F939">
        <v>150</v>
      </c>
      <c r="G939">
        <f t="shared" si="42"/>
        <v>30450</v>
      </c>
      <c r="H939">
        <v>100</v>
      </c>
      <c r="I939">
        <f t="shared" si="43"/>
        <v>20300</v>
      </c>
      <c r="J939">
        <f t="shared" si="44"/>
        <v>10150</v>
      </c>
      <c r="K939" t="s">
        <v>42</v>
      </c>
      <c r="L939" t="s">
        <v>36</v>
      </c>
      <c r="M939" t="s">
        <v>61</v>
      </c>
      <c r="N939" t="s">
        <v>38</v>
      </c>
      <c r="O939">
        <v>540</v>
      </c>
      <c r="P939">
        <v>203</v>
      </c>
      <c r="Q939" t="s">
        <v>103</v>
      </c>
      <c r="R939" t="s">
        <v>68</v>
      </c>
      <c r="S939" t="s">
        <v>104</v>
      </c>
      <c r="T939">
        <v>2022</v>
      </c>
      <c r="U939" t="s">
        <v>47</v>
      </c>
    </row>
    <row r="940" spans="1:21" x14ac:dyDescent="0.35">
      <c r="A940" s="1">
        <v>45530</v>
      </c>
      <c r="B940" t="s">
        <v>98</v>
      </c>
      <c r="C940" t="s">
        <v>99</v>
      </c>
      <c r="D940" t="s">
        <v>100</v>
      </c>
      <c r="E940">
        <v>464</v>
      </c>
      <c r="F940">
        <v>6</v>
      </c>
      <c r="G940">
        <f t="shared" si="42"/>
        <v>2784</v>
      </c>
      <c r="H940">
        <v>4</v>
      </c>
      <c r="I940">
        <f t="shared" si="43"/>
        <v>1856</v>
      </c>
      <c r="J940">
        <f t="shared" si="44"/>
        <v>928</v>
      </c>
      <c r="K940" t="s">
        <v>35</v>
      </c>
      <c r="L940" t="s">
        <v>63</v>
      </c>
      <c r="M940" t="s">
        <v>26</v>
      </c>
      <c r="N940" t="s">
        <v>38</v>
      </c>
      <c r="O940">
        <v>893</v>
      </c>
      <c r="P940">
        <v>464</v>
      </c>
      <c r="Q940" t="s">
        <v>70</v>
      </c>
      <c r="R940" t="s">
        <v>71</v>
      </c>
      <c r="S940" t="s">
        <v>72</v>
      </c>
      <c r="T940">
        <v>2021</v>
      </c>
      <c r="U940" t="s">
        <v>96</v>
      </c>
    </row>
    <row r="941" spans="1:21" x14ac:dyDescent="0.35">
      <c r="A941" s="1">
        <v>45531</v>
      </c>
      <c r="B941" t="s">
        <v>98</v>
      </c>
      <c r="C941" t="s">
        <v>99</v>
      </c>
      <c r="D941" t="s">
        <v>100</v>
      </c>
      <c r="E941">
        <v>335</v>
      </c>
      <c r="F941">
        <v>6</v>
      </c>
      <c r="G941">
        <f t="shared" si="42"/>
        <v>2010</v>
      </c>
      <c r="H941">
        <v>4</v>
      </c>
      <c r="I941">
        <f t="shared" si="43"/>
        <v>1340</v>
      </c>
      <c r="J941">
        <f t="shared" si="44"/>
        <v>670</v>
      </c>
      <c r="K941" t="s">
        <v>35</v>
      </c>
      <c r="L941" t="s">
        <v>63</v>
      </c>
      <c r="M941" t="s">
        <v>26</v>
      </c>
      <c r="N941" t="s">
        <v>38</v>
      </c>
      <c r="O941">
        <v>998</v>
      </c>
      <c r="P941">
        <v>335</v>
      </c>
      <c r="Q941" t="s">
        <v>87</v>
      </c>
      <c r="R941" t="s">
        <v>88</v>
      </c>
      <c r="S941" t="s">
        <v>89</v>
      </c>
      <c r="T941">
        <v>2022</v>
      </c>
      <c r="U941" t="s">
        <v>96</v>
      </c>
    </row>
    <row r="942" spans="1:21" x14ac:dyDescent="0.35">
      <c r="A942" s="1">
        <v>45532</v>
      </c>
      <c r="B942" t="s">
        <v>48</v>
      </c>
      <c r="C942" t="s">
        <v>49</v>
      </c>
      <c r="D942" t="s">
        <v>50</v>
      </c>
      <c r="E942">
        <v>399</v>
      </c>
      <c r="F942">
        <v>150</v>
      </c>
      <c r="G942">
        <f t="shared" si="42"/>
        <v>59850</v>
      </c>
      <c r="H942">
        <v>100</v>
      </c>
      <c r="I942">
        <f t="shared" si="43"/>
        <v>39900</v>
      </c>
      <c r="J942">
        <f t="shared" si="44"/>
        <v>19950</v>
      </c>
      <c r="K942" t="s">
        <v>24</v>
      </c>
      <c r="L942" t="s">
        <v>25</v>
      </c>
      <c r="M942" t="s">
        <v>26</v>
      </c>
      <c r="N942" t="s">
        <v>43</v>
      </c>
      <c r="O942">
        <v>896</v>
      </c>
      <c r="P942">
        <v>399</v>
      </c>
      <c r="Q942" t="s">
        <v>77</v>
      </c>
      <c r="R942" t="s">
        <v>78</v>
      </c>
      <c r="S942" t="s">
        <v>79</v>
      </c>
      <c r="T942">
        <v>2020</v>
      </c>
      <c r="U942" t="s">
        <v>47</v>
      </c>
    </row>
    <row r="943" spans="1:21" x14ac:dyDescent="0.35">
      <c r="A943" s="1">
        <v>45533</v>
      </c>
      <c r="B943" t="s">
        <v>80</v>
      </c>
      <c r="C943" t="s">
        <v>81</v>
      </c>
      <c r="D943" t="s">
        <v>82</v>
      </c>
      <c r="E943">
        <v>92</v>
      </c>
      <c r="F943">
        <v>2.5</v>
      </c>
      <c r="G943">
        <f t="shared" si="42"/>
        <v>230</v>
      </c>
      <c r="H943">
        <v>1.5</v>
      </c>
      <c r="I943">
        <f t="shared" si="43"/>
        <v>138</v>
      </c>
      <c r="J943">
        <f t="shared" si="44"/>
        <v>92</v>
      </c>
      <c r="K943" t="s">
        <v>42</v>
      </c>
      <c r="L943" t="s">
        <v>63</v>
      </c>
      <c r="M943" t="s">
        <v>26</v>
      </c>
      <c r="N943" t="s">
        <v>43</v>
      </c>
      <c r="O943">
        <v>671</v>
      </c>
      <c r="P943">
        <v>92</v>
      </c>
      <c r="Q943" t="s">
        <v>44</v>
      </c>
      <c r="R943" t="s">
        <v>45</v>
      </c>
      <c r="S943" t="s">
        <v>46</v>
      </c>
      <c r="T943">
        <v>2022</v>
      </c>
      <c r="U943" t="s">
        <v>57</v>
      </c>
    </row>
    <row r="944" spans="1:21" x14ac:dyDescent="0.35">
      <c r="A944" s="1">
        <v>45534</v>
      </c>
      <c r="B944" t="s">
        <v>32</v>
      </c>
      <c r="C944" t="s">
        <v>33</v>
      </c>
      <c r="D944" t="s">
        <v>34</v>
      </c>
      <c r="E944">
        <v>493</v>
      </c>
      <c r="F944">
        <v>20</v>
      </c>
      <c r="G944">
        <f t="shared" si="42"/>
        <v>9860</v>
      </c>
      <c r="H944">
        <v>12</v>
      </c>
      <c r="I944">
        <f t="shared" si="43"/>
        <v>5916</v>
      </c>
      <c r="J944">
        <f t="shared" si="44"/>
        <v>3944</v>
      </c>
      <c r="K944" t="s">
        <v>24</v>
      </c>
      <c r="L944" t="s">
        <v>73</v>
      </c>
      <c r="M944" t="s">
        <v>61</v>
      </c>
      <c r="N944" t="s">
        <v>27</v>
      </c>
      <c r="O944">
        <v>710</v>
      </c>
      <c r="P944">
        <v>493</v>
      </c>
      <c r="Q944" t="s">
        <v>51</v>
      </c>
      <c r="R944" t="s">
        <v>45</v>
      </c>
      <c r="S944" t="s">
        <v>52</v>
      </c>
      <c r="T944">
        <v>2024</v>
      </c>
      <c r="U944" t="s">
        <v>97</v>
      </c>
    </row>
    <row r="945" spans="1:21" x14ac:dyDescent="0.35">
      <c r="A945" s="1">
        <v>45535</v>
      </c>
      <c r="B945" t="s">
        <v>80</v>
      </c>
      <c r="C945" t="s">
        <v>81</v>
      </c>
      <c r="D945" t="s">
        <v>82</v>
      </c>
      <c r="E945">
        <v>360</v>
      </c>
      <c r="F945">
        <v>2.5</v>
      </c>
      <c r="G945">
        <f t="shared" si="42"/>
        <v>900</v>
      </c>
      <c r="H945">
        <v>1.5</v>
      </c>
      <c r="I945">
        <f t="shared" si="43"/>
        <v>540</v>
      </c>
      <c r="J945">
        <f t="shared" si="44"/>
        <v>360</v>
      </c>
      <c r="K945" t="s">
        <v>24</v>
      </c>
      <c r="L945" t="s">
        <v>63</v>
      </c>
      <c r="M945" t="s">
        <v>37</v>
      </c>
      <c r="N945" t="s">
        <v>27</v>
      </c>
      <c r="O945">
        <v>659</v>
      </c>
      <c r="P945">
        <v>360</v>
      </c>
      <c r="Q945" t="s">
        <v>90</v>
      </c>
      <c r="R945" t="s">
        <v>55</v>
      </c>
      <c r="S945" t="s">
        <v>85</v>
      </c>
      <c r="T945">
        <v>2022</v>
      </c>
      <c r="U945" t="s">
        <v>91</v>
      </c>
    </row>
    <row r="946" spans="1:21" x14ac:dyDescent="0.35">
      <c r="A946" s="1">
        <v>45536</v>
      </c>
      <c r="B946" t="s">
        <v>32</v>
      </c>
      <c r="C946" t="s">
        <v>33</v>
      </c>
      <c r="D946" t="s">
        <v>34</v>
      </c>
      <c r="E946">
        <v>92</v>
      </c>
      <c r="F946">
        <v>20</v>
      </c>
      <c r="G946">
        <f t="shared" si="42"/>
        <v>1840</v>
      </c>
      <c r="H946">
        <v>12</v>
      </c>
      <c r="I946">
        <f t="shared" si="43"/>
        <v>1104</v>
      </c>
      <c r="J946">
        <f t="shared" si="44"/>
        <v>736</v>
      </c>
      <c r="K946" t="s">
        <v>42</v>
      </c>
      <c r="L946" t="s">
        <v>63</v>
      </c>
      <c r="M946" t="s">
        <v>61</v>
      </c>
      <c r="N946" t="s">
        <v>38</v>
      </c>
      <c r="O946">
        <v>742</v>
      </c>
      <c r="P946">
        <v>92</v>
      </c>
      <c r="Q946" t="s">
        <v>51</v>
      </c>
      <c r="R946" t="s">
        <v>45</v>
      </c>
      <c r="S946" t="s">
        <v>52</v>
      </c>
      <c r="T946">
        <v>2023</v>
      </c>
      <c r="U946" t="s">
        <v>66</v>
      </c>
    </row>
    <row r="947" spans="1:21" x14ac:dyDescent="0.35">
      <c r="A947" s="1">
        <v>45537</v>
      </c>
      <c r="B947" t="s">
        <v>32</v>
      </c>
      <c r="C947" t="s">
        <v>33</v>
      </c>
      <c r="D947" t="s">
        <v>34</v>
      </c>
      <c r="E947">
        <v>244</v>
      </c>
      <c r="F947">
        <v>20</v>
      </c>
      <c r="G947">
        <f t="shared" si="42"/>
        <v>4880</v>
      </c>
      <c r="H947">
        <v>12</v>
      </c>
      <c r="I947">
        <f t="shared" si="43"/>
        <v>2928</v>
      </c>
      <c r="J947">
        <f t="shared" si="44"/>
        <v>1952</v>
      </c>
      <c r="K947" t="s">
        <v>24</v>
      </c>
      <c r="L947" t="s">
        <v>25</v>
      </c>
      <c r="M947" t="s">
        <v>26</v>
      </c>
      <c r="N947" t="s">
        <v>43</v>
      </c>
      <c r="O947">
        <v>878</v>
      </c>
      <c r="P947">
        <v>244</v>
      </c>
      <c r="Q947" t="s">
        <v>74</v>
      </c>
      <c r="R947" t="s">
        <v>75</v>
      </c>
      <c r="S947" t="s">
        <v>76</v>
      </c>
      <c r="T947">
        <v>2024</v>
      </c>
      <c r="U947" t="s">
        <v>91</v>
      </c>
    </row>
    <row r="948" spans="1:21" x14ac:dyDescent="0.35">
      <c r="A948" s="1">
        <v>45538</v>
      </c>
      <c r="B948" t="s">
        <v>58</v>
      </c>
      <c r="C948" t="s">
        <v>59</v>
      </c>
      <c r="D948" t="s">
        <v>60</v>
      </c>
      <c r="E948">
        <v>222</v>
      </c>
      <c r="F948">
        <v>5</v>
      </c>
      <c r="G948">
        <f t="shared" si="42"/>
        <v>1110</v>
      </c>
      <c r="H948">
        <v>3</v>
      </c>
      <c r="I948">
        <f t="shared" si="43"/>
        <v>666</v>
      </c>
      <c r="J948">
        <f t="shared" si="44"/>
        <v>444</v>
      </c>
      <c r="K948" t="s">
        <v>24</v>
      </c>
      <c r="L948" t="s">
        <v>36</v>
      </c>
      <c r="M948" t="s">
        <v>26</v>
      </c>
      <c r="N948" t="s">
        <v>43</v>
      </c>
      <c r="O948">
        <v>953</v>
      </c>
      <c r="P948">
        <v>222</v>
      </c>
      <c r="Q948" t="s">
        <v>39</v>
      </c>
      <c r="R948" t="s">
        <v>40</v>
      </c>
      <c r="S948" t="s">
        <v>41</v>
      </c>
      <c r="T948">
        <v>2023</v>
      </c>
      <c r="U948" t="s">
        <v>53</v>
      </c>
    </row>
    <row r="949" spans="1:21" x14ac:dyDescent="0.35">
      <c r="A949" s="1">
        <v>45539</v>
      </c>
      <c r="B949" t="s">
        <v>80</v>
      </c>
      <c r="C949" t="s">
        <v>81</v>
      </c>
      <c r="D949" t="s">
        <v>82</v>
      </c>
      <c r="E949">
        <v>489</v>
      </c>
      <c r="F949">
        <v>2.5</v>
      </c>
      <c r="G949">
        <f t="shared" si="42"/>
        <v>1222.5</v>
      </c>
      <c r="H949">
        <v>1.5</v>
      </c>
      <c r="I949">
        <f t="shared" si="43"/>
        <v>733.5</v>
      </c>
      <c r="J949">
        <f t="shared" si="44"/>
        <v>489</v>
      </c>
      <c r="K949" t="s">
        <v>24</v>
      </c>
      <c r="L949" t="s">
        <v>63</v>
      </c>
      <c r="M949" t="s">
        <v>26</v>
      </c>
      <c r="N949" t="s">
        <v>38</v>
      </c>
      <c r="O949">
        <v>736</v>
      </c>
      <c r="P949">
        <v>489</v>
      </c>
      <c r="Q949" t="s">
        <v>51</v>
      </c>
      <c r="R949" t="s">
        <v>45</v>
      </c>
      <c r="S949" t="s">
        <v>52</v>
      </c>
      <c r="T949">
        <v>2024</v>
      </c>
      <c r="U949" t="s">
        <v>86</v>
      </c>
    </row>
    <row r="950" spans="1:21" x14ac:dyDescent="0.35">
      <c r="A950" s="1">
        <v>45540</v>
      </c>
      <c r="B950" t="s">
        <v>80</v>
      </c>
      <c r="C950" t="s">
        <v>81</v>
      </c>
      <c r="D950" t="s">
        <v>82</v>
      </c>
      <c r="E950">
        <v>197</v>
      </c>
      <c r="F950">
        <v>2.5</v>
      </c>
      <c r="G950">
        <f t="shared" si="42"/>
        <v>492.5</v>
      </c>
      <c r="H950">
        <v>1.5</v>
      </c>
      <c r="I950">
        <f t="shared" si="43"/>
        <v>295.5</v>
      </c>
      <c r="J950">
        <f t="shared" si="44"/>
        <v>197</v>
      </c>
      <c r="K950" t="s">
        <v>35</v>
      </c>
      <c r="L950" t="s">
        <v>36</v>
      </c>
      <c r="M950" t="s">
        <v>61</v>
      </c>
      <c r="N950" t="s">
        <v>38</v>
      </c>
      <c r="O950">
        <v>770</v>
      </c>
      <c r="P950">
        <v>197</v>
      </c>
      <c r="Q950" t="s">
        <v>90</v>
      </c>
      <c r="R950" t="s">
        <v>55</v>
      </c>
      <c r="S950" t="s">
        <v>85</v>
      </c>
      <c r="T950">
        <v>2023</v>
      </c>
      <c r="U950" t="s">
        <v>97</v>
      </c>
    </row>
    <row r="951" spans="1:21" x14ac:dyDescent="0.35">
      <c r="A951" s="1">
        <v>45541</v>
      </c>
      <c r="B951" t="s">
        <v>80</v>
      </c>
      <c r="C951" t="s">
        <v>81</v>
      </c>
      <c r="D951" t="s">
        <v>82</v>
      </c>
      <c r="E951">
        <v>313</v>
      </c>
      <c r="F951">
        <v>2.5</v>
      </c>
      <c r="G951">
        <f t="shared" si="42"/>
        <v>782.5</v>
      </c>
      <c r="H951">
        <v>1.5</v>
      </c>
      <c r="I951">
        <f t="shared" si="43"/>
        <v>469.5</v>
      </c>
      <c r="J951">
        <f t="shared" si="44"/>
        <v>313</v>
      </c>
      <c r="K951" t="s">
        <v>24</v>
      </c>
      <c r="L951" t="s">
        <v>36</v>
      </c>
      <c r="M951" t="s">
        <v>26</v>
      </c>
      <c r="N951" t="s">
        <v>27</v>
      </c>
      <c r="O951">
        <v>569</v>
      </c>
      <c r="P951">
        <v>313</v>
      </c>
      <c r="Q951" t="s">
        <v>64</v>
      </c>
      <c r="R951" t="s">
        <v>29</v>
      </c>
      <c r="S951" t="s">
        <v>65</v>
      </c>
      <c r="T951">
        <v>2021</v>
      </c>
      <c r="U951" t="s">
        <v>91</v>
      </c>
    </row>
    <row r="952" spans="1:21" x14ac:dyDescent="0.35">
      <c r="A952" s="1">
        <v>45542</v>
      </c>
      <c r="B952" t="s">
        <v>98</v>
      </c>
      <c r="C952" t="s">
        <v>99</v>
      </c>
      <c r="D952" t="s">
        <v>100</v>
      </c>
      <c r="E952">
        <v>452</v>
      </c>
      <c r="F952">
        <v>6</v>
      </c>
      <c r="G952">
        <f t="shared" si="42"/>
        <v>2712</v>
      </c>
      <c r="H952">
        <v>4</v>
      </c>
      <c r="I952">
        <f t="shared" si="43"/>
        <v>1808</v>
      </c>
      <c r="J952">
        <f t="shared" si="44"/>
        <v>904</v>
      </c>
      <c r="K952" t="s">
        <v>42</v>
      </c>
      <c r="L952" t="s">
        <v>73</v>
      </c>
      <c r="M952" t="s">
        <v>26</v>
      </c>
      <c r="N952" t="s">
        <v>38</v>
      </c>
      <c r="O952">
        <v>916</v>
      </c>
      <c r="P952">
        <v>452</v>
      </c>
      <c r="Q952" t="s">
        <v>87</v>
      </c>
      <c r="R952" t="s">
        <v>88</v>
      </c>
      <c r="S952" t="s">
        <v>89</v>
      </c>
      <c r="T952">
        <v>2023</v>
      </c>
      <c r="U952" t="s">
        <v>47</v>
      </c>
    </row>
    <row r="953" spans="1:21" x14ac:dyDescent="0.35">
      <c r="A953" s="1">
        <v>45543</v>
      </c>
      <c r="B953" t="s">
        <v>21</v>
      </c>
      <c r="C953" t="s">
        <v>22</v>
      </c>
      <c r="D953" t="s">
        <v>23</v>
      </c>
      <c r="E953">
        <v>332</v>
      </c>
      <c r="F953">
        <v>8</v>
      </c>
      <c r="G953">
        <f t="shared" si="42"/>
        <v>2656</v>
      </c>
      <c r="H953">
        <v>5</v>
      </c>
      <c r="I953">
        <f t="shared" si="43"/>
        <v>1660</v>
      </c>
      <c r="J953">
        <f t="shared" si="44"/>
        <v>996</v>
      </c>
      <c r="K953" t="s">
        <v>35</v>
      </c>
      <c r="L953" t="s">
        <v>25</v>
      </c>
      <c r="M953" t="s">
        <v>61</v>
      </c>
      <c r="N953" t="s">
        <v>43</v>
      </c>
      <c r="O953">
        <v>527</v>
      </c>
      <c r="P953">
        <v>332</v>
      </c>
      <c r="Q953" t="s">
        <v>67</v>
      </c>
      <c r="R953" t="s">
        <v>68</v>
      </c>
      <c r="S953" t="s">
        <v>69</v>
      </c>
      <c r="T953">
        <v>2024</v>
      </c>
      <c r="U953" t="s">
        <v>105</v>
      </c>
    </row>
    <row r="954" spans="1:21" x14ac:dyDescent="0.35">
      <c r="A954" s="1">
        <v>45544</v>
      </c>
      <c r="B954" t="s">
        <v>98</v>
      </c>
      <c r="C954" t="s">
        <v>99</v>
      </c>
      <c r="D954" t="s">
        <v>100</v>
      </c>
      <c r="E954">
        <v>458</v>
      </c>
      <c r="F954">
        <v>6</v>
      </c>
      <c r="G954">
        <f t="shared" si="42"/>
        <v>2748</v>
      </c>
      <c r="H954">
        <v>4</v>
      </c>
      <c r="I954">
        <f t="shared" si="43"/>
        <v>1832</v>
      </c>
      <c r="J954">
        <f t="shared" si="44"/>
        <v>916</v>
      </c>
      <c r="K954" t="s">
        <v>42</v>
      </c>
      <c r="L954" t="s">
        <v>36</v>
      </c>
      <c r="M954" t="s">
        <v>37</v>
      </c>
      <c r="N954" t="s">
        <v>27</v>
      </c>
      <c r="O954">
        <v>675</v>
      </c>
      <c r="P954">
        <v>458</v>
      </c>
      <c r="Q954" t="s">
        <v>74</v>
      </c>
      <c r="R954" t="s">
        <v>75</v>
      </c>
      <c r="S954" t="s">
        <v>76</v>
      </c>
      <c r="T954">
        <v>2024</v>
      </c>
      <c r="U954" t="s">
        <v>31</v>
      </c>
    </row>
    <row r="955" spans="1:21" x14ac:dyDescent="0.35">
      <c r="A955" s="1">
        <v>45545</v>
      </c>
      <c r="B955" t="s">
        <v>98</v>
      </c>
      <c r="C955" t="s">
        <v>99</v>
      </c>
      <c r="D955" t="s">
        <v>100</v>
      </c>
      <c r="E955">
        <v>60</v>
      </c>
      <c r="F955">
        <v>6</v>
      </c>
      <c r="G955">
        <f t="shared" si="42"/>
        <v>360</v>
      </c>
      <c r="H955">
        <v>4</v>
      </c>
      <c r="I955">
        <f t="shared" si="43"/>
        <v>240</v>
      </c>
      <c r="J955">
        <f t="shared" si="44"/>
        <v>120</v>
      </c>
      <c r="K955" t="s">
        <v>35</v>
      </c>
      <c r="L955" t="s">
        <v>63</v>
      </c>
      <c r="M955" t="s">
        <v>61</v>
      </c>
      <c r="N955" t="s">
        <v>43</v>
      </c>
      <c r="O955">
        <v>671</v>
      </c>
      <c r="P955">
        <v>60</v>
      </c>
      <c r="Q955" t="s">
        <v>74</v>
      </c>
      <c r="R955" t="s">
        <v>75</v>
      </c>
      <c r="S955" t="s">
        <v>76</v>
      </c>
      <c r="T955">
        <v>2020</v>
      </c>
      <c r="U955" t="s">
        <v>62</v>
      </c>
    </row>
    <row r="956" spans="1:21" x14ac:dyDescent="0.35">
      <c r="A956" s="1">
        <v>45546</v>
      </c>
      <c r="B956" t="s">
        <v>98</v>
      </c>
      <c r="C956" t="s">
        <v>99</v>
      </c>
      <c r="D956" t="s">
        <v>100</v>
      </c>
      <c r="E956">
        <v>370</v>
      </c>
      <c r="F956">
        <v>6</v>
      </c>
      <c r="G956">
        <f t="shared" si="42"/>
        <v>2220</v>
      </c>
      <c r="H956">
        <v>4</v>
      </c>
      <c r="I956">
        <f t="shared" si="43"/>
        <v>1480</v>
      </c>
      <c r="J956">
        <f t="shared" si="44"/>
        <v>740</v>
      </c>
      <c r="K956" t="s">
        <v>42</v>
      </c>
      <c r="L956" t="s">
        <v>63</v>
      </c>
      <c r="M956" t="s">
        <v>37</v>
      </c>
      <c r="N956" t="s">
        <v>43</v>
      </c>
      <c r="O956">
        <v>869</v>
      </c>
      <c r="P956">
        <v>370</v>
      </c>
      <c r="Q956" t="s">
        <v>28</v>
      </c>
      <c r="R956" t="s">
        <v>29</v>
      </c>
      <c r="S956" t="s">
        <v>30</v>
      </c>
      <c r="T956">
        <v>2024</v>
      </c>
      <c r="U956" t="s">
        <v>109</v>
      </c>
    </row>
    <row r="957" spans="1:21" x14ac:dyDescent="0.35">
      <c r="A957" s="1">
        <v>45547</v>
      </c>
      <c r="B957" t="s">
        <v>58</v>
      </c>
      <c r="C957" t="s">
        <v>59</v>
      </c>
      <c r="D957" t="s">
        <v>60</v>
      </c>
      <c r="E957">
        <v>251</v>
      </c>
      <c r="F957">
        <v>5</v>
      </c>
      <c r="G957">
        <f t="shared" si="42"/>
        <v>1255</v>
      </c>
      <c r="H957">
        <v>3</v>
      </c>
      <c r="I957">
        <f t="shared" si="43"/>
        <v>753</v>
      </c>
      <c r="J957">
        <f t="shared" si="44"/>
        <v>502</v>
      </c>
      <c r="K957" t="s">
        <v>42</v>
      </c>
      <c r="L957" t="s">
        <v>63</v>
      </c>
      <c r="M957" t="s">
        <v>61</v>
      </c>
      <c r="N957" t="s">
        <v>27</v>
      </c>
      <c r="O957">
        <v>747</v>
      </c>
      <c r="P957">
        <v>251</v>
      </c>
      <c r="Q957" t="s">
        <v>70</v>
      </c>
      <c r="R957" t="s">
        <v>71</v>
      </c>
      <c r="S957" t="s">
        <v>72</v>
      </c>
      <c r="T957">
        <v>2021</v>
      </c>
      <c r="U957" t="s">
        <v>96</v>
      </c>
    </row>
    <row r="958" spans="1:21" x14ac:dyDescent="0.35">
      <c r="A958" s="1">
        <v>45548</v>
      </c>
      <c r="B958" t="s">
        <v>98</v>
      </c>
      <c r="C958" t="s">
        <v>99</v>
      </c>
      <c r="D958" t="s">
        <v>100</v>
      </c>
      <c r="E958">
        <v>265</v>
      </c>
      <c r="F958">
        <v>6</v>
      </c>
      <c r="G958">
        <f t="shared" si="42"/>
        <v>1590</v>
      </c>
      <c r="H958">
        <v>4</v>
      </c>
      <c r="I958">
        <f t="shared" si="43"/>
        <v>1060</v>
      </c>
      <c r="J958">
        <f t="shared" si="44"/>
        <v>530</v>
      </c>
      <c r="K958" t="s">
        <v>42</v>
      </c>
      <c r="L958" t="s">
        <v>63</v>
      </c>
      <c r="M958" t="s">
        <v>37</v>
      </c>
      <c r="N958" t="s">
        <v>38</v>
      </c>
      <c r="O958">
        <v>592</v>
      </c>
      <c r="P958">
        <v>265</v>
      </c>
      <c r="Q958" t="s">
        <v>77</v>
      </c>
      <c r="R958" t="s">
        <v>78</v>
      </c>
      <c r="S958" t="s">
        <v>79</v>
      </c>
      <c r="T958">
        <v>2020</v>
      </c>
      <c r="U958" t="s">
        <v>62</v>
      </c>
    </row>
    <row r="959" spans="1:21" x14ac:dyDescent="0.35">
      <c r="A959" s="1">
        <v>45549</v>
      </c>
      <c r="B959" t="s">
        <v>98</v>
      </c>
      <c r="C959" t="s">
        <v>99</v>
      </c>
      <c r="D959" t="s">
        <v>100</v>
      </c>
      <c r="E959">
        <v>89</v>
      </c>
      <c r="F959">
        <v>6</v>
      </c>
      <c r="G959">
        <f t="shared" si="42"/>
        <v>534</v>
      </c>
      <c r="H959">
        <v>4</v>
      </c>
      <c r="I959">
        <f t="shared" si="43"/>
        <v>356</v>
      </c>
      <c r="J959">
        <f t="shared" si="44"/>
        <v>178</v>
      </c>
      <c r="K959" t="s">
        <v>24</v>
      </c>
      <c r="L959" t="s">
        <v>63</v>
      </c>
      <c r="M959" t="s">
        <v>26</v>
      </c>
      <c r="N959" t="s">
        <v>38</v>
      </c>
      <c r="O959">
        <v>813</v>
      </c>
      <c r="P959">
        <v>89</v>
      </c>
      <c r="Q959" t="s">
        <v>74</v>
      </c>
      <c r="R959" t="s">
        <v>75</v>
      </c>
      <c r="S959" t="s">
        <v>76</v>
      </c>
      <c r="T959">
        <v>2024</v>
      </c>
      <c r="U959" t="s">
        <v>57</v>
      </c>
    </row>
    <row r="960" spans="1:21" x14ac:dyDescent="0.35">
      <c r="A960" s="1">
        <v>45550</v>
      </c>
      <c r="B960" t="s">
        <v>98</v>
      </c>
      <c r="C960" t="s">
        <v>99</v>
      </c>
      <c r="D960" t="s">
        <v>100</v>
      </c>
      <c r="E960">
        <v>101</v>
      </c>
      <c r="F960">
        <v>6</v>
      </c>
      <c r="G960">
        <f t="shared" si="42"/>
        <v>606</v>
      </c>
      <c r="H960">
        <v>4</v>
      </c>
      <c r="I960">
        <f t="shared" si="43"/>
        <v>404</v>
      </c>
      <c r="J960">
        <f t="shared" si="44"/>
        <v>202</v>
      </c>
      <c r="K960" t="s">
        <v>42</v>
      </c>
      <c r="L960" t="s">
        <v>73</v>
      </c>
      <c r="M960" t="s">
        <v>61</v>
      </c>
      <c r="N960" t="s">
        <v>38</v>
      </c>
      <c r="O960">
        <v>975</v>
      </c>
      <c r="P960">
        <v>101</v>
      </c>
      <c r="Q960" t="s">
        <v>39</v>
      </c>
      <c r="R960" t="s">
        <v>40</v>
      </c>
      <c r="S960" t="s">
        <v>41</v>
      </c>
      <c r="T960">
        <v>2024</v>
      </c>
      <c r="U960" t="s">
        <v>96</v>
      </c>
    </row>
    <row r="961" spans="1:21" x14ac:dyDescent="0.35">
      <c r="A961" s="1">
        <v>45551</v>
      </c>
      <c r="B961" t="s">
        <v>48</v>
      </c>
      <c r="C961" t="s">
        <v>49</v>
      </c>
      <c r="D961" t="s">
        <v>50</v>
      </c>
      <c r="E961">
        <v>222</v>
      </c>
      <c r="F961">
        <v>150</v>
      </c>
      <c r="G961">
        <f t="shared" si="42"/>
        <v>33300</v>
      </c>
      <c r="H961">
        <v>100</v>
      </c>
      <c r="I961">
        <f t="shared" si="43"/>
        <v>22200</v>
      </c>
      <c r="J961">
        <f t="shared" si="44"/>
        <v>11100</v>
      </c>
      <c r="K961" t="s">
        <v>42</v>
      </c>
      <c r="L961" t="s">
        <v>36</v>
      </c>
      <c r="M961" t="s">
        <v>61</v>
      </c>
      <c r="N961" t="s">
        <v>43</v>
      </c>
      <c r="O961">
        <v>616</v>
      </c>
      <c r="P961">
        <v>222</v>
      </c>
      <c r="Q961" t="s">
        <v>92</v>
      </c>
      <c r="R961" t="s">
        <v>45</v>
      </c>
      <c r="S961" t="s">
        <v>93</v>
      </c>
      <c r="T961">
        <v>2024</v>
      </c>
      <c r="U961" t="s">
        <v>47</v>
      </c>
    </row>
    <row r="962" spans="1:21" x14ac:dyDescent="0.35">
      <c r="A962" s="1">
        <v>45552</v>
      </c>
      <c r="B962" t="s">
        <v>32</v>
      </c>
      <c r="C962" t="s">
        <v>33</v>
      </c>
      <c r="D962" t="s">
        <v>34</v>
      </c>
      <c r="E962">
        <v>442</v>
      </c>
      <c r="F962">
        <v>20</v>
      </c>
      <c r="G962">
        <f t="shared" si="42"/>
        <v>8840</v>
      </c>
      <c r="H962">
        <v>12</v>
      </c>
      <c r="I962">
        <f t="shared" si="43"/>
        <v>5304</v>
      </c>
      <c r="J962">
        <f t="shared" si="44"/>
        <v>3536</v>
      </c>
      <c r="K962" t="s">
        <v>42</v>
      </c>
      <c r="L962" t="s">
        <v>63</v>
      </c>
      <c r="M962" t="s">
        <v>37</v>
      </c>
      <c r="N962" t="s">
        <v>27</v>
      </c>
      <c r="O962">
        <v>761</v>
      </c>
      <c r="P962">
        <v>442</v>
      </c>
      <c r="Q962" t="s">
        <v>77</v>
      </c>
      <c r="R962" t="s">
        <v>78</v>
      </c>
      <c r="S962" t="s">
        <v>79</v>
      </c>
      <c r="T962">
        <v>2020</v>
      </c>
      <c r="U962" t="s">
        <v>105</v>
      </c>
    </row>
    <row r="963" spans="1:21" x14ac:dyDescent="0.35">
      <c r="A963" s="1">
        <v>45553</v>
      </c>
      <c r="B963" t="s">
        <v>98</v>
      </c>
      <c r="C963" t="s">
        <v>99</v>
      </c>
      <c r="D963" t="s">
        <v>100</v>
      </c>
      <c r="E963">
        <v>463</v>
      </c>
      <c r="F963">
        <v>6</v>
      </c>
      <c r="G963">
        <f t="shared" ref="G963:G1026" si="45">E963*F963</f>
        <v>2778</v>
      </c>
      <c r="H963">
        <v>4</v>
      </c>
      <c r="I963">
        <f t="shared" ref="I963:I1026" si="46">E963*H963</f>
        <v>1852</v>
      </c>
      <c r="J963">
        <f t="shared" ref="J963:J1026" si="47">G963-I963</f>
        <v>926</v>
      </c>
      <c r="K963" t="s">
        <v>35</v>
      </c>
      <c r="L963" t="s">
        <v>25</v>
      </c>
      <c r="M963" t="s">
        <v>37</v>
      </c>
      <c r="N963" t="s">
        <v>43</v>
      </c>
      <c r="O963">
        <v>802</v>
      </c>
      <c r="P963">
        <v>463</v>
      </c>
      <c r="Q963" t="s">
        <v>87</v>
      </c>
      <c r="R963" t="s">
        <v>88</v>
      </c>
      <c r="S963" t="s">
        <v>89</v>
      </c>
      <c r="T963">
        <v>2024</v>
      </c>
      <c r="U963" t="s">
        <v>105</v>
      </c>
    </row>
    <row r="964" spans="1:21" x14ac:dyDescent="0.35">
      <c r="A964" s="1">
        <v>45554</v>
      </c>
      <c r="B964" t="s">
        <v>58</v>
      </c>
      <c r="C964" t="s">
        <v>59</v>
      </c>
      <c r="D964" t="s">
        <v>60</v>
      </c>
      <c r="E964">
        <v>381</v>
      </c>
      <c r="F964">
        <v>5</v>
      </c>
      <c r="G964">
        <f t="shared" si="45"/>
        <v>1905</v>
      </c>
      <c r="H964">
        <v>3</v>
      </c>
      <c r="I964">
        <f t="shared" si="46"/>
        <v>1143</v>
      </c>
      <c r="J964">
        <f t="shared" si="47"/>
        <v>762</v>
      </c>
      <c r="K964" t="s">
        <v>35</v>
      </c>
      <c r="L964" t="s">
        <v>36</v>
      </c>
      <c r="M964" t="s">
        <v>37</v>
      </c>
      <c r="N964" t="s">
        <v>27</v>
      </c>
      <c r="O964">
        <v>549</v>
      </c>
      <c r="P964">
        <v>381</v>
      </c>
      <c r="Q964" t="s">
        <v>44</v>
      </c>
      <c r="R964" t="s">
        <v>45</v>
      </c>
      <c r="S964" t="s">
        <v>46</v>
      </c>
      <c r="T964">
        <v>2024</v>
      </c>
      <c r="U964" t="s">
        <v>53</v>
      </c>
    </row>
    <row r="965" spans="1:21" x14ac:dyDescent="0.35">
      <c r="A965" s="1">
        <v>45555</v>
      </c>
      <c r="B965" t="s">
        <v>21</v>
      </c>
      <c r="C965" t="s">
        <v>22</v>
      </c>
      <c r="D965" t="s">
        <v>23</v>
      </c>
      <c r="E965">
        <v>175</v>
      </c>
      <c r="F965">
        <v>8</v>
      </c>
      <c r="G965">
        <f t="shared" si="45"/>
        <v>1400</v>
      </c>
      <c r="H965">
        <v>5</v>
      </c>
      <c r="I965">
        <f t="shared" si="46"/>
        <v>875</v>
      </c>
      <c r="J965">
        <f t="shared" si="47"/>
        <v>525</v>
      </c>
      <c r="K965" t="s">
        <v>24</v>
      </c>
      <c r="L965" t="s">
        <v>63</v>
      </c>
      <c r="M965" t="s">
        <v>37</v>
      </c>
      <c r="N965" t="s">
        <v>27</v>
      </c>
      <c r="O965">
        <v>744</v>
      </c>
      <c r="P965">
        <v>175</v>
      </c>
      <c r="Q965" t="s">
        <v>83</v>
      </c>
      <c r="R965" t="s">
        <v>84</v>
      </c>
      <c r="S965" t="s">
        <v>85</v>
      </c>
      <c r="T965">
        <v>2021</v>
      </c>
      <c r="U965" t="s">
        <v>31</v>
      </c>
    </row>
    <row r="966" spans="1:21" x14ac:dyDescent="0.35">
      <c r="A966" s="1">
        <v>45556</v>
      </c>
      <c r="B966" t="s">
        <v>48</v>
      </c>
      <c r="C966" t="s">
        <v>49</v>
      </c>
      <c r="D966" t="s">
        <v>50</v>
      </c>
      <c r="E966">
        <v>489</v>
      </c>
      <c r="F966">
        <v>150</v>
      </c>
      <c r="G966">
        <f t="shared" si="45"/>
        <v>73350</v>
      </c>
      <c r="H966">
        <v>100</v>
      </c>
      <c r="I966">
        <f t="shared" si="46"/>
        <v>48900</v>
      </c>
      <c r="J966">
        <f t="shared" si="47"/>
        <v>24450</v>
      </c>
      <c r="K966" t="s">
        <v>35</v>
      </c>
      <c r="L966" t="s">
        <v>63</v>
      </c>
      <c r="M966" t="s">
        <v>37</v>
      </c>
      <c r="N966" t="s">
        <v>38</v>
      </c>
      <c r="O966">
        <v>869</v>
      </c>
      <c r="P966">
        <v>489</v>
      </c>
      <c r="Q966" t="s">
        <v>51</v>
      </c>
      <c r="R966" t="s">
        <v>45</v>
      </c>
      <c r="S966" t="s">
        <v>52</v>
      </c>
      <c r="T966">
        <v>2022</v>
      </c>
      <c r="U966" t="s">
        <v>96</v>
      </c>
    </row>
    <row r="967" spans="1:21" x14ac:dyDescent="0.35">
      <c r="A967" s="1">
        <v>45557</v>
      </c>
      <c r="B967" t="s">
        <v>98</v>
      </c>
      <c r="C967" t="s">
        <v>99</v>
      </c>
      <c r="D967" t="s">
        <v>100</v>
      </c>
      <c r="E967">
        <v>375</v>
      </c>
      <c r="F967">
        <v>6</v>
      </c>
      <c r="G967">
        <f t="shared" si="45"/>
        <v>2250</v>
      </c>
      <c r="H967">
        <v>4</v>
      </c>
      <c r="I967">
        <f t="shared" si="46"/>
        <v>1500</v>
      </c>
      <c r="J967">
        <f t="shared" si="47"/>
        <v>750</v>
      </c>
      <c r="K967" t="s">
        <v>24</v>
      </c>
      <c r="L967" t="s">
        <v>36</v>
      </c>
      <c r="M967" t="s">
        <v>37</v>
      </c>
      <c r="N967" t="s">
        <v>38</v>
      </c>
      <c r="O967">
        <v>760</v>
      </c>
      <c r="P967">
        <v>375</v>
      </c>
      <c r="Q967" t="s">
        <v>113</v>
      </c>
      <c r="R967" t="s">
        <v>114</v>
      </c>
      <c r="S967" t="s">
        <v>115</v>
      </c>
      <c r="T967">
        <v>2022</v>
      </c>
      <c r="U967" t="s">
        <v>91</v>
      </c>
    </row>
    <row r="968" spans="1:21" x14ac:dyDescent="0.35">
      <c r="A968" s="1">
        <v>45558</v>
      </c>
      <c r="B968" t="s">
        <v>21</v>
      </c>
      <c r="C968" t="s">
        <v>22</v>
      </c>
      <c r="D968" t="s">
        <v>23</v>
      </c>
      <c r="E968">
        <v>330</v>
      </c>
      <c r="F968">
        <v>8</v>
      </c>
      <c r="G968">
        <f t="shared" si="45"/>
        <v>2640</v>
      </c>
      <c r="H968">
        <v>5</v>
      </c>
      <c r="I968">
        <f t="shared" si="46"/>
        <v>1650</v>
      </c>
      <c r="J968">
        <f t="shared" si="47"/>
        <v>990</v>
      </c>
      <c r="K968" t="s">
        <v>35</v>
      </c>
      <c r="L968" t="s">
        <v>36</v>
      </c>
      <c r="M968" t="s">
        <v>26</v>
      </c>
      <c r="N968" t="s">
        <v>27</v>
      </c>
      <c r="O968">
        <v>876</v>
      </c>
      <c r="P968">
        <v>330</v>
      </c>
      <c r="Q968" t="s">
        <v>101</v>
      </c>
      <c r="R968" t="s">
        <v>101</v>
      </c>
      <c r="S968" t="s">
        <v>102</v>
      </c>
      <c r="T968">
        <v>2022</v>
      </c>
      <c r="U968" t="s">
        <v>62</v>
      </c>
    </row>
    <row r="969" spans="1:21" x14ac:dyDescent="0.35">
      <c r="A969" s="1">
        <v>45559</v>
      </c>
      <c r="B969" t="s">
        <v>21</v>
      </c>
      <c r="C969" t="s">
        <v>22</v>
      </c>
      <c r="D969" t="s">
        <v>23</v>
      </c>
      <c r="E969">
        <v>485</v>
      </c>
      <c r="F969">
        <v>8</v>
      </c>
      <c r="G969">
        <f t="shared" si="45"/>
        <v>3880</v>
      </c>
      <c r="H969">
        <v>5</v>
      </c>
      <c r="I969">
        <f t="shared" si="46"/>
        <v>2425</v>
      </c>
      <c r="J969">
        <f t="shared" si="47"/>
        <v>1455</v>
      </c>
      <c r="K969" t="s">
        <v>42</v>
      </c>
      <c r="L969" t="s">
        <v>73</v>
      </c>
      <c r="M969" t="s">
        <v>26</v>
      </c>
      <c r="N969" t="s">
        <v>27</v>
      </c>
      <c r="O969">
        <v>846</v>
      </c>
      <c r="P969">
        <v>485</v>
      </c>
      <c r="Q969" t="s">
        <v>39</v>
      </c>
      <c r="R969" t="s">
        <v>40</v>
      </c>
      <c r="S969" t="s">
        <v>41</v>
      </c>
      <c r="T969">
        <v>2024</v>
      </c>
      <c r="U969" t="s">
        <v>109</v>
      </c>
    </row>
    <row r="970" spans="1:21" x14ac:dyDescent="0.35">
      <c r="A970" s="1">
        <v>45560</v>
      </c>
      <c r="B970" t="s">
        <v>58</v>
      </c>
      <c r="C970" t="s">
        <v>59</v>
      </c>
      <c r="D970" t="s">
        <v>60</v>
      </c>
      <c r="E970">
        <v>481</v>
      </c>
      <c r="F970">
        <v>5</v>
      </c>
      <c r="G970">
        <f t="shared" si="45"/>
        <v>2405</v>
      </c>
      <c r="H970">
        <v>3</v>
      </c>
      <c r="I970">
        <f t="shared" si="46"/>
        <v>1443</v>
      </c>
      <c r="J970">
        <f t="shared" si="47"/>
        <v>962</v>
      </c>
      <c r="K970" t="s">
        <v>24</v>
      </c>
      <c r="L970" t="s">
        <v>25</v>
      </c>
      <c r="M970" t="s">
        <v>26</v>
      </c>
      <c r="N970" t="s">
        <v>27</v>
      </c>
      <c r="O970">
        <v>902</v>
      </c>
      <c r="P970">
        <v>481</v>
      </c>
      <c r="Q970" t="s">
        <v>64</v>
      </c>
      <c r="R970" t="s">
        <v>29</v>
      </c>
      <c r="S970" t="s">
        <v>65</v>
      </c>
      <c r="T970">
        <v>2023</v>
      </c>
      <c r="U970" t="s">
        <v>66</v>
      </c>
    </row>
    <row r="971" spans="1:21" x14ac:dyDescent="0.35">
      <c r="A971" s="1">
        <v>45561</v>
      </c>
      <c r="B971" t="s">
        <v>21</v>
      </c>
      <c r="C971" t="s">
        <v>22</v>
      </c>
      <c r="D971" t="s">
        <v>23</v>
      </c>
      <c r="E971">
        <v>329</v>
      </c>
      <c r="F971">
        <v>8</v>
      </c>
      <c r="G971">
        <f t="shared" si="45"/>
        <v>2632</v>
      </c>
      <c r="H971">
        <v>5</v>
      </c>
      <c r="I971">
        <f t="shared" si="46"/>
        <v>1645</v>
      </c>
      <c r="J971">
        <f t="shared" si="47"/>
        <v>987</v>
      </c>
      <c r="K971" t="s">
        <v>35</v>
      </c>
      <c r="L971" t="s">
        <v>73</v>
      </c>
      <c r="M971" t="s">
        <v>61</v>
      </c>
      <c r="N971" t="s">
        <v>27</v>
      </c>
      <c r="O971">
        <v>929</v>
      </c>
      <c r="P971">
        <v>329</v>
      </c>
      <c r="Q971" t="s">
        <v>44</v>
      </c>
      <c r="R971" t="s">
        <v>45</v>
      </c>
      <c r="S971" t="s">
        <v>46</v>
      </c>
      <c r="T971">
        <v>2023</v>
      </c>
      <c r="U971" t="s">
        <v>57</v>
      </c>
    </row>
    <row r="972" spans="1:21" x14ac:dyDescent="0.35">
      <c r="A972" s="1">
        <v>45562</v>
      </c>
      <c r="B972" t="s">
        <v>80</v>
      </c>
      <c r="C972" t="s">
        <v>81</v>
      </c>
      <c r="D972" t="s">
        <v>82</v>
      </c>
      <c r="E972">
        <v>26</v>
      </c>
      <c r="F972">
        <v>2.5</v>
      </c>
      <c r="G972">
        <f t="shared" si="45"/>
        <v>65</v>
      </c>
      <c r="H972">
        <v>1.5</v>
      </c>
      <c r="I972">
        <f t="shared" si="46"/>
        <v>39</v>
      </c>
      <c r="J972">
        <f t="shared" si="47"/>
        <v>26</v>
      </c>
      <c r="K972" t="s">
        <v>35</v>
      </c>
      <c r="L972" t="s">
        <v>36</v>
      </c>
      <c r="M972" t="s">
        <v>61</v>
      </c>
      <c r="N972" t="s">
        <v>38</v>
      </c>
      <c r="O972">
        <v>753</v>
      </c>
      <c r="P972">
        <v>26</v>
      </c>
      <c r="Q972" t="s">
        <v>67</v>
      </c>
      <c r="R972" t="s">
        <v>68</v>
      </c>
      <c r="S972" t="s">
        <v>69</v>
      </c>
      <c r="T972">
        <v>2022</v>
      </c>
      <c r="U972" t="s">
        <v>91</v>
      </c>
    </row>
    <row r="973" spans="1:21" x14ac:dyDescent="0.35">
      <c r="A973" s="1">
        <v>45563</v>
      </c>
      <c r="B973" t="s">
        <v>21</v>
      </c>
      <c r="C973" t="s">
        <v>22</v>
      </c>
      <c r="D973" t="s">
        <v>23</v>
      </c>
      <c r="E973">
        <v>199</v>
      </c>
      <c r="F973">
        <v>8</v>
      </c>
      <c r="G973">
        <f t="shared" si="45"/>
        <v>1592</v>
      </c>
      <c r="H973">
        <v>5</v>
      </c>
      <c r="I973">
        <f t="shared" si="46"/>
        <v>995</v>
      </c>
      <c r="J973">
        <f t="shared" si="47"/>
        <v>597</v>
      </c>
      <c r="K973" t="s">
        <v>24</v>
      </c>
      <c r="L973" t="s">
        <v>36</v>
      </c>
      <c r="M973" t="s">
        <v>61</v>
      </c>
      <c r="N973" t="s">
        <v>38</v>
      </c>
      <c r="O973">
        <v>905</v>
      </c>
      <c r="P973">
        <v>199</v>
      </c>
      <c r="Q973" t="s">
        <v>74</v>
      </c>
      <c r="R973" t="s">
        <v>75</v>
      </c>
      <c r="S973" t="s">
        <v>76</v>
      </c>
      <c r="T973">
        <v>2022</v>
      </c>
      <c r="U973" t="s">
        <v>57</v>
      </c>
    </row>
    <row r="974" spans="1:21" x14ac:dyDescent="0.35">
      <c r="A974" s="1">
        <v>45564</v>
      </c>
      <c r="B974" t="s">
        <v>32</v>
      </c>
      <c r="C974" t="s">
        <v>33</v>
      </c>
      <c r="D974" t="s">
        <v>34</v>
      </c>
      <c r="E974">
        <v>388</v>
      </c>
      <c r="F974">
        <v>20</v>
      </c>
      <c r="G974">
        <f t="shared" si="45"/>
        <v>7760</v>
      </c>
      <c r="H974">
        <v>12</v>
      </c>
      <c r="I974">
        <f t="shared" si="46"/>
        <v>4656</v>
      </c>
      <c r="J974">
        <f t="shared" si="47"/>
        <v>3104</v>
      </c>
      <c r="K974" t="s">
        <v>24</v>
      </c>
      <c r="L974" t="s">
        <v>36</v>
      </c>
      <c r="M974" t="s">
        <v>37</v>
      </c>
      <c r="N974" t="s">
        <v>27</v>
      </c>
      <c r="O974">
        <v>862</v>
      </c>
      <c r="P974">
        <v>388</v>
      </c>
      <c r="Q974" t="s">
        <v>110</v>
      </c>
      <c r="R974" t="s">
        <v>111</v>
      </c>
      <c r="S974" t="s">
        <v>112</v>
      </c>
      <c r="T974">
        <v>2020</v>
      </c>
      <c r="U974" t="s">
        <v>105</v>
      </c>
    </row>
    <row r="975" spans="1:21" x14ac:dyDescent="0.35">
      <c r="A975" s="1">
        <v>45565</v>
      </c>
      <c r="B975" t="s">
        <v>48</v>
      </c>
      <c r="C975" t="s">
        <v>49</v>
      </c>
      <c r="D975" t="s">
        <v>50</v>
      </c>
      <c r="E975">
        <v>288</v>
      </c>
      <c r="F975">
        <v>150</v>
      </c>
      <c r="G975">
        <f t="shared" si="45"/>
        <v>43200</v>
      </c>
      <c r="H975">
        <v>100</v>
      </c>
      <c r="I975">
        <f t="shared" si="46"/>
        <v>28800</v>
      </c>
      <c r="J975">
        <f t="shared" si="47"/>
        <v>14400</v>
      </c>
      <c r="K975" t="s">
        <v>35</v>
      </c>
      <c r="L975" t="s">
        <v>25</v>
      </c>
      <c r="M975" t="s">
        <v>26</v>
      </c>
      <c r="N975" t="s">
        <v>43</v>
      </c>
      <c r="O975">
        <v>720</v>
      </c>
      <c r="P975">
        <v>288</v>
      </c>
      <c r="Q975" t="s">
        <v>87</v>
      </c>
      <c r="R975" t="s">
        <v>88</v>
      </c>
      <c r="S975" t="s">
        <v>89</v>
      </c>
      <c r="T975">
        <v>2020</v>
      </c>
      <c r="U975" t="s">
        <v>66</v>
      </c>
    </row>
    <row r="976" spans="1:21" x14ac:dyDescent="0.35">
      <c r="A976" s="1">
        <v>45566</v>
      </c>
      <c r="B976" t="s">
        <v>58</v>
      </c>
      <c r="C976" t="s">
        <v>59</v>
      </c>
      <c r="D976" t="s">
        <v>60</v>
      </c>
      <c r="E976">
        <v>383</v>
      </c>
      <c r="F976">
        <v>5</v>
      </c>
      <c r="G976">
        <f t="shared" si="45"/>
        <v>1915</v>
      </c>
      <c r="H976">
        <v>3</v>
      </c>
      <c r="I976">
        <f t="shared" si="46"/>
        <v>1149</v>
      </c>
      <c r="J976">
        <f t="shared" si="47"/>
        <v>766</v>
      </c>
      <c r="K976" t="s">
        <v>42</v>
      </c>
      <c r="L976" t="s">
        <v>73</v>
      </c>
      <c r="M976" t="s">
        <v>26</v>
      </c>
      <c r="N976" t="s">
        <v>27</v>
      </c>
      <c r="O976">
        <v>993</v>
      </c>
      <c r="P976">
        <v>383</v>
      </c>
      <c r="Q976" t="s">
        <v>110</v>
      </c>
      <c r="R976" t="s">
        <v>111</v>
      </c>
      <c r="S976" t="s">
        <v>112</v>
      </c>
      <c r="T976">
        <v>2023</v>
      </c>
      <c r="U976" t="s">
        <v>31</v>
      </c>
    </row>
    <row r="977" spans="1:21" x14ac:dyDescent="0.35">
      <c r="A977" s="1">
        <v>45567</v>
      </c>
      <c r="B977" t="s">
        <v>48</v>
      </c>
      <c r="C977" t="s">
        <v>49</v>
      </c>
      <c r="D977" t="s">
        <v>50</v>
      </c>
      <c r="E977">
        <v>254</v>
      </c>
      <c r="F977">
        <v>150</v>
      </c>
      <c r="G977">
        <f t="shared" si="45"/>
        <v>38100</v>
      </c>
      <c r="H977">
        <v>100</v>
      </c>
      <c r="I977">
        <f t="shared" si="46"/>
        <v>25400</v>
      </c>
      <c r="J977">
        <f t="shared" si="47"/>
        <v>12700</v>
      </c>
      <c r="K977" t="s">
        <v>24</v>
      </c>
      <c r="L977" t="s">
        <v>63</v>
      </c>
      <c r="M977" t="s">
        <v>26</v>
      </c>
      <c r="N977" t="s">
        <v>43</v>
      </c>
      <c r="O977">
        <v>685</v>
      </c>
      <c r="P977">
        <v>254</v>
      </c>
      <c r="Q977" t="s">
        <v>64</v>
      </c>
      <c r="R977" t="s">
        <v>29</v>
      </c>
      <c r="S977" t="s">
        <v>65</v>
      </c>
      <c r="T977">
        <v>2023</v>
      </c>
      <c r="U977" t="s">
        <v>62</v>
      </c>
    </row>
    <row r="978" spans="1:21" x14ac:dyDescent="0.35">
      <c r="A978" s="1">
        <v>45568</v>
      </c>
      <c r="B978" t="s">
        <v>80</v>
      </c>
      <c r="C978" t="s">
        <v>81</v>
      </c>
      <c r="D978" t="s">
        <v>82</v>
      </c>
      <c r="E978">
        <v>147</v>
      </c>
      <c r="F978">
        <v>2.5</v>
      </c>
      <c r="G978">
        <f t="shared" si="45"/>
        <v>367.5</v>
      </c>
      <c r="H978">
        <v>1.5</v>
      </c>
      <c r="I978">
        <f t="shared" si="46"/>
        <v>220.5</v>
      </c>
      <c r="J978">
        <f t="shared" si="47"/>
        <v>147</v>
      </c>
      <c r="K978" t="s">
        <v>24</v>
      </c>
      <c r="L978" t="s">
        <v>36</v>
      </c>
      <c r="M978" t="s">
        <v>26</v>
      </c>
      <c r="N978" t="s">
        <v>43</v>
      </c>
      <c r="O978">
        <v>527</v>
      </c>
      <c r="P978">
        <v>147</v>
      </c>
      <c r="Q978" t="s">
        <v>103</v>
      </c>
      <c r="R978" t="s">
        <v>68</v>
      </c>
      <c r="S978" t="s">
        <v>104</v>
      </c>
      <c r="T978">
        <v>2021</v>
      </c>
      <c r="U978" t="s">
        <v>31</v>
      </c>
    </row>
    <row r="979" spans="1:21" x14ac:dyDescent="0.35">
      <c r="A979" s="1">
        <v>45569</v>
      </c>
      <c r="B979" t="s">
        <v>58</v>
      </c>
      <c r="C979" t="s">
        <v>59</v>
      </c>
      <c r="D979" t="s">
        <v>60</v>
      </c>
      <c r="E979">
        <v>496</v>
      </c>
      <c r="F979">
        <v>5</v>
      </c>
      <c r="G979">
        <f t="shared" si="45"/>
        <v>2480</v>
      </c>
      <c r="H979">
        <v>3</v>
      </c>
      <c r="I979">
        <f t="shared" si="46"/>
        <v>1488</v>
      </c>
      <c r="J979">
        <f t="shared" si="47"/>
        <v>992</v>
      </c>
      <c r="K979" t="s">
        <v>42</v>
      </c>
      <c r="L979" t="s">
        <v>25</v>
      </c>
      <c r="M979" t="s">
        <v>26</v>
      </c>
      <c r="N979" t="s">
        <v>27</v>
      </c>
      <c r="O979">
        <v>578</v>
      </c>
      <c r="P979">
        <v>496</v>
      </c>
      <c r="Q979" t="s">
        <v>103</v>
      </c>
      <c r="R979" t="s">
        <v>68</v>
      </c>
      <c r="S979" t="s">
        <v>104</v>
      </c>
      <c r="T979">
        <v>2022</v>
      </c>
      <c r="U979" t="s">
        <v>96</v>
      </c>
    </row>
    <row r="980" spans="1:21" x14ac:dyDescent="0.35">
      <c r="A980" s="1">
        <v>45570</v>
      </c>
      <c r="B980" t="s">
        <v>21</v>
      </c>
      <c r="C980" t="s">
        <v>22</v>
      </c>
      <c r="D980" t="s">
        <v>23</v>
      </c>
      <c r="E980">
        <v>367</v>
      </c>
      <c r="F980">
        <v>8</v>
      </c>
      <c r="G980">
        <f t="shared" si="45"/>
        <v>2936</v>
      </c>
      <c r="H980">
        <v>5</v>
      </c>
      <c r="I980">
        <f t="shared" si="46"/>
        <v>1835</v>
      </c>
      <c r="J980">
        <f t="shared" si="47"/>
        <v>1101</v>
      </c>
      <c r="K980" t="s">
        <v>24</v>
      </c>
      <c r="L980" t="s">
        <v>63</v>
      </c>
      <c r="M980" t="s">
        <v>61</v>
      </c>
      <c r="N980" t="s">
        <v>43</v>
      </c>
      <c r="O980">
        <v>826</v>
      </c>
      <c r="P980">
        <v>367</v>
      </c>
      <c r="Q980" t="s">
        <v>87</v>
      </c>
      <c r="R980" t="s">
        <v>88</v>
      </c>
      <c r="S980" t="s">
        <v>89</v>
      </c>
      <c r="T980">
        <v>2022</v>
      </c>
      <c r="U980" t="s">
        <v>96</v>
      </c>
    </row>
    <row r="981" spans="1:21" x14ac:dyDescent="0.35">
      <c r="A981" s="1">
        <v>45571</v>
      </c>
      <c r="B981" t="s">
        <v>32</v>
      </c>
      <c r="C981" t="s">
        <v>33</v>
      </c>
      <c r="D981" t="s">
        <v>34</v>
      </c>
      <c r="E981">
        <v>15</v>
      </c>
      <c r="F981">
        <v>20</v>
      </c>
      <c r="G981">
        <f t="shared" si="45"/>
        <v>300</v>
      </c>
      <c r="H981">
        <v>12</v>
      </c>
      <c r="I981">
        <f t="shared" si="46"/>
        <v>180</v>
      </c>
      <c r="J981">
        <f t="shared" si="47"/>
        <v>120</v>
      </c>
      <c r="K981" t="s">
        <v>35</v>
      </c>
      <c r="L981" t="s">
        <v>73</v>
      </c>
      <c r="M981" t="s">
        <v>61</v>
      </c>
      <c r="N981" t="s">
        <v>43</v>
      </c>
      <c r="O981">
        <v>615</v>
      </c>
      <c r="P981">
        <v>15</v>
      </c>
      <c r="Q981" t="s">
        <v>92</v>
      </c>
      <c r="R981" t="s">
        <v>45</v>
      </c>
      <c r="S981" t="s">
        <v>93</v>
      </c>
      <c r="T981">
        <v>2020</v>
      </c>
      <c r="U981" t="s">
        <v>105</v>
      </c>
    </row>
    <row r="982" spans="1:21" x14ac:dyDescent="0.35">
      <c r="A982" s="1">
        <v>45572</v>
      </c>
      <c r="B982" t="s">
        <v>48</v>
      </c>
      <c r="C982" t="s">
        <v>49</v>
      </c>
      <c r="D982" t="s">
        <v>50</v>
      </c>
      <c r="E982">
        <v>262</v>
      </c>
      <c r="F982">
        <v>150</v>
      </c>
      <c r="G982">
        <f t="shared" si="45"/>
        <v>39300</v>
      </c>
      <c r="H982">
        <v>100</v>
      </c>
      <c r="I982">
        <f t="shared" si="46"/>
        <v>26200</v>
      </c>
      <c r="J982">
        <f t="shared" si="47"/>
        <v>13100</v>
      </c>
      <c r="K982" t="s">
        <v>24</v>
      </c>
      <c r="L982" t="s">
        <v>63</v>
      </c>
      <c r="M982" t="s">
        <v>61</v>
      </c>
      <c r="N982" t="s">
        <v>38</v>
      </c>
      <c r="O982">
        <v>912</v>
      </c>
      <c r="P982">
        <v>262</v>
      </c>
      <c r="Q982" t="s">
        <v>101</v>
      </c>
      <c r="R982" t="s">
        <v>101</v>
      </c>
      <c r="S982" t="s">
        <v>102</v>
      </c>
      <c r="T982">
        <v>2020</v>
      </c>
      <c r="U982" t="s">
        <v>86</v>
      </c>
    </row>
    <row r="983" spans="1:21" x14ac:dyDescent="0.35">
      <c r="A983" s="1">
        <v>45573</v>
      </c>
      <c r="B983" t="s">
        <v>48</v>
      </c>
      <c r="C983" t="s">
        <v>49</v>
      </c>
      <c r="D983" t="s">
        <v>50</v>
      </c>
      <c r="E983">
        <v>102</v>
      </c>
      <c r="F983">
        <v>150</v>
      </c>
      <c r="G983">
        <f t="shared" si="45"/>
        <v>15300</v>
      </c>
      <c r="H983">
        <v>100</v>
      </c>
      <c r="I983">
        <f t="shared" si="46"/>
        <v>10200</v>
      </c>
      <c r="J983">
        <f t="shared" si="47"/>
        <v>5100</v>
      </c>
      <c r="K983" t="s">
        <v>35</v>
      </c>
      <c r="L983" t="s">
        <v>73</v>
      </c>
      <c r="M983" t="s">
        <v>61</v>
      </c>
      <c r="N983" t="s">
        <v>38</v>
      </c>
      <c r="O983">
        <v>851</v>
      </c>
      <c r="P983">
        <v>102</v>
      </c>
      <c r="Q983" t="s">
        <v>77</v>
      </c>
      <c r="R983" t="s">
        <v>78</v>
      </c>
      <c r="S983" t="s">
        <v>79</v>
      </c>
      <c r="T983">
        <v>2024</v>
      </c>
      <c r="U983" t="s">
        <v>86</v>
      </c>
    </row>
    <row r="984" spans="1:21" x14ac:dyDescent="0.35">
      <c r="A984" s="1">
        <v>45574</v>
      </c>
      <c r="B984" t="s">
        <v>58</v>
      </c>
      <c r="C984" t="s">
        <v>59</v>
      </c>
      <c r="D984" t="s">
        <v>60</v>
      </c>
      <c r="E984">
        <v>252</v>
      </c>
      <c r="F984">
        <v>5</v>
      </c>
      <c r="G984">
        <f t="shared" si="45"/>
        <v>1260</v>
      </c>
      <c r="H984">
        <v>3</v>
      </c>
      <c r="I984">
        <f t="shared" si="46"/>
        <v>756</v>
      </c>
      <c r="J984">
        <f t="shared" si="47"/>
        <v>504</v>
      </c>
      <c r="K984" t="s">
        <v>24</v>
      </c>
      <c r="L984" t="s">
        <v>73</v>
      </c>
      <c r="M984" t="s">
        <v>37</v>
      </c>
      <c r="N984" t="s">
        <v>38</v>
      </c>
      <c r="O984">
        <v>544</v>
      </c>
      <c r="P984">
        <v>252</v>
      </c>
      <c r="Q984" t="s">
        <v>103</v>
      </c>
      <c r="R984" t="s">
        <v>68</v>
      </c>
      <c r="S984" t="s">
        <v>104</v>
      </c>
      <c r="T984">
        <v>2022</v>
      </c>
      <c r="U984" t="s">
        <v>57</v>
      </c>
    </row>
    <row r="985" spans="1:21" x14ac:dyDescent="0.35">
      <c r="A985" s="1">
        <v>45575</v>
      </c>
      <c r="B985" t="s">
        <v>48</v>
      </c>
      <c r="C985" t="s">
        <v>49</v>
      </c>
      <c r="D985" t="s">
        <v>50</v>
      </c>
      <c r="E985">
        <v>27</v>
      </c>
      <c r="F985">
        <v>150</v>
      </c>
      <c r="G985">
        <f t="shared" si="45"/>
        <v>4050</v>
      </c>
      <c r="H985">
        <v>100</v>
      </c>
      <c r="I985">
        <f t="shared" si="46"/>
        <v>2700</v>
      </c>
      <c r="J985">
        <f t="shared" si="47"/>
        <v>1350</v>
      </c>
      <c r="K985" t="s">
        <v>42</v>
      </c>
      <c r="L985" t="s">
        <v>25</v>
      </c>
      <c r="M985" t="s">
        <v>26</v>
      </c>
      <c r="N985" t="s">
        <v>27</v>
      </c>
      <c r="O985">
        <v>845</v>
      </c>
      <c r="P985">
        <v>27</v>
      </c>
      <c r="Q985" t="s">
        <v>110</v>
      </c>
      <c r="R985" t="s">
        <v>111</v>
      </c>
      <c r="S985" t="s">
        <v>112</v>
      </c>
      <c r="T985">
        <v>2024</v>
      </c>
      <c r="U985" t="s">
        <v>96</v>
      </c>
    </row>
    <row r="986" spans="1:21" x14ac:dyDescent="0.35">
      <c r="A986" s="1">
        <v>45576</v>
      </c>
      <c r="B986" t="s">
        <v>98</v>
      </c>
      <c r="C986" t="s">
        <v>99</v>
      </c>
      <c r="D986" t="s">
        <v>100</v>
      </c>
      <c r="E986">
        <v>483</v>
      </c>
      <c r="F986">
        <v>6</v>
      </c>
      <c r="G986">
        <f t="shared" si="45"/>
        <v>2898</v>
      </c>
      <c r="H986">
        <v>4</v>
      </c>
      <c r="I986">
        <f t="shared" si="46"/>
        <v>1932</v>
      </c>
      <c r="J986">
        <f t="shared" si="47"/>
        <v>966</v>
      </c>
      <c r="K986" t="s">
        <v>35</v>
      </c>
      <c r="L986" t="s">
        <v>36</v>
      </c>
      <c r="M986" t="s">
        <v>61</v>
      </c>
      <c r="N986" t="s">
        <v>43</v>
      </c>
      <c r="O986">
        <v>644</v>
      </c>
      <c r="P986">
        <v>483</v>
      </c>
      <c r="Q986" t="s">
        <v>70</v>
      </c>
      <c r="R986" t="s">
        <v>71</v>
      </c>
      <c r="S986" t="s">
        <v>72</v>
      </c>
      <c r="T986">
        <v>2024</v>
      </c>
      <c r="U986" t="s">
        <v>53</v>
      </c>
    </row>
    <row r="987" spans="1:21" x14ac:dyDescent="0.35">
      <c r="A987" s="1">
        <v>45577</v>
      </c>
      <c r="B987" t="s">
        <v>48</v>
      </c>
      <c r="C987" t="s">
        <v>49</v>
      </c>
      <c r="D987" t="s">
        <v>50</v>
      </c>
      <c r="E987">
        <v>41</v>
      </c>
      <c r="F987">
        <v>150</v>
      </c>
      <c r="G987">
        <f t="shared" si="45"/>
        <v>6150</v>
      </c>
      <c r="H987">
        <v>100</v>
      </c>
      <c r="I987">
        <f t="shared" si="46"/>
        <v>4100</v>
      </c>
      <c r="J987">
        <f t="shared" si="47"/>
        <v>2050</v>
      </c>
      <c r="K987" t="s">
        <v>42</v>
      </c>
      <c r="L987" t="s">
        <v>36</v>
      </c>
      <c r="M987" t="s">
        <v>61</v>
      </c>
      <c r="N987" t="s">
        <v>43</v>
      </c>
      <c r="O987">
        <v>820</v>
      </c>
      <c r="P987">
        <v>41</v>
      </c>
      <c r="Q987" t="s">
        <v>110</v>
      </c>
      <c r="R987" t="s">
        <v>111</v>
      </c>
      <c r="S987" t="s">
        <v>112</v>
      </c>
      <c r="T987">
        <v>2021</v>
      </c>
      <c r="U987" t="s">
        <v>53</v>
      </c>
    </row>
    <row r="988" spans="1:21" x14ac:dyDescent="0.35">
      <c r="A988" s="1">
        <v>45578</v>
      </c>
      <c r="B988" t="s">
        <v>21</v>
      </c>
      <c r="C988" t="s">
        <v>22</v>
      </c>
      <c r="D988" t="s">
        <v>23</v>
      </c>
      <c r="E988">
        <v>259</v>
      </c>
      <c r="F988">
        <v>8</v>
      </c>
      <c r="G988">
        <f t="shared" si="45"/>
        <v>2072</v>
      </c>
      <c r="H988">
        <v>5</v>
      </c>
      <c r="I988">
        <f t="shared" si="46"/>
        <v>1295</v>
      </c>
      <c r="J988">
        <f t="shared" si="47"/>
        <v>777</v>
      </c>
      <c r="K988" t="s">
        <v>42</v>
      </c>
      <c r="L988" t="s">
        <v>73</v>
      </c>
      <c r="M988" t="s">
        <v>61</v>
      </c>
      <c r="N988" t="s">
        <v>27</v>
      </c>
      <c r="O988">
        <v>762</v>
      </c>
      <c r="P988">
        <v>259</v>
      </c>
      <c r="Q988" t="s">
        <v>106</v>
      </c>
      <c r="R988" t="s">
        <v>107</v>
      </c>
      <c r="S988" t="s">
        <v>108</v>
      </c>
      <c r="T988">
        <v>2021</v>
      </c>
      <c r="U988" t="s">
        <v>105</v>
      </c>
    </row>
    <row r="989" spans="1:21" x14ac:dyDescent="0.35">
      <c r="A989" s="1">
        <v>45579</v>
      </c>
      <c r="B989" t="s">
        <v>32</v>
      </c>
      <c r="C989" t="s">
        <v>33</v>
      </c>
      <c r="D989" t="s">
        <v>34</v>
      </c>
      <c r="E989">
        <v>79</v>
      </c>
      <c r="F989">
        <v>20</v>
      </c>
      <c r="G989">
        <f t="shared" si="45"/>
        <v>1580</v>
      </c>
      <c r="H989">
        <v>12</v>
      </c>
      <c r="I989">
        <f t="shared" si="46"/>
        <v>948</v>
      </c>
      <c r="J989">
        <f t="shared" si="47"/>
        <v>632</v>
      </c>
      <c r="K989" t="s">
        <v>42</v>
      </c>
      <c r="L989" t="s">
        <v>73</v>
      </c>
      <c r="M989" t="s">
        <v>37</v>
      </c>
      <c r="N989" t="s">
        <v>43</v>
      </c>
      <c r="O989">
        <v>590</v>
      </c>
      <c r="P989">
        <v>79</v>
      </c>
      <c r="Q989" t="s">
        <v>101</v>
      </c>
      <c r="R989" t="s">
        <v>101</v>
      </c>
      <c r="S989" t="s">
        <v>102</v>
      </c>
      <c r="T989">
        <v>2023</v>
      </c>
      <c r="U989" t="s">
        <v>47</v>
      </c>
    </row>
    <row r="990" spans="1:21" x14ac:dyDescent="0.35">
      <c r="A990" s="1">
        <v>45580</v>
      </c>
      <c r="B990" t="s">
        <v>58</v>
      </c>
      <c r="C990" t="s">
        <v>59</v>
      </c>
      <c r="D990" t="s">
        <v>60</v>
      </c>
      <c r="E990">
        <v>140</v>
      </c>
      <c r="F990">
        <v>5</v>
      </c>
      <c r="G990">
        <f t="shared" si="45"/>
        <v>700</v>
      </c>
      <c r="H990">
        <v>3</v>
      </c>
      <c r="I990">
        <f t="shared" si="46"/>
        <v>420</v>
      </c>
      <c r="J990">
        <f t="shared" si="47"/>
        <v>280</v>
      </c>
      <c r="K990" t="s">
        <v>24</v>
      </c>
      <c r="L990" t="s">
        <v>36</v>
      </c>
      <c r="M990" t="s">
        <v>26</v>
      </c>
      <c r="N990" t="s">
        <v>38</v>
      </c>
      <c r="O990">
        <v>837</v>
      </c>
      <c r="P990">
        <v>140</v>
      </c>
      <c r="Q990" t="s">
        <v>106</v>
      </c>
      <c r="R990" t="s">
        <v>107</v>
      </c>
      <c r="S990" t="s">
        <v>108</v>
      </c>
      <c r="T990">
        <v>2021</v>
      </c>
      <c r="U990" t="s">
        <v>62</v>
      </c>
    </row>
    <row r="991" spans="1:21" x14ac:dyDescent="0.35">
      <c r="A991" s="1">
        <v>45581</v>
      </c>
      <c r="B991" t="s">
        <v>80</v>
      </c>
      <c r="C991" t="s">
        <v>81</v>
      </c>
      <c r="D991" t="s">
        <v>82</v>
      </c>
      <c r="E991">
        <v>481</v>
      </c>
      <c r="F991">
        <v>2.5</v>
      </c>
      <c r="G991">
        <f t="shared" si="45"/>
        <v>1202.5</v>
      </c>
      <c r="H991">
        <v>1.5</v>
      </c>
      <c r="I991">
        <f t="shared" si="46"/>
        <v>721.5</v>
      </c>
      <c r="J991">
        <f t="shared" si="47"/>
        <v>481</v>
      </c>
      <c r="K991" t="s">
        <v>42</v>
      </c>
      <c r="L991" t="s">
        <v>63</v>
      </c>
      <c r="M991" t="s">
        <v>26</v>
      </c>
      <c r="N991" t="s">
        <v>38</v>
      </c>
      <c r="O991">
        <v>935</v>
      </c>
      <c r="P991">
        <v>481</v>
      </c>
      <c r="Q991" t="s">
        <v>103</v>
      </c>
      <c r="R991" t="s">
        <v>68</v>
      </c>
      <c r="S991" t="s">
        <v>104</v>
      </c>
      <c r="T991">
        <v>2021</v>
      </c>
      <c r="U991" t="s">
        <v>66</v>
      </c>
    </row>
    <row r="992" spans="1:21" x14ac:dyDescent="0.35">
      <c r="A992" s="1">
        <v>45582</v>
      </c>
      <c r="B992" t="s">
        <v>80</v>
      </c>
      <c r="C992" t="s">
        <v>81</v>
      </c>
      <c r="D992" t="s">
        <v>82</v>
      </c>
      <c r="E992">
        <v>126</v>
      </c>
      <c r="F992">
        <v>2.5</v>
      </c>
      <c r="G992">
        <f t="shared" si="45"/>
        <v>315</v>
      </c>
      <c r="H992">
        <v>1.5</v>
      </c>
      <c r="I992">
        <f t="shared" si="46"/>
        <v>189</v>
      </c>
      <c r="J992">
        <f t="shared" si="47"/>
        <v>126</v>
      </c>
      <c r="K992" t="s">
        <v>24</v>
      </c>
      <c r="L992" t="s">
        <v>73</v>
      </c>
      <c r="M992" t="s">
        <v>26</v>
      </c>
      <c r="N992" t="s">
        <v>38</v>
      </c>
      <c r="O992">
        <v>981</v>
      </c>
      <c r="P992">
        <v>126</v>
      </c>
      <c r="Q992" t="s">
        <v>110</v>
      </c>
      <c r="R992" t="s">
        <v>111</v>
      </c>
      <c r="S992" t="s">
        <v>112</v>
      </c>
      <c r="T992">
        <v>2022</v>
      </c>
      <c r="U992" t="s">
        <v>105</v>
      </c>
    </row>
    <row r="993" spans="1:21" x14ac:dyDescent="0.35">
      <c r="A993" s="1">
        <v>45583</v>
      </c>
      <c r="B993" t="s">
        <v>21</v>
      </c>
      <c r="C993" t="s">
        <v>22</v>
      </c>
      <c r="D993" t="s">
        <v>23</v>
      </c>
      <c r="E993">
        <v>194</v>
      </c>
      <c r="F993">
        <v>8</v>
      </c>
      <c r="G993">
        <f t="shared" si="45"/>
        <v>1552</v>
      </c>
      <c r="H993">
        <v>5</v>
      </c>
      <c r="I993">
        <f t="shared" si="46"/>
        <v>970</v>
      </c>
      <c r="J993">
        <f t="shared" si="47"/>
        <v>582</v>
      </c>
      <c r="K993" t="s">
        <v>24</v>
      </c>
      <c r="L993" t="s">
        <v>36</v>
      </c>
      <c r="M993" t="s">
        <v>26</v>
      </c>
      <c r="N993" t="s">
        <v>27</v>
      </c>
      <c r="O993">
        <v>690</v>
      </c>
      <c r="P993">
        <v>194</v>
      </c>
      <c r="Q993" t="s">
        <v>28</v>
      </c>
      <c r="R993" t="s">
        <v>29</v>
      </c>
      <c r="S993" t="s">
        <v>30</v>
      </c>
      <c r="T993">
        <v>2023</v>
      </c>
      <c r="U993" t="s">
        <v>57</v>
      </c>
    </row>
    <row r="994" spans="1:21" x14ac:dyDescent="0.35">
      <c r="A994" s="1">
        <v>45584</v>
      </c>
      <c r="B994" t="s">
        <v>32</v>
      </c>
      <c r="C994" t="s">
        <v>33</v>
      </c>
      <c r="D994" t="s">
        <v>34</v>
      </c>
      <c r="E994">
        <v>489</v>
      </c>
      <c r="F994">
        <v>20</v>
      </c>
      <c r="G994">
        <f t="shared" si="45"/>
        <v>9780</v>
      </c>
      <c r="H994">
        <v>12</v>
      </c>
      <c r="I994">
        <f t="shared" si="46"/>
        <v>5868</v>
      </c>
      <c r="J994">
        <f t="shared" si="47"/>
        <v>3912</v>
      </c>
      <c r="K994" t="s">
        <v>24</v>
      </c>
      <c r="L994" t="s">
        <v>73</v>
      </c>
      <c r="M994" t="s">
        <v>26</v>
      </c>
      <c r="N994" t="s">
        <v>27</v>
      </c>
      <c r="O994">
        <v>873</v>
      </c>
      <c r="P994">
        <v>489</v>
      </c>
      <c r="Q994" t="s">
        <v>87</v>
      </c>
      <c r="R994" t="s">
        <v>88</v>
      </c>
      <c r="S994" t="s">
        <v>89</v>
      </c>
      <c r="T994">
        <v>2020</v>
      </c>
      <c r="U994" t="s">
        <v>109</v>
      </c>
    </row>
    <row r="995" spans="1:21" x14ac:dyDescent="0.35">
      <c r="A995" s="1">
        <v>45585</v>
      </c>
      <c r="B995" t="s">
        <v>32</v>
      </c>
      <c r="C995" t="s">
        <v>33</v>
      </c>
      <c r="D995" t="s">
        <v>34</v>
      </c>
      <c r="E995">
        <v>15</v>
      </c>
      <c r="F995">
        <v>20</v>
      </c>
      <c r="G995">
        <f t="shared" si="45"/>
        <v>300</v>
      </c>
      <c r="H995">
        <v>12</v>
      </c>
      <c r="I995">
        <f t="shared" si="46"/>
        <v>180</v>
      </c>
      <c r="J995">
        <f t="shared" si="47"/>
        <v>120</v>
      </c>
      <c r="K995" t="s">
        <v>24</v>
      </c>
      <c r="L995" t="s">
        <v>36</v>
      </c>
      <c r="M995" t="s">
        <v>37</v>
      </c>
      <c r="N995" t="s">
        <v>27</v>
      </c>
      <c r="O995">
        <v>749</v>
      </c>
      <c r="P995">
        <v>15</v>
      </c>
      <c r="Q995" t="s">
        <v>92</v>
      </c>
      <c r="R995" t="s">
        <v>45</v>
      </c>
      <c r="S995" t="s">
        <v>93</v>
      </c>
      <c r="T995">
        <v>2023</v>
      </c>
      <c r="U995" t="s">
        <v>47</v>
      </c>
    </row>
    <row r="996" spans="1:21" x14ac:dyDescent="0.35">
      <c r="A996" s="1">
        <v>45586</v>
      </c>
      <c r="B996" t="s">
        <v>48</v>
      </c>
      <c r="C996" t="s">
        <v>49</v>
      </c>
      <c r="D996" t="s">
        <v>50</v>
      </c>
      <c r="E996">
        <v>499</v>
      </c>
      <c r="F996">
        <v>150</v>
      </c>
      <c r="G996">
        <f t="shared" si="45"/>
        <v>74850</v>
      </c>
      <c r="H996">
        <v>100</v>
      </c>
      <c r="I996">
        <f t="shared" si="46"/>
        <v>49900</v>
      </c>
      <c r="J996">
        <f t="shared" si="47"/>
        <v>24950</v>
      </c>
      <c r="K996" t="s">
        <v>42</v>
      </c>
      <c r="L996" t="s">
        <v>36</v>
      </c>
      <c r="M996" t="s">
        <v>37</v>
      </c>
      <c r="N996" t="s">
        <v>27</v>
      </c>
      <c r="O996">
        <v>952</v>
      </c>
      <c r="P996">
        <v>499</v>
      </c>
      <c r="Q996" t="s">
        <v>70</v>
      </c>
      <c r="R996" t="s">
        <v>71</v>
      </c>
      <c r="S996" t="s">
        <v>72</v>
      </c>
      <c r="T996">
        <v>2022</v>
      </c>
      <c r="U996" t="s">
        <v>86</v>
      </c>
    </row>
    <row r="997" spans="1:21" x14ac:dyDescent="0.35">
      <c r="A997" s="1">
        <v>45587</v>
      </c>
      <c r="B997" t="s">
        <v>21</v>
      </c>
      <c r="C997" t="s">
        <v>22</v>
      </c>
      <c r="D997" t="s">
        <v>23</v>
      </c>
      <c r="E997">
        <v>485</v>
      </c>
      <c r="F997">
        <v>8</v>
      </c>
      <c r="G997">
        <f t="shared" si="45"/>
        <v>3880</v>
      </c>
      <c r="H997">
        <v>5</v>
      </c>
      <c r="I997">
        <f t="shared" si="46"/>
        <v>2425</v>
      </c>
      <c r="J997">
        <f t="shared" si="47"/>
        <v>1455</v>
      </c>
      <c r="K997" t="s">
        <v>35</v>
      </c>
      <c r="L997" t="s">
        <v>36</v>
      </c>
      <c r="M997" t="s">
        <v>26</v>
      </c>
      <c r="N997" t="s">
        <v>38</v>
      </c>
      <c r="O997">
        <v>830</v>
      </c>
      <c r="P997">
        <v>485</v>
      </c>
      <c r="Q997" t="s">
        <v>83</v>
      </c>
      <c r="R997" t="s">
        <v>84</v>
      </c>
      <c r="S997" t="s">
        <v>85</v>
      </c>
      <c r="T997">
        <v>2021</v>
      </c>
      <c r="U997" t="s">
        <v>62</v>
      </c>
    </row>
    <row r="998" spans="1:21" x14ac:dyDescent="0.35">
      <c r="A998" s="1">
        <v>45588</v>
      </c>
      <c r="B998" t="s">
        <v>21</v>
      </c>
      <c r="C998" t="s">
        <v>22</v>
      </c>
      <c r="D998" t="s">
        <v>23</v>
      </c>
      <c r="E998">
        <v>196</v>
      </c>
      <c r="F998">
        <v>8</v>
      </c>
      <c r="G998">
        <f t="shared" si="45"/>
        <v>1568</v>
      </c>
      <c r="H998">
        <v>5</v>
      </c>
      <c r="I998">
        <f t="shared" si="46"/>
        <v>980</v>
      </c>
      <c r="J998">
        <f t="shared" si="47"/>
        <v>588</v>
      </c>
      <c r="K998" t="s">
        <v>24</v>
      </c>
      <c r="L998" t="s">
        <v>25</v>
      </c>
      <c r="M998" t="s">
        <v>61</v>
      </c>
      <c r="N998" t="s">
        <v>38</v>
      </c>
      <c r="O998">
        <v>775</v>
      </c>
      <c r="P998">
        <v>196</v>
      </c>
      <c r="Q998" t="s">
        <v>83</v>
      </c>
      <c r="R998" t="s">
        <v>84</v>
      </c>
      <c r="S998" t="s">
        <v>85</v>
      </c>
      <c r="T998">
        <v>2020</v>
      </c>
      <c r="U998" t="s">
        <v>97</v>
      </c>
    </row>
    <row r="999" spans="1:21" x14ac:dyDescent="0.35">
      <c r="A999" s="1">
        <v>45589</v>
      </c>
      <c r="B999" t="s">
        <v>48</v>
      </c>
      <c r="C999" t="s">
        <v>49</v>
      </c>
      <c r="D999" t="s">
        <v>50</v>
      </c>
      <c r="E999">
        <v>224</v>
      </c>
      <c r="F999">
        <v>150</v>
      </c>
      <c r="G999">
        <f t="shared" si="45"/>
        <v>33600</v>
      </c>
      <c r="H999">
        <v>100</v>
      </c>
      <c r="I999">
        <f t="shared" si="46"/>
        <v>22400</v>
      </c>
      <c r="J999">
        <f t="shared" si="47"/>
        <v>11200</v>
      </c>
      <c r="K999" t="s">
        <v>35</v>
      </c>
      <c r="L999" t="s">
        <v>73</v>
      </c>
      <c r="M999" t="s">
        <v>37</v>
      </c>
      <c r="N999" t="s">
        <v>38</v>
      </c>
      <c r="O999">
        <v>841</v>
      </c>
      <c r="P999">
        <v>224</v>
      </c>
      <c r="Q999" t="s">
        <v>51</v>
      </c>
      <c r="R999" t="s">
        <v>45</v>
      </c>
      <c r="S999" t="s">
        <v>52</v>
      </c>
      <c r="T999">
        <v>2022</v>
      </c>
      <c r="U999" t="s">
        <v>31</v>
      </c>
    </row>
    <row r="1000" spans="1:21" x14ac:dyDescent="0.35">
      <c r="A1000" s="1">
        <v>45590</v>
      </c>
      <c r="B1000" t="s">
        <v>98</v>
      </c>
      <c r="C1000" t="s">
        <v>99</v>
      </c>
      <c r="D1000" t="s">
        <v>100</v>
      </c>
      <c r="E1000">
        <v>102</v>
      </c>
      <c r="F1000">
        <v>6</v>
      </c>
      <c r="G1000">
        <f t="shared" si="45"/>
        <v>612</v>
      </c>
      <c r="H1000">
        <v>4</v>
      </c>
      <c r="I1000">
        <f t="shared" si="46"/>
        <v>408</v>
      </c>
      <c r="J1000">
        <f t="shared" si="47"/>
        <v>204</v>
      </c>
      <c r="K1000" t="s">
        <v>24</v>
      </c>
      <c r="L1000" t="s">
        <v>73</v>
      </c>
      <c r="M1000" t="s">
        <v>26</v>
      </c>
      <c r="N1000" t="s">
        <v>27</v>
      </c>
      <c r="O1000">
        <v>673</v>
      </c>
      <c r="P1000">
        <v>102</v>
      </c>
      <c r="Q1000" t="s">
        <v>90</v>
      </c>
      <c r="R1000" t="s">
        <v>55</v>
      </c>
      <c r="S1000" t="s">
        <v>85</v>
      </c>
      <c r="T1000">
        <v>2024</v>
      </c>
      <c r="U1000" t="s">
        <v>96</v>
      </c>
    </row>
    <row r="1001" spans="1:21" x14ac:dyDescent="0.35">
      <c r="A1001" s="1">
        <v>45591</v>
      </c>
      <c r="B1001" t="s">
        <v>48</v>
      </c>
      <c r="C1001" t="s">
        <v>49</v>
      </c>
      <c r="D1001" t="s">
        <v>50</v>
      </c>
      <c r="E1001">
        <v>183</v>
      </c>
      <c r="F1001">
        <v>150</v>
      </c>
      <c r="G1001">
        <f t="shared" si="45"/>
        <v>27450</v>
      </c>
      <c r="H1001">
        <v>100</v>
      </c>
      <c r="I1001">
        <f t="shared" si="46"/>
        <v>18300</v>
      </c>
      <c r="J1001">
        <f t="shared" si="47"/>
        <v>9150</v>
      </c>
      <c r="K1001" t="s">
        <v>42</v>
      </c>
      <c r="L1001" t="s">
        <v>25</v>
      </c>
      <c r="M1001" t="s">
        <v>61</v>
      </c>
      <c r="N1001" t="s">
        <v>27</v>
      </c>
      <c r="O1001">
        <v>655</v>
      </c>
      <c r="P1001">
        <v>183</v>
      </c>
      <c r="Q1001" t="s">
        <v>113</v>
      </c>
      <c r="R1001" t="s">
        <v>114</v>
      </c>
      <c r="S1001" t="s">
        <v>115</v>
      </c>
      <c r="T1001">
        <v>2022</v>
      </c>
      <c r="U1001" t="s">
        <v>105</v>
      </c>
    </row>
    <row r="1002" spans="1:21" x14ac:dyDescent="0.35">
      <c r="A1002" s="1">
        <v>45592</v>
      </c>
      <c r="B1002" t="s">
        <v>58</v>
      </c>
      <c r="C1002" t="s">
        <v>59</v>
      </c>
      <c r="D1002" t="s">
        <v>60</v>
      </c>
      <c r="E1002">
        <v>139</v>
      </c>
      <c r="F1002">
        <v>5</v>
      </c>
      <c r="G1002">
        <f t="shared" si="45"/>
        <v>695</v>
      </c>
      <c r="H1002">
        <v>3</v>
      </c>
      <c r="I1002">
        <f t="shared" si="46"/>
        <v>417</v>
      </c>
      <c r="J1002">
        <f t="shared" si="47"/>
        <v>278</v>
      </c>
      <c r="K1002" t="s">
        <v>42</v>
      </c>
      <c r="L1002" t="s">
        <v>63</v>
      </c>
      <c r="M1002" t="s">
        <v>26</v>
      </c>
      <c r="N1002" t="s">
        <v>38</v>
      </c>
      <c r="O1002">
        <v>893</v>
      </c>
      <c r="P1002">
        <v>139</v>
      </c>
      <c r="Q1002" t="s">
        <v>110</v>
      </c>
      <c r="R1002" t="s">
        <v>111</v>
      </c>
      <c r="S1002" t="s">
        <v>112</v>
      </c>
      <c r="T1002">
        <v>2021</v>
      </c>
      <c r="U1002" t="s">
        <v>109</v>
      </c>
    </row>
    <row r="1003" spans="1:21" x14ac:dyDescent="0.35">
      <c r="A1003" s="1">
        <v>45593</v>
      </c>
      <c r="B1003" t="s">
        <v>80</v>
      </c>
      <c r="C1003" t="s">
        <v>81</v>
      </c>
      <c r="D1003" t="s">
        <v>82</v>
      </c>
      <c r="E1003">
        <v>134</v>
      </c>
      <c r="F1003">
        <v>2.5</v>
      </c>
      <c r="G1003">
        <f t="shared" si="45"/>
        <v>335</v>
      </c>
      <c r="H1003">
        <v>1.5</v>
      </c>
      <c r="I1003">
        <f t="shared" si="46"/>
        <v>201</v>
      </c>
      <c r="J1003">
        <f t="shared" si="47"/>
        <v>134</v>
      </c>
      <c r="K1003" t="s">
        <v>24</v>
      </c>
      <c r="L1003" t="s">
        <v>25</v>
      </c>
      <c r="M1003" t="s">
        <v>61</v>
      </c>
      <c r="N1003" t="s">
        <v>38</v>
      </c>
      <c r="O1003">
        <v>523</v>
      </c>
      <c r="P1003">
        <v>134</v>
      </c>
      <c r="Q1003" t="s">
        <v>92</v>
      </c>
      <c r="R1003" t="s">
        <v>45</v>
      </c>
      <c r="S1003" t="s">
        <v>93</v>
      </c>
      <c r="T1003">
        <v>2023</v>
      </c>
      <c r="U1003" t="s">
        <v>31</v>
      </c>
    </row>
    <row r="1004" spans="1:21" x14ac:dyDescent="0.35">
      <c r="A1004" s="1">
        <v>45594</v>
      </c>
      <c r="B1004" t="s">
        <v>98</v>
      </c>
      <c r="C1004" t="s">
        <v>99</v>
      </c>
      <c r="D1004" t="s">
        <v>100</v>
      </c>
      <c r="E1004">
        <v>411</v>
      </c>
      <c r="F1004">
        <v>6</v>
      </c>
      <c r="G1004">
        <f t="shared" si="45"/>
        <v>2466</v>
      </c>
      <c r="H1004">
        <v>4</v>
      </c>
      <c r="I1004">
        <f t="shared" si="46"/>
        <v>1644</v>
      </c>
      <c r="J1004">
        <f t="shared" si="47"/>
        <v>822</v>
      </c>
      <c r="K1004" t="s">
        <v>42</v>
      </c>
      <c r="L1004" t="s">
        <v>25</v>
      </c>
      <c r="M1004" t="s">
        <v>26</v>
      </c>
      <c r="N1004" t="s">
        <v>38</v>
      </c>
      <c r="O1004">
        <v>960</v>
      </c>
      <c r="P1004">
        <v>411</v>
      </c>
      <c r="Q1004" t="s">
        <v>94</v>
      </c>
      <c r="R1004" t="s">
        <v>75</v>
      </c>
      <c r="S1004" t="s">
        <v>95</v>
      </c>
      <c r="T1004">
        <v>2023</v>
      </c>
      <c r="U1004" t="s">
        <v>109</v>
      </c>
    </row>
    <row r="1005" spans="1:21" x14ac:dyDescent="0.35">
      <c r="A1005" s="1">
        <v>45595</v>
      </c>
      <c r="B1005" t="s">
        <v>21</v>
      </c>
      <c r="C1005" t="s">
        <v>22</v>
      </c>
      <c r="D1005" t="s">
        <v>23</v>
      </c>
      <c r="E1005">
        <v>148</v>
      </c>
      <c r="F1005">
        <v>8</v>
      </c>
      <c r="G1005">
        <f t="shared" si="45"/>
        <v>1184</v>
      </c>
      <c r="H1005">
        <v>5</v>
      </c>
      <c r="I1005">
        <f t="shared" si="46"/>
        <v>740</v>
      </c>
      <c r="J1005">
        <f t="shared" si="47"/>
        <v>444</v>
      </c>
      <c r="K1005" t="s">
        <v>24</v>
      </c>
      <c r="L1005" t="s">
        <v>73</v>
      </c>
      <c r="M1005" t="s">
        <v>26</v>
      </c>
      <c r="N1005" t="s">
        <v>27</v>
      </c>
      <c r="O1005">
        <v>534</v>
      </c>
      <c r="P1005">
        <v>148</v>
      </c>
      <c r="Q1005" t="s">
        <v>74</v>
      </c>
      <c r="R1005" t="s">
        <v>75</v>
      </c>
      <c r="S1005" t="s">
        <v>76</v>
      </c>
      <c r="T1005">
        <v>2024</v>
      </c>
      <c r="U1005" t="s">
        <v>86</v>
      </c>
    </row>
    <row r="1006" spans="1:21" x14ac:dyDescent="0.35">
      <c r="A1006" s="1">
        <v>45596</v>
      </c>
      <c r="B1006" t="s">
        <v>48</v>
      </c>
      <c r="C1006" t="s">
        <v>49</v>
      </c>
      <c r="D1006" t="s">
        <v>50</v>
      </c>
      <c r="E1006">
        <v>487</v>
      </c>
      <c r="F1006">
        <v>150</v>
      </c>
      <c r="G1006">
        <f t="shared" si="45"/>
        <v>73050</v>
      </c>
      <c r="H1006">
        <v>100</v>
      </c>
      <c r="I1006">
        <f t="shared" si="46"/>
        <v>48700</v>
      </c>
      <c r="J1006">
        <f t="shared" si="47"/>
        <v>24350</v>
      </c>
      <c r="K1006" t="s">
        <v>24</v>
      </c>
      <c r="L1006" t="s">
        <v>36</v>
      </c>
      <c r="M1006" t="s">
        <v>61</v>
      </c>
      <c r="N1006" t="s">
        <v>43</v>
      </c>
      <c r="O1006">
        <v>644</v>
      </c>
      <c r="P1006">
        <v>487</v>
      </c>
      <c r="Q1006" t="s">
        <v>110</v>
      </c>
      <c r="R1006" t="s">
        <v>111</v>
      </c>
      <c r="S1006" t="s">
        <v>112</v>
      </c>
      <c r="T1006">
        <v>2023</v>
      </c>
      <c r="U1006" t="s">
        <v>57</v>
      </c>
    </row>
    <row r="1007" spans="1:21" x14ac:dyDescent="0.35">
      <c r="A1007" s="1">
        <v>45597</v>
      </c>
      <c r="B1007" t="s">
        <v>21</v>
      </c>
      <c r="C1007" t="s">
        <v>22</v>
      </c>
      <c r="D1007" t="s">
        <v>23</v>
      </c>
      <c r="E1007">
        <v>477</v>
      </c>
      <c r="F1007">
        <v>8</v>
      </c>
      <c r="G1007">
        <f t="shared" si="45"/>
        <v>3816</v>
      </c>
      <c r="H1007">
        <v>5</v>
      </c>
      <c r="I1007">
        <f t="shared" si="46"/>
        <v>2385</v>
      </c>
      <c r="J1007">
        <f t="shared" si="47"/>
        <v>1431</v>
      </c>
      <c r="K1007" t="s">
        <v>35</v>
      </c>
      <c r="L1007" t="s">
        <v>25</v>
      </c>
      <c r="M1007" t="s">
        <v>37</v>
      </c>
      <c r="N1007" t="s">
        <v>27</v>
      </c>
      <c r="O1007">
        <v>522</v>
      </c>
      <c r="P1007">
        <v>477</v>
      </c>
      <c r="Q1007" t="s">
        <v>44</v>
      </c>
      <c r="R1007" t="s">
        <v>45</v>
      </c>
      <c r="S1007" t="s">
        <v>46</v>
      </c>
      <c r="T1007">
        <v>2023</v>
      </c>
      <c r="U1007" t="s">
        <v>105</v>
      </c>
    </row>
    <row r="1008" spans="1:21" x14ac:dyDescent="0.35">
      <c r="A1008" s="1">
        <v>45598</v>
      </c>
      <c r="B1008" t="s">
        <v>21</v>
      </c>
      <c r="C1008" t="s">
        <v>22</v>
      </c>
      <c r="D1008" t="s">
        <v>23</v>
      </c>
      <c r="E1008">
        <v>137</v>
      </c>
      <c r="F1008">
        <v>8</v>
      </c>
      <c r="G1008">
        <f t="shared" si="45"/>
        <v>1096</v>
      </c>
      <c r="H1008">
        <v>5</v>
      </c>
      <c r="I1008">
        <f t="shared" si="46"/>
        <v>685</v>
      </c>
      <c r="J1008">
        <f t="shared" si="47"/>
        <v>411</v>
      </c>
      <c r="K1008" t="s">
        <v>24</v>
      </c>
      <c r="L1008" t="s">
        <v>36</v>
      </c>
      <c r="M1008" t="s">
        <v>61</v>
      </c>
      <c r="N1008" t="s">
        <v>38</v>
      </c>
      <c r="O1008">
        <v>592</v>
      </c>
      <c r="P1008">
        <v>137</v>
      </c>
      <c r="Q1008" t="s">
        <v>90</v>
      </c>
      <c r="R1008" t="s">
        <v>55</v>
      </c>
      <c r="S1008" t="s">
        <v>85</v>
      </c>
      <c r="T1008">
        <v>2021</v>
      </c>
      <c r="U1008" t="s">
        <v>66</v>
      </c>
    </row>
    <row r="1009" spans="1:21" x14ac:dyDescent="0.35">
      <c r="A1009" s="1">
        <v>45599</v>
      </c>
      <c r="B1009" t="s">
        <v>98</v>
      </c>
      <c r="C1009" t="s">
        <v>99</v>
      </c>
      <c r="D1009" t="s">
        <v>100</v>
      </c>
      <c r="E1009">
        <v>65</v>
      </c>
      <c r="F1009">
        <v>6</v>
      </c>
      <c r="G1009">
        <f t="shared" si="45"/>
        <v>390</v>
      </c>
      <c r="H1009">
        <v>4</v>
      </c>
      <c r="I1009">
        <f t="shared" si="46"/>
        <v>260</v>
      </c>
      <c r="J1009">
        <f t="shared" si="47"/>
        <v>130</v>
      </c>
      <c r="K1009" t="s">
        <v>35</v>
      </c>
      <c r="L1009" t="s">
        <v>73</v>
      </c>
      <c r="M1009" t="s">
        <v>26</v>
      </c>
      <c r="N1009" t="s">
        <v>43</v>
      </c>
      <c r="O1009">
        <v>749</v>
      </c>
      <c r="P1009">
        <v>65</v>
      </c>
      <c r="Q1009" t="s">
        <v>44</v>
      </c>
      <c r="R1009" t="s">
        <v>45</v>
      </c>
      <c r="S1009" t="s">
        <v>46</v>
      </c>
      <c r="T1009">
        <v>2021</v>
      </c>
      <c r="U1009" t="s">
        <v>62</v>
      </c>
    </row>
    <row r="1010" spans="1:21" x14ac:dyDescent="0.35">
      <c r="A1010" s="1">
        <v>45600</v>
      </c>
      <c r="B1010" t="s">
        <v>80</v>
      </c>
      <c r="C1010" t="s">
        <v>81</v>
      </c>
      <c r="D1010" t="s">
        <v>82</v>
      </c>
      <c r="E1010">
        <v>139</v>
      </c>
      <c r="F1010">
        <v>2.5</v>
      </c>
      <c r="G1010">
        <f t="shared" si="45"/>
        <v>347.5</v>
      </c>
      <c r="H1010">
        <v>1.5</v>
      </c>
      <c r="I1010">
        <f t="shared" si="46"/>
        <v>208.5</v>
      </c>
      <c r="J1010">
        <f t="shared" si="47"/>
        <v>139</v>
      </c>
      <c r="K1010" t="s">
        <v>42</v>
      </c>
      <c r="L1010" t="s">
        <v>36</v>
      </c>
      <c r="M1010" t="s">
        <v>26</v>
      </c>
      <c r="N1010" t="s">
        <v>27</v>
      </c>
      <c r="O1010">
        <v>982</v>
      </c>
      <c r="P1010">
        <v>139</v>
      </c>
      <c r="Q1010" t="s">
        <v>94</v>
      </c>
      <c r="R1010" t="s">
        <v>75</v>
      </c>
      <c r="S1010" t="s">
        <v>95</v>
      </c>
      <c r="T1010">
        <v>2022</v>
      </c>
      <c r="U1010" t="s">
        <v>62</v>
      </c>
    </row>
    <row r="1011" spans="1:21" x14ac:dyDescent="0.35">
      <c r="A1011" s="1">
        <v>45601</v>
      </c>
      <c r="B1011" t="s">
        <v>32</v>
      </c>
      <c r="C1011" t="s">
        <v>33</v>
      </c>
      <c r="D1011" t="s">
        <v>34</v>
      </c>
      <c r="E1011">
        <v>184</v>
      </c>
      <c r="F1011">
        <v>20</v>
      </c>
      <c r="G1011">
        <f t="shared" si="45"/>
        <v>3680</v>
      </c>
      <c r="H1011">
        <v>12</v>
      </c>
      <c r="I1011">
        <f t="shared" si="46"/>
        <v>2208</v>
      </c>
      <c r="J1011">
        <f t="shared" si="47"/>
        <v>1472</v>
      </c>
      <c r="K1011" t="s">
        <v>24</v>
      </c>
      <c r="L1011" t="s">
        <v>73</v>
      </c>
      <c r="M1011" t="s">
        <v>37</v>
      </c>
      <c r="N1011" t="s">
        <v>27</v>
      </c>
      <c r="O1011">
        <v>807</v>
      </c>
      <c r="P1011">
        <v>184</v>
      </c>
      <c r="Q1011" t="s">
        <v>113</v>
      </c>
      <c r="R1011" t="s">
        <v>114</v>
      </c>
      <c r="S1011" t="s">
        <v>115</v>
      </c>
      <c r="T1011">
        <v>2020</v>
      </c>
      <c r="U1011" t="s">
        <v>62</v>
      </c>
    </row>
    <row r="1012" spans="1:21" x14ac:dyDescent="0.35">
      <c r="A1012" s="1">
        <v>45602</v>
      </c>
      <c r="B1012" t="s">
        <v>58</v>
      </c>
      <c r="C1012" t="s">
        <v>59</v>
      </c>
      <c r="D1012" t="s">
        <v>60</v>
      </c>
      <c r="E1012">
        <v>260</v>
      </c>
      <c r="F1012">
        <v>5</v>
      </c>
      <c r="G1012">
        <f t="shared" si="45"/>
        <v>1300</v>
      </c>
      <c r="H1012">
        <v>3</v>
      </c>
      <c r="I1012">
        <f t="shared" si="46"/>
        <v>780</v>
      </c>
      <c r="J1012">
        <f t="shared" si="47"/>
        <v>520</v>
      </c>
      <c r="K1012" t="s">
        <v>35</v>
      </c>
      <c r="L1012" t="s">
        <v>25</v>
      </c>
      <c r="M1012" t="s">
        <v>26</v>
      </c>
      <c r="N1012" t="s">
        <v>38</v>
      </c>
      <c r="O1012">
        <v>775</v>
      </c>
      <c r="P1012">
        <v>260</v>
      </c>
      <c r="Q1012" t="s">
        <v>74</v>
      </c>
      <c r="R1012" t="s">
        <v>75</v>
      </c>
      <c r="S1012" t="s">
        <v>76</v>
      </c>
      <c r="T1012">
        <v>2023</v>
      </c>
      <c r="U1012" t="s">
        <v>86</v>
      </c>
    </row>
    <row r="1013" spans="1:21" x14ac:dyDescent="0.35">
      <c r="A1013" s="1">
        <v>45603</v>
      </c>
      <c r="B1013" t="s">
        <v>21</v>
      </c>
      <c r="C1013" t="s">
        <v>22</v>
      </c>
      <c r="D1013" t="s">
        <v>23</v>
      </c>
      <c r="E1013">
        <v>440</v>
      </c>
      <c r="F1013">
        <v>8</v>
      </c>
      <c r="G1013">
        <f t="shared" si="45"/>
        <v>3520</v>
      </c>
      <c r="H1013">
        <v>5</v>
      </c>
      <c r="I1013">
        <f t="shared" si="46"/>
        <v>2200</v>
      </c>
      <c r="J1013">
        <f t="shared" si="47"/>
        <v>1320</v>
      </c>
      <c r="K1013" t="s">
        <v>24</v>
      </c>
      <c r="L1013" t="s">
        <v>73</v>
      </c>
      <c r="M1013" t="s">
        <v>37</v>
      </c>
      <c r="N1013" t="s">
        <v>38</v>
      </c>
      <c r="O1013">
        <v>744</v>
      </c>
      <c r="P1013">
        <v>440</v>
      </c>
      <c r="Q1013" t="s">
        <v>110</v>
      </c>
      <c r="R1013" t="s">
        <v>111</v>
      </c>
      <c r="S1013" t="s">
        <v>112</v>
      </c>
      <c r="T1013">
        <v>2024</v>
      </c>
      <c r="U1013" t="s">
        <v>62</v>
      </c>
    </row>
    <row r="1014" spans="1:21" x14ac:dyDescent="0.35">
      <c r="A1014" s="1">
        <v>45604</v>
      </c>
      <c r="B1014" t="s">
        <v>58</v>
      </c>
      <c r="C1014" t="s">
        <v>59</v>
      </c>
      <c r="D1014" t="s">
        <v>60</v>
      </c>
      <c r="E1014">
        <v>464</v>
      </c>
      <c r="F1014">
        <v>5</v>
      </c>
      <c r="G1014">
        <f t="shared" si="45"/>
        <v>2320</v>
      </c>
      <c r="H1014">
        <v>3</v>
      </c>
      <c r="I1014">
        <f t="shared" si="46"/>
        <v>1392</v>
      </c>
      <c r="J1014">
        <f t="shared" si="47"/>
        <v>928</v>
      </c>
      <c r="K1014" t="s">
        <v>24</v>
      </c>
      <c r="L1014" t="s">
        <v>63</v>
      </c>
      <c r="M1014" t="s">
        <v>61</v>
      </c>
      <c r="N1014" t="s">
        <v>27</v>
      </c>
      <c r="O1014">
        <v>825</v>
      </c>
      <c r="P1014">
        <v>464</v>
      </c>
      <c r="Q1014" t="s">
        <v>67</v>
      </c>
      <c r="R1014" t="s">
        <v>68</v>
      </c>
      <c r="S1014" t="s">
        <v>69</v>
      </c>
      <c r="T1014">
        <v>2020</v>
      </c>
      <c r="U1014" t="s">
        <v>31</v>
      </c>
    </row>
    <row r="1015" spans="1:21" x14ac:dyDescent="0.35">
      <c r="A1015" s="1">
        <v>45605</v>
      </c>
      <c r="B1015" t="s">
        <v>32</v>
      </c>
      <c r="C1015" t="s">
        <v>33</v>
      </c>
      <c r="D1015" t="s">
        <v>34</v>
      </c>
      <c r="E1015">
        <v>384</v>
      </c>
      <c r="F1015">
        <v>20</v>
      </c>
      <c r="G1015">
        <f t="shared" si="45"/>
        <v>7680</v>
      </c>
      <c r="H1015">
        <v>12</v>
      </c>
      <c r="I1015">
        <f t="shared" si="46"/>
        <v>4608</v>
      </c>
      <c r="J1015">
        <f t="shared" si="47"/>
        <v>3072</v>
      </c>
      <c r="K1015" t="s">
        <v>24</v>
      </c>
      <c r="L1015" t="s">
        <v>25</v>
      </c>
      <c r="M1015" t="s">
        <v>61</v>
      </c>
      <c r="N1015" t="s">
        <v>38</v>
      </c>
      <c r="O1015">
        <v>570</v>
      </c>
      <c r="P1015">
        <v>384</v>
      </c>
      <c r="Q1015" t="s">
        <v>83</v>
      </c>
      <c r="R1015" t="s">
        <v>84</v>
      </c>
      <c r="S1015" t="s">
        <v>85</v>
      </c>
      <c r="T1015">
        <v>2023</v>
      </c>
      <c r="U1015" t="s">
        <v>96</v>
      </c>
    </row>
    <row r="1016" spans="1:21" x14ac:dyDescent="0.35">
      <c r="A1016" s="1">
        <v>45606</v>
      </c>
      <c r="B1016" t="s">
        <v>80</v>
      </c>
      <c r="C1016" t="s">
        <v>81</v>
      </c>
      <c r="D1016" t="s">
        <v>82</v>
      </c>
      <c r="E1016">
        <v>15</v>
      </c>
      <c r="F1016">
        <v>2.5</v>
      </c>
      <c r="G1016">
        <f t="shared" si="45"/>
        <v>37.5</v>
      </c>
      <c r="H1016">
        <v>1.5</v>
      </c>
      <c r="I1016">
        <f t="shared" si="46"/>
        <v>22.5</v>
      </c>
      <c r="J1016">
        <f t="shared" si="47"/>
        <v>15</v>
      </c>
      <c r="K1016" t="s">
        <v>42</v>
      </c>
      <c r="L1016" t="s">
        <v>73</v>
      </c>
      <c r="M1016" t="s">
        <v>37</v>
      </c>
      <c r="N1016" t="s">
        <v>38</v>
      </c>
      <c r="O1016">
        <v>765</v>
      </c>
      <c r="P1016">
        <v>15</v>
      </c>
      <c r="Q1016" t="s">
        <v>90</v>
      </c>
      <c r="R1016" t="s">
        <v>55</v>
      </c>
      <c r="S1016" t="s">
        <v>85</v>
      </c>
      <c r="T1016">
        <v>2020</v>
      </c>
      <c r="U1016" t="s">
        <v>96</v>
      </c>
    </row>
    <row r="1017" spans="1:21" x14ac:dyDescent="0.35">
      <c r="A1017" s="1">
        <v>45607</v>
      </c>
      <c r="B1017" t="s">
        <v>58</v>
      </c>
      <c r="C1017" t="s">
        <v>59</v>
      </c>
      <c r="D1017" t="s">
        <v>60</v>
      </c>
      <c r="E1017">
        <v>248</v>
      </c>
      <c r="F1017">
        <v>5</v>
      </c>
      <c r="G1017">
        <f t="shared" si="45"/>
        <v>1240</v>
      </c>
      <c r="H1017">
        <v>3</v>
      </c>
      <c r="I1017">
        <f t="shared" si="46"/>
        <v>744</v>
      </c>
      <c r="J1017">
        <f t="shared" si="47"/>
        <v>496</v>
      </c>
      <c r="K1017" t="s">
        <v>35</v>
      </c>
      <c r="L1017" t="s">
        <v>36</v>
      </c>
      <c r="M1017" t="s">
        <v>37</v>
      </c>
      <c r="N1017" t="s">
        <v>43</v>
      </c>
      <c r="O1017">
        <v>704</v>
      </c>
      <c r="P1017">
        <v>248</v>
      </c>
      <c r="Q1017" t="s">
        <v>64</v>
      </c>
      <c r="R1017" t="s">
        <v>29</v>
      </c>
      <c r="S1017" t="s">
        <v>65</v>
      </c>
      <c r="T1017">
        <v>2021</v>
      </c>
      <c r="U1017" t="s">
        <v>31</v>
      </c>
    </row>
    <row r="1018" spans="1:21" x14ac:dyDescent="0.35">
      <c r="A1018" s="1">
        <v>45608</v>
      </c>
      <c r="B1018" t="s">
        <v>32</v>
      </c>
      <c r="C1018" t="s">
        <v>33</v>
      </c>
      <c r="D1018" t="s">
        <v>34</v>
      </c>
      <c r="E1018">
        <v>63</v>
      </c>
      <c r="F1018">
        <v>20</v>
      </c>
      <c r="G1018">
        <f t="shared" si="45"/>
        <v>1260</v>
      </c>
      <c r="H1018">
        <v>12</v>
      </c>
      <c r="I1018">
        <f t="shared" si="46"/>
        <v>756</v>
      </c>
      <c r="J1018">
        <f t="shared" si="47"/>
        <v>504</v>
      </c>
      <c r="K1018" t="s">
        <v>42</v>
      </c>
      <c r="L1018" t="s">
        <v>36</v>
      </c>
      <c r="M1018" t="s">
        <v>37</v>
      </c>
      <c r="N1018" t="s">
        <v>27</v>
      </c>
      <c r="O1018">
        <v>920</v>
      </c>
      <c r="P1018">
        <v>63</v>
      </c>
      <c r="Q1018" t="s">
        <v>94</v>
      </c>
      <c r="R1018" t="s">
        <v>75</v>
      </c>
      <c r="S1018" t="s">
        <v>95</v>
      </c>
      <c r="T1018">
        <v>2024</v>
      </c>
      <c r="U1018" t="s">
        <v>91</v>
      </c>
    </row>
    <row r="1019" spans="1:21" x14ac:dyDescent="0.35">
      <c r="A1019" s="1">
        <v>45609</v>
      </c>
      <c r="B1019" t="s">
        <v>32</v>
      </c>
      <c r="C1019" t="s">
        <v>33</v>
      </c>
      <c r="D1019" t="s">
        <v>34</v>
      </c>
      <c r="E1019">
        <v>273</v>
      </c>
      <c r="F1019">
        <v>20</v>
      </c>
      <c r="G1019">
        <f t="shared" si="45"/>
        <v>5460</v>
      </c>
      <c r="H1019">
        <v>12</v>
      </c>
      <c r="I1019">
        <f t="shared" si="46"/>
        <v>3276</v>
      </c>
      <c r="J1019">
        <f t="shared" si="47"/>
        <v>2184</v>
      </c>
      <c r="K1019" t="s">
        <v>35</v>
      </c>
      <c r="L1019" t="s">
        <v>73</v>
      </c>
      <c r="M1019" t="s">
        <v>26</v>
      </c>
      <c r="N1019" t="s">
        <v>27</v>
      </c>
      <c r="O1019">
        <v>897</v>
      </c>
      <c r="P1019">
        <v>273</v>
      </c>
      <c r="Q1019" t="s">
        <v>90</v>
      </c>
      <c r="R1019" t="s">
        <v>55</v>
      </c>
      <c r="S1019" t="s">
        <v>85</v>
      </c>
      <c r="T1019">
        <v>2024</v>
      </c>
      <c r="U1019" t="s">
        <v>66</v>
      </c>
    </row>
    <row r="1020" spans="1:21" x14ac:dyDescent="0.35">
      <c r="A1020" s="1">
        <v>45610</v>
      </c>
      <c r="B1020" t="s">
        <v>21</v>
      </c>
      <c r="C1020" t="s">
        <v>22</v>
      </c>
      <c r="D1020" t="s">
        <v>23</v>
      </c>
      <c r="E1020">
        <v>161</v>
      </c>
      <c r="F1020">
        <v>8</v>
      </c>
      <c r="G1020">
        <f t="shared" si="45"/>
        <v>1288</v>
      </c>
      <c r="H1020">
        <v>5</v>
      </c>
      <c r="I1020">
        <f t="shared" si="46"/>
        <v>805</v>
      </c>
      <c r="J1020">
        <f t="shared" si="47"/>
        <v>483</v>
      </c>
      <c r="K1020" t="s">
        <v>42</v>
      </c>
      <c r="L1020" t="s">
        <v>73</v>
      </c>
      <c r="M1020" t="s">
        <v>26</v>
      </c>
      <c r="N1020" t="s">
        <v>43</v>
      </c>
      <c r="O1020">
        <v>953</v>
      </c>
      <c r="P1020">
        <v>161</v>
      </c>
      <c r="Q1020" t="s">
        <v>51</v>
      </c>
      <c r="R1020" t="s">
        <v>45</v>
      </c>
      <c r="S1020" t="s">
        <v>52</v>
      </c>
      <c r="T1020">
        <v>2020</v>
      </c>
      <c r="U1020" t="s">
        <v>66</v>
      </c>
    </row>
    <row r="1021" spans="1:21" x14ac:dyDescent="0.35">
      <c r="A1021" s="1">
        <v>45611</v>
      </c>
      <c r="B1021" t="s">
        <v>80</v>
      </c>
      <c r="C1021" t="s">
        <v>81</v>
      </c>
      <c r="D1021" t="s">
        <v>82</v>
      </c>
      <c r="E1021">
        <v>84</v>
      </c>
      <c r="F1021">
        <v>2.5</v>
      </c>
      <c r="G1021">
        <f t="shared" si="45"/>
        <v>210</v>
      </c>
      <c r="H1021">
        <v>1.5</v>
      </c>
      <c r="I1021">
        <f t="shared" si="46"/>
        <v>126</v>
      </c>
      <c r="J1021">
        <f t="shared" si="47"/>
        <v>84</v>
      </c>
      <c r="K1021" t="s">
        <v>35</v>
      </c>
      <c r="L1021" t="s">
        <v>36</v>
      </c>
      <c r="M1021" t="s">
        <v>37</v>
      </c>
      <c r="N1021" t="s">
        <v>43</v>
      </c>
      <c r="O1021">
        <v>862</v>
      </c>
      <c r="P1021">
        <v>84</v>
      </c>
      <c r="Q1021" t="s">
        <v>92</v>
      </c>
      <c r="R1021" t="s">
        <v>45</v>
      </c>
      <c r="S1021" t="s">
        <v>93</v>
      </c>
      <c r="T1021">
        <v>2022</v>
      </c>
      <c r="U1021" t="s">
        <v>57</v>
      </c>
    </row>
    <row r="1022" spans="1:21" x14ac:dyDescent="0.35">
      <c r="A1022" s="1">
        <v>45612</v>
      </c>
      <c r="B1022" t="s">
        <v>98</v>
      </c>
      <c r="C1022" t="s">
        <v>99</v>
      </c>
      <c r="D1022" t="s">
        <v>100</v>
      </c>
      <c r="E1022">
        <v>300</v>
      </c>
      <c r="F1022">
        <v>6</v>
      </c>
      <c r="G1022">
        <f t="shared" si="45"/>
        <v>1800</v>
      </c>
      <c r="H1022">
        <v>4</v>
      </c>
      <c r="I1022">
        <f t="shared" si="46"/>
        <v>1200</v>
      </c>
      <c r="J1022">
        <f t="shared" si="47"/>
        <v>600</v>
      </c>
      <c r="K1022" t="s">
        <v>35</v>
      </c>
      <c r="L1022" t="s">
        <v>25</v>
      </c>
      <c r="M1022" t="s">
        <v>61</v>
      </c>
      <c r="N1022" t="s">
        <v>27</v>
      </c>
      <c r="O1022">
        <v>686</v>
      </c>
      <c r="P1022">
        <v>300</v>
      </c>
      <c r="Q1022" t="s">
        <v>110</v>
      </c>
      <c r="R1022" t="s">
        <v>111</v>
      </c>
      <c r="S1022" t="s">
        <v>112</v>
      </c>
      <c r="T1022">
        <v>2023</v>
      </c>
      <c r="U1022" t="s">
        <v>31</v>
      </c>
    </row>
    <row r="1023" spans="1:21" x14ac:dyDescent="0.35">
      <c r="A1023" s="1">
        <v>45613</v>
      </c>
      <c r="B1023" t="s">
        <v>58</v>
      </c>
      <c r="C1023" t="s">
        <v>59</v>
      </c>
      <c r="D1023" t="s">
        <v>60</v>
      </c>
      <c r="E1023">
        <v>446</v>
      </c>
      <c r="F1023">
        <v>5</v>
      </c>
      <c r="G1023">
        <f t="shared" si="45"/>
        <v>2230</v>
      </c>
      <c r="H1023">
        <v>3</v>
      </c>
      <c r="I1023">
        <f t="shared" si="46"/>
        <v>1338</v>
      </c>
      <c r="J1023">
        <f t="shared" si="47"/>
        <v>892</v>
      </c>
      <c r="K1023" t="s">
        <v>24</v>
      </c>
      <c r="L1023" t="s">
        <v>25</v>
      </c>
      <c r="M1023" t="s">
        <v>26</v>
      </c>
      <c r="N1023" t="s">
        <v>43</v>
      </c>
      <c r="O1023">
        <v>828</v>
      </c>
      <c r="P1023">
        <v>446</v>
      </c>
      <c r="Q1023" t="s">
        <v>74</v>
      </c>
      <c r="R1023" t="s">
        <v>75</v>
      </c>
      <c r="S1023" t="s">
        <v>76</v>
      </c>
      <c r="T1023">
        <v>2020</v>
      </c>
      <c r="U1023" t="s">
        <v>86</v>
      </c>
    </row>
    <row r="1024" spans="1:21" x14ac:dyDescent="0.35">
      <c r="A1024" s="1">
        <v>45614</v>
      </c>
      <c r="B1024" t="s">
        <v>48</v>
      </c>
      <c r="C1024" t="s">
        <v>49</v>
      </c>
      <c r="D1024" t="s">
        <v>50</v>
      </c>
      <c r="E1024">
        <v>222</v>
      </c>
      <c r="F1024">
        <v>150</v>
      </c>
      <c r="G1024">
        <f t="shared" si="45"/>
        <v>33300</v>
      </c>
      <c r="H1024">
        <v>100</v>
      </c>
      <c r="I1024">
        <f t="shared" si="46"/>
        <v>22200</v>
      </c>
      <c r="J1024">
        <f t="shared" si="47"/>
        <v>11100</v>
      </c>
      <c r="K1024" t="s">
        <v>42</v>
      </c>
      <c r="L1024" t="s">
        <v>73</v>
      </c>
      <c r="M1024" t="s">
        <v>26</v>
      </c>
      <c r="N1024" t="s">
        <v>38</v>
      </c>
      <c r="O1024">
        <v>752</v>
      </c>
      <c r="P1024">
        <v>222</v>
      </c>
      <c r="Q1024" t="s">
        <v>51</v>
      </c>
      <c r="R1024" t="s">
        <v>45</v>
      </c>
      <c r="S1024" t="s">
        <v>52</v>
      </c>
      <c r="T1024">
        <v>2020</v>
      </c>
      <c r="U1024" t="s">
        <v>53</v>
      </c>
    </row>
    <row r="1025" spans="1:21" x14ac:dyDescent="0.35">
      <c r="A1025" s="1">
        <v>45615</v>
      </c>
      <c r="B1025" t="s">
        <v>32</v>
      </c>
      <c r="C1025" t="s">
        <v>33</v>
      </c>
      <c r="D1025" t="s">
        <v>34</v>
      </c>
      <c r="E1025">
        <v>318</v>
      </c>
      <c r="F1025">
        <v>20</v>
      </c>
      <c r="G1025">
        <f t="shared" si="45"/>
        <v>6360</v>
      </c>
      <c r="H1025">
        <v>12</v>
      </c>
      <c r="I1025">
        <f t="shared" si="46"/>
        <v>3816</v>
      </c>
      <c r="J1025">
        <f t="shared" si="47"/>
        <v>2544</v>
      </c>
      <c r="K1025" t="s">
        <v>42</v>
      </c>
      <c r="L1025" t="s">
        <v>73</v>
      </c>
      <c r="M1025" t="s">
        <v>37</v>
      </c>
      <c r="N1025" t="s">
        <v>43</v>
      </c>
      <c r="O1025">
        <v>829</v>
      </c>
      <c r="P1025">
        <v>318</v>
      </c>
      <c r="Q1025" t="s">
        <v>94</v>
      </c>
      <c r="R1025" t="s">
        <v>75</v>
      </c>
      <c r="S1025" t="s">
        <v>95</v>
      </c>
      <c r="T1025">
        <v>2020</v>
      </c>
      <c r="U1025" t="s">
        <v>57</v>
      </c>
    </row>
    <row r="1026" spans="1:21" x14ac:dyDescent="0.35">
      <c r="A1026" s="1">
        <v>45616</v>
      </c>
      <c r="B1026" t="s">
        <v>58</v>
      </c>
      <c r="C1026" t="s">
        <v>59</v>
      </c>
      <c r="D1026" t="s">
        <v>60</v>
      </c>
      <c r="E1026">
        <v>61</v>
      </c>
      <c r="F1026">
        <v>5</v>
      </c>
      <c r="G1026">
        <f t="shared" si="45"/>
        <v>305</v>
      </c>
      <c r="H1026">
        <v>3</v>
      </c>
      <c r="I1026">
        <f t="shared" si="46"/>
        <v>183</v>
      </c>
      <c r="J1026">
        <f t="shared" si="47"/>
        <v>122</v>
      </c>
      <c r="K1026" t="s">
        <v>42</v>
      </c>
      <c r="L1026" t="s">
        <v>63</v>
      </c>
      <c r="M1026" t="s">
        <v>61</v>
      </c>
      <c r="N1026" t="s">
        <v>43</v>
      </c>
      <c r="O1026">
        <v>574</v>
      </c>
      <c r="P1026">
        <v>61</v>
      </c>
      <c r="Q1026" t="s">
        <v>70</v>
      </c>
      <c r="R1026" t="s">
        <v>71</v>
      </c>
      <c r="S1026" t="s">
        <v>72</v>
      </c>
      <c r="T1026">
        <v>2023</v>
      </c>
      <c r="U1026" t="s">
        <v>96</v>
      </c>
    </row>
    <row r="1027" spans="1:21" x14ac:dyDescent="0.35">
      <c r="A1027" s="1">
        <v>45617</v>
      </c>
      <c r="B1027" t="s">
        <v>48</v>
      </c>
      <c r="C1027" t="s">
        <v>49</v>
      </c>
      <c r="D1027" t="s">
        <v>50</v>
      </c>
      <c r="E1027">
        <v>73</v>
      </c>
      <c r="F1027">
        <v>150</v>
      </c>
      <c r="G1027">
        <f t="shared" ref="G1027:G1090" si="48">E1027*F1027</f>
        <v>10950</v>
      </c>
      <c r="H1027">
        <v>100</v>
      </c>
      <c r="I1027">
        <f t="shared" ref="I1027:I1090" si="49">E1027*H1027</f>
        <v>7300</v>
      </c>
      <c r="J1027">
        <f t="shared" ref="J1027:J1090" si="50">G1027-I1027</f>
        <v>3650</v>
      </c>
      <c r="K1027" t="s">
        <v>42</v>
      </c>
      <c r="L1027" t="s">
        <v>73</v>
      </c>
      <c r="M1027" t="s">
        <v>61</v>
      </c>
      <c r="N1027" t="s">
        <v>27</v>
      </c>
      <c r="O1027">
        <v>825</v>
      </c>
      <c r="P1027">
        <v>73</v>
      </c>
      <c r="Q1027" t="s">
        <v>113</v>
      </c>
      <c r="R1027" t="s">
        <v>114</v>
      </c>
      <c r="S1027" t="s">
        <v>115</v>
      </c>
      <c r="T1027">
        <v>2024</v>
      </c>
      <c r="U1027" t="s">
        <v>57</v>
      </c>
    </row>
    <row r="1028" spans="1:21" x14ac:dyDescent="0.35">
      <c r="A1028" s="1">
        <v>45618</v>
      </c>
      <c r="B1028" t="s">
        <v>48</v>
      </c>
      <c r="C1028" t="s">
        <v>49</v>
      </c>
      <c r="D1028" t="s">
        <v>50</v>
      </c>
      <c r="E1028">
        <v>84</v>
      </c>
      <c r="F1028">
        <v>150</v>
      </c>
      <c r="G1028">
        <f t="shared" si="48"/>
        <v>12600</v>
      </c>
      <c r="H1028">
        <v>100</v>
      </c>
      <c r="I1028">
        <f t="shared" si="49"/>
        <v>8400</v>
      </c>
      <c r="J1028">
        <f t="shared" si="50"/>
        <v>4200</v>
      </c>
      <c r="K1028" t="s">
        <v>42</v>
      </c>
      <c r="L1028" t="s">
        <v>63</v>
      </c>
      <c r="M1028" t="s">
        <v>37</v>
      </c>
      <c r="N1028" t="s">
        <v>43</v>
      </c>
      <c r="O1028">
        <v>602</v>
      </c>
      <c r="P1028">
        <v>84</v>
      </c>
      <c r="Q1028" t="s">
        <v>83</v>
      </c>
      <c r="R1028" t="s">
        <v>84</v>
      </c>
      <c r="S1028" t="s">
        <v>85</v>
      </c>
      <c r="T1028">
        <v>2020</v>
      </c>
      <c r="U1028" t="s">
        <v>47</v>
      </c>
    </row>
    <row r="1029" spans="1:21" x14ac:dyDescent="0.35">
      <c r="A1029" s="1">
        <v>45619</v>
      </c>
      <c r="B1029" t="s">
        <v>32</v>
      </c>
      <c r="C1029" t="s">
        <v>33</v>
      </c>
      <c r="D1029" t="s">
        <v>34</v>
      </c>
      <c r="E1029">
        <v>348</v>
      </c>
      <c r="F1029">
        <v>20</v>
      </c>
      <c r="G1029">
        <f t="shared" si="48"/>
        <v>6960</v>
      </c>
      <c r="H1029">
        <v>12</v>
      </c>
      <c r="I1029">
        <f t="shared" si="49"/>
        <v>4176</v>
      </c>
      <c r="J1029">
        <f t="shared" si="50"/>
        <v>2784</v>
      </c>
      <c r="K1029" t="s">
        <v>42</v>
      </c>
      <c r="L1029" t="s">
        <v>25</v>
      </c>
      <c r="M1029" t="s">
        <v>26</v>
      </c>
      <c r="N1029" t="s">
        <v>27</v>
      </c>
      <c r="O1029">
        <v>818</v>
      </c>
      <c r="P1029">
        <v>348</v>
      </c>
      <c r="Q1029" t="s">
        <v>94</v>
      </c>
      <c r="R1029" t="s">
        <v>75</v>
      </c>
      <c r="S1029" t="s">
        <v>95</v>
      </c>
      <c r="T1029">
        <v>2023</v>
      </c>
      <c r="U1029" t="s">
        <v>105</v>
      </c>
    </row>
    <row r="1030" spans="1:21" x14ac:dyDescent="0.35">
      <c r="A1030" s="1">
        <v>45620</v>
      </c>
      <c r="B1030" t="s">
        <v>98</v>
      </c>
      <c r="C1030" t="s">
        <v>99</v>
      </c>
      <c r="D1030" t="s">
        <v>100</v>
      </c>
      <c r="E1030">
        <v>300</v>
      </c>
      <c r="F1030">
        <v>6</v>
      </c>
      <c r="G1030">
        <f t="shared" si="48"/>
        <v>1800</v>
      </c>
      <c r="H1030">
        <v>4</v>
      </c>
      <c r="I1030">
        <f t="shared" si="49"/>
        <v>1200</v>
      </c>
      <c r="J1030">
        <f t="shared" si="50"/>
        <v>600</v>
      </c>
      <c r="K1030" t="s">
        <v>35</v>
      </c>
      <c r="L1030" t="s">
        <v>73</v>
      </c>
      <c r="M1030" t="s">
        <v>37</v>
      </c>
      <c r="N1030" t="s">
        <v>27</v>
      </c>
      <c r="O1030">
        <v>788</v>
      </c>
      <c r="P1030">
        <v>300</v>
      </c>
      <c r="Q1030" t="s">
        <v>83</v>
      </c>
      <c r="R1030" t="s">
        <v>84</v>
      </c>
      <c r="S1030" t="s">
        <v>85</v>
      </c>
      <c r="T1030">
        <v>2024</v>
      </c>
      <c r="U1030" t="s">
        <v>109</v>
      </c>
    </row>
    <row r="1031" spans="1:21" x14ac:dyDescent="0.35">
      <c r="A1031" s="1">
        <v>45621</v>
      </c>
      <c r="B1031" t="s">
        <v>21</v>
      </c>
      <c r="C1031" t="s">
        <v>22</v>
      </c>
      <c r="D1031" t="s">
        <v>23</v>
      </c>
      <c r="E1031">
        <v>393</v>
      </c>
      <c r="F1031">
        <v>8</v>
      </c>
      <c r="G1031">
        <f t="shared" si="48"/>
        <v>3144</v>
      </c>
      <c r="H1031">
        <v>5</v>
      </c>
      <c r="I1031">
        <f t="shared" si="49"/>
        <v>1965</v>
      </c>
      <c r="J1031">
        <f t="shared" si="50"/>
        <v>1179</v>
      </c>
      <c r="K1031" t="s">
        <v>35</v>
      </c>
      <c r="L1031" t="s">
        <v>25</v>
      </c>
      <c r="M1031" t="s">
        <v>37</v>
      </c>
      <c r="N1031" t="s">
        <v>43</v>
      </c>
      <c r="O1031">
        <v>689</v>
      </c>
      <c r="P1031">
        <v>393</v>
      </c>
      <c r="Q1031" t="s">
        <v>70</v>
      </c>
      <c r="R1031" t="s">
        <v>71</v>
      </c>
      <c r="S1031" t="s">
        <v>72</v>
      </c>
      <c r="T1031">
        <v>2022</v>
      </c>
      <c r="U1031" t="s">
        <v>66</v>
      </c>
    </row>
    <row r="1032" spans="1:21" x14ac:dyDescent="0.35">
      <c r="A1032" s="1">
        <v>45622</v>
      </c>
      <c r="B1032" t="s">
        <v>32</v>
      </c>
      <c r="C1032" t="s">
        <v>33</v>
      </c>
      <c r="D1032" t="s">
        <v>34</v>
      </c>
      <c r="E1032">
        <v>417</v>
      </c>
      <c r="F1032">
        <v>20</v>
      </c>
      <c r="G1032">
        <f t="shared" si="48"/>
        <v>8340</v>
      </c>
      <c r="H1032">
        <v>12</v>
      </c>
      <c r="I1032">
        <f t="shared" si="49"/>
        <v>5004</v>
      </c>
      <c r="J1032">
        <f t="shared" si="50"/>
        <v>3336</v>
      </c>
      <c r="K1032" t="s">
        <v>42</v>
      </c>
      <c r="L1032" t="s">
        <v>36</v>
      </c>
      <c r="M1032" t="s">
        <v>61</v>
      </c>
      <c r="N1032" t="s">
        <v>43</v>
      </c>
      <c r="O1032">
        <v>995</v>
      </c>
      <c r="P1032">
        <v>417</v>
      </c>
      <c r="Q1032" t="s">
        <v>83</v>
      </c>
      <c r="R1032" t="s">
        <v>84</v>
      </c>
      <c r="S1032" t="s">
        <v>85</v>
      </c>
      <c r="T1032">
        <v>2020</v>
      </c>
      <c r="U1032" t="s">
        <v>86</v>
      </c>
    </row>
    <row r="1033" spans="1:21" x14ac:dyDescent="0.35">
      <c r="A1033" s="1">
        <v>45623</v>
      </c>
      <c r="B1033" t="s">
        <v>21</v>
      </c>
      <c r="C1033" t="s">
        <v>22</v>
      </c>
      <c r="D1033" t="s">
        <v>23</v>
      </c>
      <c r="E1033">
        <v>431</v>
      </c>
      <c r="F1033">
        <v>8</v>
      </c>
      <c r="G1033">
        <f t="shared" si="48"/>
        <v>3448</v>
      </c>
      <c r="H1033">
        <v>5</v>
      </c>
      <c r="I1033">
        <f t="shared" si="49"/>
        <v>2155</v>
      </c>
      <c r="J1033">
        <f t="shared" si="50"/>
        <v>1293</v>
      </c>
      <c r="K1033" t="s">
        <v>24</v>
      </c>
      <c r="L1033" t="s">
        <v>73</v>
      </c>
      <c r="M1033" t="s">
        <v>37</v>
      </c>
      <c r="N1033" t="s">
        <v>38</v>
      </c>
      <c r="O1033">
        <v>778</v>
      </c>
      <c r="P1033">
        <v>431</v>
      </c>
      <c r="Q1033" t="s">
        <v>44</v>
      </c>
      <c r="R1033" t="s">
        <v>45</v>
      </c>
      <c r="S1033" t="s">
        <v>46</v>
      </c>
      <c r="T1033">
        <v>2023</v>
      </c>
      <c r="U1033" t="s">
        <v>97</v>
      </c>
    </row>
    <row r="1034" spans="1:21" x14ac:dyDescent="0.35">
      <c r="A1034" s="1">
        <v>45624</v>
      </c>
      <c r="B1034" t="s">
        <v>21</v>
      </c>
      <c r="C1034" t="s">
        <v>22</v>
      </c>
      <c r="D1034" t="s">
        <v>23</v>
      </c>
      <c r="E1034">
        <v>470</v>
      </c>
      <c r="F1034">
        <v>8</v>
      </c>
      <c r="G1034">
        <f t="shared" si="48"/>
        <v>3760</v>
      </c>
      <c r="H1034">
        <v>5</v>
      </c>
      <c r="I1034">
        <f t="shared" si="49"/>
        <v>2350</v>
      </c>
      <c r="J1034">
        <f t="shared" si="50"/>
        <v>1410</v>
      </c>
      <c r="K1034" t="s">
        <v>35</v>
      </c>
      <c r="L1034" t="s">
        <v>25</v>
      </c>
      <c r="M1034" t="s">
        <v>61</v>
      </c>
      <c r="N1034" t="s">
        <v>43</v>
      </c>
      <c r="O1034">
        <v>606</v>
      </c>
      <c r="P1034">
        <v>470</v>
      </c>
      <c r="Q1034" t="s">
        <v>87</v>
      </c>
      <c r="R1034" t="s">
        <v>88</v>
      </c>
      <c r="S1034" t="s">
        <v>89</v>
      </c>
      <c r="T1034">
        <v>2021</v>
      </c>
      <c r="U1034" t="s">
        <v>97</v>
      </c>
    </row>
    <row r="1035" spans="1:21" x14ac:dyDescent="0.35">
      <c r="A1035" s="1">
        <v>45625</v>
      </c>
      <c r="B1035" t="s">
        <v>32</v>
      </c>
      <c r="C1035" t="s">
        <v>33</v>
      </c>
      <c r="D1035" t="s">
        <v>34</v>
      </c>
      <c r="E1035">
        <v>360</v>
      </c>
      <c r="F1035">
        <v>20</v>
      </c>
      <c r="G1035">
        <f t="shared" si="48"/>
        <v>7200</v>
      </c>
      <c r="H1035">
        <v>12</v>
      </c>
      <c r="I1035">
        <f t="shared" si="49"/>
        <v>4320</v>
      </c>
      <c r="J1035">
        <f t="shared" si="50"/>
        <v>2880</v>
      </c>
      <c r="K1035" t="s">
        <v>42</v>
      </c>
      <c r="L1035" t="s">
        <v>25</v>
      </c>
      <c r="M1035" t="s">
        <v>37</v>
      </c>
      <c r="N1035" t="s">
        <v>38</v>
      </c>
      <c r="O1035">
        <v>917</v>
      </c>
      <c r="P1035">
        <v>360</v>
      </c>
      <c r="Q1035" t="s">
        <v>39</v>
      </c>
      <c r="R1035" t="s">
        <v>40</v>
      </c>
      <c r="S1035" t="s">
        <v>41</v>
      </c>
      <c r="T1035">
        <v>2022</v>
      </c>
      <c r="U1035" t="s">
        <v>53</v>
      </c>
    </row>
    <row r="1036" spans="1:21" x14ac:dyDescent="0.35">
      <c r="A1036" s="1">
        <v>45626</v>
      </c>
      <c r="B1036" t="s">
        <v>98</v>
      </c>
      <c r="C1036" t="s">
        <v>99</v>
      </c>
      <c r="D1036" t="s">
        <v>100</v>
      </c>
      <c r="E1036">
        <v>302</v>
      </c>
      <c r="F1036">
        <v>6</v>
      </c>
      <c r="G1036">
        <f t="shared" si="48"/>
        <v>1812</v>
      </c>
      <c r="H1036">
        <v>4</v>
      </c>
      <c r="I1036">
        <f t="shared" si="49"/>
        <v>1208</v>
      </c>
      <c r="J1036">
        <f t="shared" si="50"/>
        <v>604</v>
      </c>
      <c r="K1036" t="s">
        <v>42</v>
      </c>
      <c r="L1036" t="s">
        <v>63</v>
      </c>
      <c r="M1036" t="s">
        <v>61</v>
      </c>
      <c r="N1036" t="s">
        <v>43</v>
      </c>
      <c r="O1036">
        <v>823</v>
      </c>
      <c r="P1036">
        <v>302</v>
      </c>
      <c r="Q1036" t="s">
        <v>67</v>
      </c>
      <c r="R1036" t="s">
        <v>68</v>
      </c>
      <c r="S1036" t="s">
        <v>69</v>
      </c>
      <c r="T1036">
        <v>2020</v>
      </c>
      <c r="U1036" t="s">
        <v>47</v>
      </c>
    </row>
    <row r="1037" spans="1:21" x14ac:dyDescent="0.35">
      <c r="A1037" s="1">
        <v>45627</v>
      </c>
      <c r="B1037" t="s">
        <v>32</v>
      </c>
      <c r="C1037" t="s">
        <v>33</v>
      </c>
      <c r="D1037" t="s">
        <v>34</v>
      </c>
      <c r="E1037">
        <v>318</v>
      </c>
      <c r="F1037">
        <v>20</v>
      </c>
      <c r="G1037">
        <f t="shared" si="48"/>
        <v>6360</v>
      </c>
      <c r="H1037">
        <v>12</v>
      </c>
      <c r="I1037">
        <f t="shared" si="49"/>
        <v>3816</v>
      </c>
      <c r="J1037">
        <f t="shared" si="50"/>
        <v>2544</v>
      </c>
      <c r="K1037" t="s">
        <v>42</v>
      </c>
      <c r="L1037" t="s">
        <v>25</v>
      </c>
      <c r="M1037" t="s">
        <v>26</v>
      </c>
      <c r="N1037" t="s">
        <v>43</v>
      </c>
      <c r="O1037">
        <v>975</v>
      </c>
      <c r="P1037">
        <v>318</v>
      </c>
      <c r="Q1037" t="s">
        <v>103</v>
      </c>
      <c r="R1037" t="s">
        <v>68</v>
      </c>
      <c r="S1037" t="s">
        <v>104</v>
      </c>
      <c r="T1037">
        <v>2022</v>
      </c>
      <c r="U1037" t="s">
        <v>97</v>
      </c>
    </row>
    <row r="1038" spans="1:21" x14ac:dyDescent="0.35">
      <c r="A1038" s="1">
        <v>45628</v>
      </c>
      <c r="B1038" t="s">
        <v>58</v>
      </c>
      <c r="C1038" t="s">
        <v>59</v>
      </c>
      <c r="D1038" t="s">
        <v>60</v>
      </c>
      <c r="E1038">
        <v>431</v>
      </c>
      <c r="F1038">
        <v>5</v>
      </c>
      <c r="G1038">
        <f t="shared" si="48"/>
        <v>2155</v>
      </c>
      <c r="H1038">
        <v>3</v>
      </c>
      <c r="I1038">
        <f t="shared" si="49"/>
        <v>1293</v>
      </c>
      <c r="J1038">
        <f t="shared" si="50"/>
        <v>862</v>
      </c>
      <c r="K1038" t="s">
        <v>24</v>
      </c>
      <c r="L1038" t="s">
        <v>36</v>
      </c>
      <c r="M1038" t="s">
        <v>37</v>
      </c>
      <c r="N1038" t="s">
        <v>38</v>
      </c>
      <c r="O1038">
        <v>611</v>
      </c>
      <c r="P1038">
        <v>431</v>
      </c>
      <c r="Q1038" t="s">
        <v>51</v>
      </c>
      <c r="R1038" t="s">
        <v>45</v>
      </c>
      <c r="S1038" t="s">
        <v>52</v>
      </c>
      <c r="T1038">
        <v>2022</v>
      </c>
      <c r="U1038" t="s">
        <v>66</v>
      </c>
    </row>
    <row r="1039" spans="1:21" x14ac:dyDescent="0.35">
      <c r="A1039" s="1">
        <v>45629</v>
      </c>
      <c r="B1039" t="s">
        <v>80</v>
      </c>
      <c r="C1039" t="s">
        <v>81</v>
      </c>
      <c r="D1039" t="s">
        <v>82</v>
      </c>
      <c r="E1039">
        <v>255</v>
      </c>
      <c r="F1039">
        <v>2.5</v>
      </c>
      <c r="G1039">
        <f t="shared" si="48"/>
        <v>637.5</v>
      </c>
      <c r="H1039">
        <v>1.5</v>
      </c>
      <c r="I1039">
        <f t="shared" si="49"/>
        <v>382.5</v>
      </c>
      <c r="J1039">
        <f t="shared" si="50"/>
        <v>255</v>
      </c>
      <c r="K1039" t="s">
        <v>24</v>
      </c>
      <c r="L1039" t="s">
        <v>63</v>
      </c>
      <c r="M1039" t="s">
        <v>26</v>
      </c>
      <c r="N1039" t="s">
        <v>38</v>
      </c>
      <c r="O1039">
        <v>691</v>
      </c>
      <c r="P1039">
        <v>255</v>
      </c>
      <c r="Q1039" t="s">
        <v>67</v>
      </c>
      <c r="R1039" t="s">
        <v>68</v>
      </c>
      <c r="S1039" t="s">
        <v>69</v>
      </c>
      <c r="T1039">
        <v>2020</v>
      </c>
      <c r="U1039" t="s">
        <v>47</v>
      </c>
    </row>
    <row r="1040" spans="1:21" x14ac:dyDescent="0.35">
      <c r="A1040" s="1">
        <v>45630</v>
      </c>
      <c r="B1040" t="s">
        <v>48</v>
      </c>
      <c r="C1040" t="s">
        <v>49</v>
      </c>
      <c r="D1040" t="s">
        <v>50</v>
      </c>
      <c r="E1040">
        <v>282</v>
      </c>
      <c r="F1040">
        <v>150</v>
      </c>
      <c r="G1040">
        <f t="shared" si="48"/>
        <v>42300</v>
      </c>
      <c r="H1040">
        <v>100</v>
      </c>
      <c r="I1040">
        <f t="shared" si="49"/>
        <v>28200</v>
      </c>
      <c r="J1040">
        <f t="shared" si="50"/>
        <v>14100</v>
      </c>
      <c r="K1040" t="s">
        <v>24</v>
      </c>
      <c r="L1040" t="s">
        <v>36</v>
      </c>
      <c r="M1040" t="s">
        <v>26</v>
      </c>
      <c r="N1040" t="s">
        <v>38</v>
      </c>
      <c r="O1040">
        <v>533</v>
      </c>
      <c r="P1040">
        <v>282</v>
      </c>
      <c r="Q1040" t="s">
        <v>64</v>
      </c>
      <c r="R1040" t="s">
        <v>29</v>
      </c>
      <c r="S1040" t="s">
        <v>65</v>
      </c>
      <c r="T1040">
        <v>2024</v>
      </c>
      <c r="U1040" t="s">
        <v>96</v>
      </c>
    </row>
    <row r="1041" spans="1:21" x14ac:dyDescent="0.35">
      <c r="A1041" s="1">
        <v>45631</v>
      </c>
      <c r="B1041" t="s">
        <v>98</v>
      </c>
      <c r="C1041" t="s">
        <v>99</v>
      </c>
      <c r="D1041" t="s">
        <v>100</v>
      </c>
      <c r="E1041">
        <v>106</v>
      </c>
      <c r="F1041">
        <v>6</v>
      </c>
      <c r="G1041">
        <f t="shared" si="48"/>
        <v>636</v>
      </c>
      <c r="H1041">
        <v>4</v>
      </c>
      <c r="I1041">
        <f t="shared" si="49"/>
        <v>424</v>
      </c>
      <c r="J1041">
        <f t="shared" si="50"/>
        <v>212</v>
      </c>
      <c r="K1041" t="s">
        <v>24</v>
      </c>
      <c r="L1041" t="s">
        <v>63</v>
      </c>
      <c r="M1041" t="s">
        <v>37</v>
      </c>
      <c r="N1041" t="s">
        <v>38</v>
      </c>
      <c r="O1041">
        <v>807</v>
      </c>
      <c r="P1041">
        <v>106</v>
      </c>
      <c r="Q1041" t="s">
        <v>70</v>
      </c>
      <c r="R1041" t="s">
        <v>71</v>
      </c>
      <c r="S1041" t="s">
        <v>72</v>
      </c>
      <c r="T1041">
        <v>2024</v>
      </c>
      <c r="U1041" t="s">
        <v>109</v>
      </c>
    </row>
    <row r="1042" spans="1:21" x14ac:dyDescent="0.35">
      <c r="A1042" s="1">
        <v>45632</v>
      </c>
      <c r="B1042" t="s">
        <v>58</v>
      </c>
      <c r="C1042" t="s">
        <v>59</v>
      </c>
      <c r="D1042" t="s">
        <v>60</v>
      </c>
      <c r="E1042">
        <v>460</v>
      </c>
      <c r="F1042">
        <v>5</v>
      </c>
      <c r="G1042">
        <f t="shared" si="48"/>
        <v>2300</v>
      </c>
      <c r="H1042">
        <v>3</v>
      </c>
      <c r="I1042">
        <f t="shared" si="49"/>
        <v>1380</v>
      </c>
      <c r="J1042">
        <f t="shared" si="50"/>
        <v>920</v>
      </c>
      <c r="K1042" t="s">
        <v>42</v>
      </c>
      <c r="L1042" t="s">
        <v>36</v>
      </c>
      <c r="M1042" t="s">
        <v>37</v>
      </c>
      <c r="N1042" t="s">
        <v>43</v>
      </c>
      <c r="O1042">
        <v>569</v>
      </c>
      <c r="P1042">
        <v>460</v>
      </c>
      <c r="Q1042" t="s">
        <v>70</v>
      </c>
      <c r="R1042" t="s">
        <v>71</v>
      </c>
      <c r="S1042" t="s">
        <v>72</v>
      </c>
      <c r="T1042">
        <v>2020</v>
      </c>
      <c r="U1042" t="s">
        <v>57</v>
      </c>
    </row>
    <row r="1043" spans="1:21" x14ac:dyDescent="0.35">
      <c r="A1043" s="1">
        <v>45633</v>
      </c>
      <c r="B1043" t="s">
        <v>98</v>
      </c>
      <c r="C1043" t="s">
        <v>99</v>
      </c>
      <c r="D1043" t="s">
        <v>100</v>
      </c>
      <c r="E1043">
        <v>187</v>
      </c>
      <c r="F1043">
        <v>6</v>
      </c>
      <c r="G1043">
        <f t="shared" si="48"/>
        <v>1122</v>
      </c>
      <c r="H1043">
        <v>4</v>
      </c>
      <c r="I1043">
        <f t="shared" si="49"/>
        <v>748</v>
      </c>
      <c r="J1043">
        <f t="shared" si="50"/>
        <v>374</v>
      </c>
      <c r="K1043" t="s">
        <v>24</v>
      </c>
      <c r="L1043" t="s">
        <v>25</v>
      </c>
      <c r="M1043" t="s">
        <v>26</v>
      </c>
      <c r="N1043" t="s">
        <v>38</v>
      </c>
      <c r="O1043">
        <v>627</v>
      </c>
      <c r="P1043">
        <v>187</v>
      </c>
      <c r="Q1043" t="s">
        <v>77</v>
      </c>
      <c r="R1043" t="s">
        <v>78</v>
      </c>
      <c r="S1043" t="s">
        <v>79</v>
      </c>
      <c r="T1043">
        <v>2022</v>
      </c>
      <c r="U1043" t="s">
        <v>86</v>
      </c>
    </row>
    <row r="1044" spans="1:21" x14ac:dyDescent="0.35">
      <c r="A1044" s="1">
        <v>45634</v>
      </c>
      <c r="B1044" t="s">
        <v>58</v>
      </c>
      <c r="C1044" t="s">
        <v>59</v>
      </c>
      <c r="D1044" t="s">
        <v>60</v>
      </c>
      <c r="E1044">
        <v>388</v>
      </c>
      <c r="F1044">
        <v>5</v>
      </c>
      <c r="G1044">
        <f t="shared" si="48"/>
        <v>1940</v>
      </c>
      <c r="H1044">
        <v>3</v>
      </c>
      <c r="I1044">
        <f t="shared" si="49"/>
        <v>1164</v>
      </c>
      <c r="J1044">
        <f t="shared" si="50"/>
        <v>776</v>
      </c>
      <c r="K1044" t="s">
        <v>42</v>
      </c>
      <c r="L1044" t="s">
        <v>25</v>
      </c>
      <c r="M1044" t="s">
        <v>61</v>
      </c>
      <c r="N1044" t="s">
        <v>27</v>
      </c>
      <c r="O1044">
        <v>586</v>
      </c>
      <c r="P1044">
        <v>388</v>
      </c>
      <c r="Q1044" t="s">
        <v>83</v>
      </c>
      <c r="R1044" t="s">
        <v>84</v>
      </c>
      <c r="S1044" t="s">
        <v>85</v>
      </c>
      <c r="T1044">
        <v>2024</v>
      </c>
      <c r="U1044" t="s">
        <v>66</v>
      </c>
    </row>
    <row r="1045" spans="1:21" x14ac:dyDescent="0.35">
      <c r="A1045" s="1">
        <v>45635</v>
      </c>
      <c r="B1045" t="s">
        <v>48</v>
      </c>
      <c r="C1045" t="s">
        <v>49</v>
      </c>
      <c r="D1045" t="s">
        <v>50</v>
      </c>
      <c r="E1045">
        <v>450</v>
      </c>
      <c r="F1045">
        <v>150</v>
      </c>
      <c r="G1045">
        <f t="shared" si="48"/>
        <v>67500</v>
      </c>
      <c r="H1045">
        <v>100</v>
      </c>
      <c r="I1045">
        <f t="shared" si="49"/>
        <v>45000</v>
      </c>
      <c r="J1045">
        <f t="shared" si="50"/>
        <v>22500</v>
      </c>
      <c r="K1045" t="s">
        <v>35</v>
      </c>
      <c r="L1045" t="s">
        <v>73</v>
      </c>
      <c r="M1045" t="s">
        <v>61</v>
      </c>
      <c r="N1045" t="s">
        <v>38</v>
      </c>
      <c r="O1045">
        <v>586</v>
      </c>
      <c r="P1045">
        <v>450</v>
      </c>
      <c r="Q1045" t="s">
        <v>94</v>
      </c>
      <c r="R1045" t="s">
        <v>75</v>
      </c>
      <c r="S1045" t="s">
        <v>95</v>
      </c>
      <c r="T1045">
        <v>2024</v>
      </c>
      <c r="U1045" t="s">
        <v>105</v>
      </c>
    </row>
    <row r="1046" spans="1:21" x14ac:dyDescent="0.35">
      <c r="A1046" s="1">
        <v>45636</v>
      </c>
      <c r="B1046" t="s">
        <v>58</v>
      </c>
      <c r="C1046" t="s">
        <v>59</v>
      </c>
      <c r="D1046" t="s">
        <v>60</v>
      </c>
      <c r="E1046">
        <v>55</v>
      </c>
      <c r="F1046">
        <v>5</v>
      </c>
      <c r="G1046">
        <f t="shared" si="48"/>
        <v>275</v>
      </c>
      <c r="H1046">
        <v>3</v>
      </c>
      <c r="I1046">
        <f t="shared" si="49"/>
        <v>165</v>
      </c>
      <c r="J1046">
        <f t="shared" si="50"/>
        <v>110</v>
      </c>
      <c r="K1046" t="s">
        <v>42</v>
      </c>
      <c r="L1046" t="s">
        <v>63</v>
      </c>
      <c r="M1046" t="s">
        <v>61</v>
      </c>
      <c r="N1046" t="s">
        <v>38</v>
      </c>
      <c r="O1046">
        <v>546</v>
      </c>
      <c r="P1046">
        <v>55</v>
      </c>
      <c r="Q1046" t="s">
        <v>64</v>
      </c>
      <c r="R1046" t="s">
        <v>29</v>
      </c>
      <c r="S1046" t="s">
        <v>65</v>
      </c>
      <c r="T1046">
        <v>2023</v>
      </c>
      <c r="U1046" t="s">
        <v>97</v>
      </c>
    </row>
    <row r="1047" spans="1:21" x14ac:dyDescent="0.35">
      <c r="A1047" s="1">
        <v>45637</v>
      </c>
      <c r="B1047" t="s">
        <v>48</v>
      </c>
      <c r="C1047" t="s">
        <v>49</v>
      </c>
      <c r="D1047" t="s">
        <v>50</v>
      </c>
      <c r="E1047">
        <v>57</v>
      </c>
      <c r="F1047">
        <v>150</v>
      </c>
      <c r="G1047">
        <f t="shared" si="48"/>
        <v>8550</v>
      </c>
      <c r="H1047">
        <v>100</v>
      </c>
      <c r="I1047">
        <f t="shared" si="49"/>
        <v>5700</v>
      </c>
      <c r="J1047">
        <f t="shared" si="50"/>
        <v>2850</v>
      </c>
      <c r="K1047" t="s">
        <v>24</v>
      </c>
      <c r="L1047" t="s">
        <v>63</v>
      </c>
      <c r="M1047" t="s">
        <v>37</v>
      </c>
      <c r="N1047" t="s">
        <v>43</v>
      </c>
      <c r="O1047">
        <v>602</v>
      </c>
      <c r="P1047">
        <v>57</v>
      </c>
      <c r="Q1047" t="s">
        <v>54</v>
      </c>
      <c r="R1047" t="s">
        <v>55</v>
      </c>
      <c r="S1047" t="s">
        <v>56</v>
      </c>
      <c r="T1047">
        <v>2021</v>
      </c>
      <c r="U1047" t="s">
        <v>97</v>
      </c>
    </row>
    <row r="1048" spans="1:21" x14ac:dyDescent="0.35">
      <c r="A1048" s="1">
        <v>45638</v>
      </c>
      <c r="B1048" t="s">
        <v>48</v>
      </c>
      <c r="C1048" t="s">
        <v>49</v>
      </c>
      <c r="D1048" t="s">
        <v>50</v>
      </c>
      <c r="E1048">
        <v>193</v>
      </c>
      <c r="F1048">
        <v>150</v>
      </c>
      <c r="G1048">
        <f t="shared" si="48"/>
        <v>28950</v>
      </c>
      <c r="H1048">
        <v>100</v>
      </c>
      <c r="I1048">
        <f t="shared" si="49"/>
        <v>19300</v>
      </c>
      <c r="J1048">
        <f t="shared" si="50"/>
        <v>9650</v>
      </c>
      <c r="K1048" t="s">
        <v>35</v>
      </c>
      <c r="L1048" t="s">
        <v>73</v>
      </c>
      <c r="M1048" t="s">
        <v>26</v>
      </c>
      <c r="N1048" t="s">
        <v>43</v>
      </c>
      <c r="O1048">
        <v>984</v>
      </c>
      <c r="P1048">
        <v>193</v>
      </c>
      <c r="Q1048" t="s">
        <v>74</v>
      </c>
      <c r="R1048" t="s">
        <v>75</v>
      </c>
      <c r="S1048" t="s">
        <v>76</v>
      </c>
      <c r="T1048">
        <v>2023</v>
      </c>
      <c r="U1048" t="s">
        <v>57</v>
      </c>
    </row>
    <row r="1049" spans="1:21" x14ac:dyDescent="0.35">
      <c r="A1049" s="1">
        <v>45639</v>
      </c>
      <c r="B1049" t="s">
        <v>48</v>
      </c>
      <c r="C1049" t="s">
        <v>49</v>
      </c>
      <c r="D1049" t="s">
        <v>50</v>
      </c>
      <c r="E1049">
        <v>136</v>
      </c>
      <c r="F1049">
        <v>150</v>
      </c>
      <c r="G1049">
        <f t="shared" si="48"/>
        <v>20400</v>
      </c>
      <c r="H1049">
        <v>100</v>
      </c>
      <c r="I1049">
        <f t="shared" si="49"/>
        <v>13600</v>
      </c>
      <c r="J1049">
        <f t="shared" si="50"/>
        <v>6800</v>
      </c>
      <c r="K1049" t="s">
        <v>35</v>
      </c>
      <c r="L1049" t="s">
        <v>73</v>
      </c>
      <c r="M1049" t="s">
        <v>61</v>
      </c>
      <c r="N1049" t="s">
        <v>27</v>
      </c>
      <c r="O1049">
        <v>810</v>
      </c>
      <c r="P1049">
        <v>136</v>
      </c>
      <c r="Q1049" t="s">
        <v>92</v>
      </c>
      <c r="R1049" t="s">
        <v>45</v>
      </c>
      <c r="S1049" t="s">
        <v>93</v>
      </c>
      <c r="T1049">
        <v>2022</v>
      </c>
      <c r="U1049" t="s">
        <v>96</v>
      </c>
    </row>
    <row r="1050" spans="1:21" x14ac:dyDescent="0.35">
      <c r="A1050" s="1">
        <v>45640</v>
      </c>
      <c r="B1050" t="s">
        <v>58</v>
      </c>
      <c r="C1050" t="s">
        <v>59</v>
      </c>
      <c r="D1050" t="s">
        <v>60</v>
      </c>
      <c r="E1050">
        <v>392</v>
      </c>
      <c r="F1050">
        <v>5</v>
      </c>
      <c r="G1050">
        <f t="shared" si="48"/>
        <v>1960</v>
      </c>
      <c r="H1050">
        <v>3</v>
      </c>
      <c r="I1050">
        <f t="shared" si="49"/>
        <v>1176</v>
      </c>
      <c r="J1050">
        <f t="shared" si="50"/>
        <v>784</v>
      </c>
      <c r="K1050" t="s">
        <v>35</v>
      </c>
      <c r="L1050" t="s">
        <v>63</v>
      </c>
      <c r="M1050" t="s">
        <v>26</v>
      </c>
      <c r="N1050" t="s">
        <v>43</v>
      </c>
      <c r="O1050">
        <v>721</v>
      </c>
      <c r="P1050">
        <v>392</v>
      </c>
      <c r="Q1050" t="s">
        <v>110</v>
      </c>
      <c r="R1050" t="s">
        <v>111</v>
      </c>
      <c r="S1050" t="s">
        <v>112</v>
      </c>
      <c r="T1050">
        <v>2022</v>
      </c>
      <c r="U1050" t="s">
        <v>105</v>
      </c>
    </row>
    <row r="1051" spans="1:21" x14ac:dyDescent="0.35">
      <c r="A1051" s="1">
        <v>45641</v>
      </c>
      <c r="B1051" t="s">
        <v>48</v>
      </c>
      <c r="C1051" t="s">
        <v>49</v>
      </c>
      <c r="D1051" t="s">
        <v>50</v>
      </c>
      <c r="E1051">
        <v>102</v>
      </c>
      <c r="F1051">
        <v>150</v>
      </c>
      <c r="G1051">
        <f t="shared" si="48"/>
        <v>15300</v>
      </c>
      <c r="H1051">
        <v>100</v>
      </c>
      <c r="I1051">
        <f t="shared" si="49"/>
        <v>10200</v>
      </c>
      <c r="J1051">
        <f t="shared" si="50"/>
        <v>5100</v>
      </c>
      <c r="K1051" t="s">
        <v>42</v>
      </c>
      <c r="L1051" t="s">
        <v>25</v>
      </c>
      <c r="M1051" t="s">
        <v>61</v>
      </c>
      <c r="N1051" t="s">
        <v>27</v>
      </c>
      <c r="O1051">
        <v>748</v>
      </c>
      <c r="P1051">
        <v>102</v>
      </c>
      <c r="Q1051" t="s">
        <v>101</v>
      </c>
      <c r="R1051" t="s">
        <v>101</v>
      </c>
      <c r="S1051" t="s">
        <v>102</v>
      </c>
      <c r="T1051">
        <v>2024</v>
      </c>
      <c r="U1051" t="s">
        <v>105</v>
      </c>
    </row>
    <row r="1052" spans="1:21" x14ac:dyDescent="0.35">
      <c r="A1052" s="1">
        <v>45642</v>
      </c>
      <c r="B1052" t="s">
        <v>21</v>
      </c>
      <c r="C1052" t="s">
        <v>22</v>
      </c>
      <c r="D1052" t="s">
        <v>23</v>
      </c>
      <c r="E1052">
        <v>59</v>
      </c>
      <c r="F1052">
        <v>8</v>
      </c>
      <c r="G1052">
        <f t="shared" si="48"/>
        <v>472</v>
      </c>
      <c r="H1052">
        <v>5</v>
      </c>
      <c r="I1052">
        <f t="shared" si="49"/>
        <v>295</v>
      </c>
      <c r="J1052">
        <f t="shared" si="50"/>
        <v>177</v>
      </c>
      <c r="K1052" t="s">
        <v>24</v>
      </c>
      <c r="L1052" t="s">
        <v>63</v>
      </c>
      <c r="M1052" t="s">
        <v>26</v>
      </c>
      <c r="N1052" t="s">
        <v>38</v>
      </c>
      <c r="O1052">
        <v>727</v>
      </c>
      <c r="P1052">
        <v>59</v>
      </c>
      <c r="Q1052" t="s">
        <v>70</v>
      </c>
      <c r="R1052" t="s">
        <v>71</v>
      </c>
      <c r="S1052" t="s">
        <v>72</v>
      </c>
      <c r="T1052">
        <v>2024</v>
      </c>
      <c r="U1052" t="s">
        <v>96</v>
      </c>
    </row>
    <row r="1053" spans="1:21" x14ac:dyDescent="0.35">
      <c r="A1053" s="1">
        <v>45643</v>
      </c>
      <c r="B1053" t="s">
        <v>80</v>
      </c>
      <c r="C1053" t="s">
        <v>81</v>
      </c>
      <c r="D1053" t="s">
        <v>82</v>
      </c>
      <c r="E1053">
        <v>380</v>
      </c>
      <c r="F1053">
        <v>2.5</v>
      </c>
      <c r="G1053">
        <f t="shared" si="48"/>
        <v>950</v>
      </c>
      <c r="H1053">
        <v>1.5</v>
      </c>
      <c r="I1053">
        <f t="shared" si="49"/>
        <v>570</v>
      </c>
      <c r="J1053">
        <f t="shared" si="50"/>
        <v>380</v>
      </c>
      <c r="K1053" t="s">
        <v>35</v>
      </c>
      <c r="L1053" t="s">
        <v>63</v>
      </c>
      <c r="M1053" t="s">
        <v>61</v>
      </c>
      <c r="N1053" t="s">
        <v>38</v>
      </c>
      <c r="O1053">
        <v>722</v>
      </c>
      <c r="P1053">
        <v>380</v>
      </c>
      <c r="Q1053" t="s">
        <v>39</v>
      </c>
      <c r="R1053" t="s">
        <v>40</v>
      </c>
      <c r="S1053" t="s">
        <v>41</v>
      </c>
      <c r="T1053">
        <v>2020</v>
      </c>
      <c r="U1053" t="s">
        <v>97</v>
      </c>
    </row>
    <row r="1054" spans="1:21" x14ac:dyDescent="0.35">
      <c r="A1054" s="1">
        <v>45644</v>
      </c>
      <c r="B1054" t="s">
        <v>80</v>
      </c>
      <c r="C1054" t="s">
        <v>81</v>
      </c>
      <c r="D1054" t="s">
        <v>82</v>
      </c>
      <c r="E1054">
        <v>96</v>
      </c>
      <c r="F1054">
        <v>2.5</v>
      </c>
      <c r="G1054">
        <f t="shared" si="48"/>
        <v>240</v>
      </c>
      <c r="H1054">
        <v>1.5</v>
      </c>
      <c r="I1054">
        <f t="shared" si="49"/>
        <v>144</v>
      </c>
      <c r="J1054">
        <f t="shared" si="50"/>
        <v>96</v>
      </c>
      <c r="K1054" t="s">
        <v>42</v>
      </c>
      <c r="L1054" t="s">
        <v>63</v>
      </c>
      <c r="M1054" t="s">
        <v>37</v>
      </c>
      <c r="N1054" t="s">
        <v>27</v>
      </c>
      <c r="O1054">
        <v>626</v>
      </c>
      <c r="P1054">
        <v>96</v>
      </c>
      <c r="Q1054" t="s">
        <v>28</v>
      </c>
      <c r="R1054" t="s">
        <v>29</v>
      </c>
      <c r="S1054" t="s">
        <v>30</v>
      </c>
      <c r="T1054">
        <v>2023</v>
      </c>
      <c r="U1054" t="s">
        <v>66</v>
      </c>
    </row>
    <row r="1055" spans="1:21" x14ac:dyDescent="0.35">
      <c r="A1055" s="1">
        <v>45645</v>
      </c>
      <c r="B1055" t="s">
        <v>32</v>
      </c>
      <c r="C1055" t="s">
        <v>33</v>
      </c>
      <c r="D1055" t="s">
        <v>34</v>
      </c>
      <c r="E1055">
        <v>51</v>
      </c>
      <c r="F1055">
        <v>20</v>
      </c>
      <c r="G1055">
        <f t="shared" si="48"/>
        <v>1020</v>
      </c>
      <c r="H1055">
        <v>12</v>
      </c>
      <c r="I1055">
        <f t="shared" si="49"/>
        <v>612</v>
      </c>
      <c r="J1055">
        <f t="shared" si="50"/>
        <v>408</v>
      </c>
      <c r="K1055" t="s">
        <v>35</v>
      </c>
      <c r="L1055" t="s">
        <v>25</v>
      </c>
      <c r="M1055" t="s">
        <v>26</v>
      </c>
      <c r="N1055" t="s">
        <v>38</v>
      </c>
      <c r="O1055">
        <v>995</v>
      </c>
      <c r="P1055">
        <v>51</v>
      </c>
      <c r="Q1055" t="s">
        <v>83</v>
      </c>
      <c r="R1055" t="s">
        <v>84</v>
      </c>
      <c r="S1055" t="s">
        <v>85</v>
      </c>
      <c r="T1055">
        <v>2022</v>
      </c>
      <c r="U1055" t="s">
        <v>66</v>
      </c>
    </row>
    <row r="1056" spans="1:21" x14ac:dyDescent="0.35">
      <c r="A1056" s="1">
        <v>45646</v>
      </c>
      <c r="B1056" t="s">
        <v>58</v>
      </c>
      <c r="C1056" t="s">
        <v>59</v>
      </c>
      <c r="D1056" t="s">
        <v>60</v>
      </c>
      <c r="E1056">
        <v>447</v>
      </c>
      <c r="F1056">
        <v>5</v>
      </c>
      <c r="G1056">
        <f t="shared" si="48"/>
        <v>2235</v>
      </c>
      <c r="H1056">
        <v>3</v>
      </c>
      <c r="I1056">
        <f t="shared" si="49"/>
        <v>1341</v>
      </c>
      <c r="J1056">
        <f t="shared" si="50"/>
        <v>894</v>
      </c>
      <c r="K1056" t="s">
        <v>42</v>
      </c>
      <c r="L1056" t="s">
        <v>63</v>
      </c>
      <c r="M1056" t="s">
        <v>61</v>
      </c>
      <c r="N1056" t="s">
        <v>38</v>
      </c>
      <c r="O1056">
        <v>500</v>
      </c>
      <c r="P1056">
        <v>447</v>
      </c>
      <c r="Q1056" t="s">
        <v>83</v>
      </c>
      <c r="R1056" t="s">
        <v>84</v>
      </c>
      <c r="S1056" t="s">
        <v>85</v>
      </c>
      <c r="T1056">
        <v>2021</v>
      </c>
      <c r="U1056" t="s">
        <v>86</v>
      </c>
    </row>
    <row r="1057" spans="1:21" x14ac:dyDescent="0.35">
      <c r="A1057" s="1">
        <v>45647</v>
      </c>
      <c r="B1057" t="s">
        <v>48</v>
      </c>
      <c r="C1057" t="s">
        <v>49</v>
      </c>
      <c r="D1057" t="s">
        <v>50</v>
      </c>
      <c r="E1057">
        <v>322</v>
      </c>
      <c r="F1057">
        <v>150</v>
      </c>
      <c r="G1057">
        <f t="shared" si="48"/>
        <v>48300</v>
      </c>
      <c r="H1057">
        <v>100</v>
      </c>
      <c r="I1057">
        <f t="shared" si="49"/>
        <v>32200</v>
      </c>
      <c r="J1057">
        <f t="shared" si="50"/>
        <v>16100</v>
      </c>
      <c r="K1057" t="s">
        <v>35</v>
      </c>
      <c r="L1057" t="s">
        <v>25</v>
      </c>
      <c r="M1057" t="s">
        <v>26</v>
      </c>
      <c r="N1057" t="s">
        <v>43</v>
      </c>
      <c r="O1057">
        <v>711</v>
      </c>
      <c r="P1057">
        <v>322</v>
      </c>
      <c r="Q1057" t="s">
        <v>44</v>
      </c>
      <c r="R1057" t="s">
        <v>45</v>
      </c>
      <c r="S1057" t="s">
        <v>46</v>
      </c>
      <c r="T1057">
        <v>2024</v>
      </c>
      <c r="U1057" t="s">
        <v>105</v>
      </c>
    </row>
    <row r="1058" spans="1:21" x14ac:dyDescent="0.35">
      <c r="A1058" s="1">
        <v>45648</v>
      </c>
      <c r="B1058" t="s">
        <v>48</v>
      </c>
      <c r="C1058" t="s">
        <v>49</v>
      </c>
      <c r="D1058" t="s">
        <v>50</v>
      </c>
      <c r="E1058">
        <v>450</v>
      </c>
      <c r="F1058">
        <v>150</v>
      </c>
      <c r="G1058">
        <f t="shared" si="48"/>
        <v>67500</v>
      </c>
      <c r="H1058">
        <v>100</v>
      </c>
      <c r="I1058">
        <f t="shared" si="49"/>
        <v>45000</v>
      </c>
      <c r="J1058">
        <f t="shared" si="50"/>
        <v>22500</v>
      </c>
      <c r="K1058" t="s">
        <v>42</v>
      </c>
      <c r="L1058" t="s">
        <v>36</v>
      </c>
      <c r="M1058" t="s">
        <v>37</v>
      </c>
      <c r="N1058" t="s">
        <v>38</v>
      </c>
      <c r="O1058">
        <v>997</v>
      </c>
      <c r="P1058">
        <v>450</v>
      </c>
      <c r="Q1058" t="s">
        <v>94</v>
      </c>
      <c r="R1058" t="s">
        <v>75</v>
      </c>
      <c r="S1058" t="s">
        <v>95</v>
      </c>
      <c r="T1058">
        <v>2021</v>
      </c>
      <c r="U1058" t="s">
        <v>62</v>
      </c>
    </row>
    <row r="1059" spans="1:21" x14ac:dyDescent="0.35">
      <c r="A1059" s="1">
        <v>45649</v>
      </c>
      <c r="B1059" t="s">
        <v>80</v>
      </c>
      <c r="C1059" t="s">
        <v>81</v>
      </c>
      <c r="D1059" t="s">
        <v>82</v>
      </c>
      <c r="E1059">
        <v>195</v>
      </c>
      <c r="F1059">
        <v>2.5</v>
      </c>
      <c r="G1059">
        <f t="shared" si="48"/>
        <v>487.5</v>
      </c>
      <c r="H1059">
        <v>1.5</v>
      </c>
      <c r="I1059">
        <f t="shared" si="49"/>
        <v>292.5</v>
      </c>
      <c r="J1059">
        <f t="shared" si="50"/>
        <v>195</v>
      </c>
      <c r="K1059" t="s">
        <v>35</v>
      </c>
      <c r="L1059" t="s">
        <v>25</v>
      </c>
      <c r="M1059" t="s">
        <v>61</v>
      </c>
      <c r="N1059" t="s">
        <v>38</v>
      </c>
      <c r="O1059">
        <v>959</v>
      </c>
      <c r="P1059">
        <v>195</v>
      </c>
      <c r="Q1059" t="s">
        <v>92</v>
      </c>
      <c r="R1059" t="s">
        <v>45</v>
      </c>
      <c r="S1059" t="s">
        <v>93</v>
      </c>
      <c r="T1059">
        <v>2024</v>
      </c>
      <c r="U1059" t="s">
        <v>109</v>
      </c>
    </row>
    <row r="1060" spans="1:21" x14ac:dyDescent="0.35">
      <c r="A1060" s="1">
        <v>45650</v>
      </c>
      <c r="B1060" t="s">
        <v>32</v>
      </c>
      <c r="C1060" t="s">
        <v>33</v>
      </c>
      <c r="D1060" t="s">
        <v>34</v>
      </c>
      <c r="E1060">
        <v>29</v>
      </c>
      <c r="F1060">
        <v>20</v>
      </c>
      <c r="G1060">
        <f t="shared" si="48"/>
        <v>580</v>
      </c>
      <c r="H1060">
        <v>12</v>
      </c>
      <c r="I1060">
        <f t="shared" si="49"/>
        <v>348</v>
      </c>
      <c r="J1060">
        <f t="shared" si="50"/>
        <v>232</v>
      </c>
      <c r="K1060" t="s">
        <v>35</v>
      </c>
      <c r="L1060" t="s">
        <v>63</v>
      </c>
      <c r="M1060" t="s">
        <v>37</v>
      </c>
      <c r="N1060" t="s">
        <v>38</v>
      </c>
      <c r="O1060">
        <v>857</v>
      </c>
      <c r="P1060">
        <v>29</v>
      </c>
      <c r="Q1060" t="s">
        <v>94</v>
      </c>
      <c r="R1060" t="s">
        <v>75</v>
      </c>
      <c r="S1060" t="s">
        <v>95</v>
      </c>
      <c r="T1060">
        <v>2020</v>
      </c>
      <c r="U1060" t="s">
        <v>97</v>
      </c>
    </row>
    <row r="1061" spans="1:21" x14ac:dyDescent="0.35">
      <c r="A1061" s="1">
        <v>45651</v>
      </c>
      <c r="B1061" t="s">
        <v>80</v>
      </c>
      <c r="C1061" t="s">
        <v>81</v>
      </c>
      <c r="D1061" t="s">
        <v>82</v>
      </c>
      <c r="E1061">
        <v>36</v>
      </c>
      <c r="F1061">
        <v>2.5</v>
      </c>
      <c r="G1061">
        <f t="shared" si="48"/>
        <v>90</v>
      </c>
      <c r="H1061">
        <v>1.5</v>
      </c>
      <c r="I1061">
        <f t="shared" si="49"/>
        <v>54</v>
      </c>
      <c r="J1061">
        <f t="shared" si="50"/>
        <v>36</v>
      </c>
      <c r="K1061" t="s">
        <v>42</v>
      </c>
      <c r="L1061" t="s">
        <v>36</v>
      </c>
      <c r="M1061" t="s">
        <v>26</v>
      </c>
      <c r="N1061" t="s">
        <v>38</v>
      </c>
      <c r="O1061">
        <v>694</v>
      </c>
      <c r="P1061">
        <v>36</v>
      </c>
      <c r="Q1061" t="s">
        <v>28</v>
      </c>
      <c r="R1061" t="s">
        <v>29</v>
      </c>
      <c r="S1061" t="s">
        <v>30</v>
      </c>
      <c r="T1061">
        <v>2024</v>
      </c>
      <c r="U1061" t="s">
        <v>53</v>
      </c>
    </row>
    <row r="1062" spans="1:21" x14ac:dyDescent="0.35">
      <c r="A1062" s="1">
        <v>45652</v>
      </c>
      <c r="B1062" t="s">
        <v>98</v>
      </c>
      <c r="C1062" t="s">
        <v>99</v>
      </c>
      <c r="D1062" t="s">
        <v>100</v>
      </c>
      <c r="E1062">
        <v>348</v>
      </c>
      <c r="F1062">
        <v>6</v>
      </c>
      <c r="G1062">
        <f t="shared" si="48"/>
        <v>2088</v>
      </c>
      <c r="H1062">
        <v>4</v>
      </c>
      <c r="I1062">
        <f t="shared" si="49"/>
        <v>1392</v>
      </c>
      <c r="J1062">
        <f t="shared" si="50"/>
        <v>696</v>
      </c>
      <c r="K1062" t="s">
        <v>35</v>
      </c>
      <c r="L1062" t="s">
        <v>63</v>
      </c>
      <c r="M1062" t="s">
        <v>61</v>
      </c>
      <c r="N1062" t="s">
        <v>38</v>
      </c>
      <c r="O1062">
        <v>933</v>
      </c>
      <c r="P1062">
        <v>348</v>
      </c>
      <c r="Q1062" t="s">
        <v>54</v>
      </c>
      <c r="R1062" t="s">
        <v>55</v>
      </c>
      <c r="S1062" t="s">
        <v>56</v>
      </c>
      <c r="T1062">
        <v>2022</v>
      </c>
      <c r="U1062" t="s">
        <v>86</v>
      </c>
    </row>
    <row r="1063" spans="1:21" x14ac:dyDescent="0.35">
      <c r="A1063" s="1">
        <v>45653</v>
      </c>
      <c r="B1063" t="s">
        <v>98</v>
      </c>
      <c r="C1063" t="s">
        <v>99</v>
      </c>
      <c r="D1063" t="s">
        <v>100</v>
      </c>
      <c r="E1063">
        <v>247</v>
      </c>
      <c r="F1063">
        <v>6</v>
      </c>
      <c r="G1063">
        <f t="shared" si="48"/>
        <v>1482</v>
      </c>
      <c r="H1063">
        <v>4</v>
      </c>
      <c r="I1063">
        <f t="shared" si="49"/>
        <v>988</v>
      </c>
      <c r="J1063">
        <f t="shared" si="50"/>
        <v>494</v>
      </c>
      <c r="K1063" t="s">
        <v>42</v>
      </c>
      <c r="L1063" t="s">
        <v>63</v>
      </c>
      <c r="M1063" t="s">
        <v>61</v>
      </c>
      <c r="N1063" t="s">
        <v>27</v>
      </c>
      <c r="O1063">
        <v>916</v>
      </c>
      <c r="P1063">
        <v>247</v>
      </c>
      <c r="Q1063" t="s">
        <v>64</v>
      </c>
      <c r="R1063" t="s">
        <v>29</v>
      </c>
      <c r="S1063" t="s">
        <v>65</v>
      </c>
      <c r="T1063">
        <v>2022</v>
      </c>
      <c r="U1063" t="s">
        <v>96</v>
      </c>
    </row>
    <row r="1064" spans="1:21" x14ac:dyDescent="0.35">
      <c r="A1064" s="1">
        <v>45654</v>
      </c>
      <c r="B1064" t="s">
        <v>48</v>
      </c>
      <c r="C1064" t="s">
        <v>49</v>
      </c>
      <c r="D1064" t="s">
        <v>50</v>
      </c>
      <c r="E1064">
        <v>22</v>
      </c>
      <c r="F1064">
        <v>150</v>
      </c>
      <c r="G1064">
        <f t="shared" si="48"/>
        <v>3300</v>
      </c>
      <c r="H1064">
        <v>100</v>
      </c>
      <c r="I1064">
        <f t="shared" si="49"/>
        <v>2200</v>
      </c>
      <c r="J1064">
        <f t="shared" si="50"/>
        <v>1100</v>
      </c>
      <c r="K1064" t="s">
        <v>35</v>
      </c>
      <c r="L1064" t="s">
        <v>36</v>
      </c>
      <c r="M1064" t="s">
        <v>61</v>
      </c>
      <c r="N1064" t="s">
        <v>38</v>
      </c>
      <c r="O1064">
        <v>840</v>
      </c>
      <c r="P1064">
        <v>22</v>
      </c>
      <c r="Q1064" t="s">
        <v>74</v>
      </c>
      <c r="R1064" t="s">
        <v>75</v>
      </c>
      <c r="S1064" t="s">
        <v>76</v>
      </c>
      <c r="T1064">
        <v>2022</v>
      </c>
      <c r="U1064" t="s">
        <v>105</v>
      </c>
    </row>
    <row r="1065" spans="1:21" x14ac:dyDescent="0.35">
      <c r="A1065" s="1">
        <v>45655</v>
      </c>
      <c r="B1065" t="s">
        <v>48</v>
      </c>
      <c r="C1065" t="s">
        <v>49</v>
      </c>
      <c r="D1065" t="s">
        <v>50</v>
      </c>
      <c r="E1065">
        <v>270</v>
      </c>
      <c r="F1065">
        <v>150</v>
      </c>
      <c r="G1065">
        <f t="shared" si="48"/>
        <v>40500</v>
      </c>
      <c r="H1065">
        <v>100</v>
      </c>
      <c r="I1065">
        <f t="shared" si="49"/>
        <v>27000</v>
      </c>
      <c r="J1065">
        <f t="shared" si="50"/>
        <v>13500</v>
      </c>
      <c r="K1065" t="s">
        <v>35</v>
      </c>
      <c r="L1065" t="s">
        <v>73</v>
      </c>
      <c r="M1065" t="s">
        <v>37</v>
      </c>
      <c r="N1065" t="s">
        <v>38</v>
      </c>
      <c r="O1065">
        <v>611</v>
      </c>
      <c r="P1065">
        <v>270</v>
      </c>
      <c r="Q1065" t="s">
        <v>103</v>
      </c>
      <c r="R1065" t="s">
        <v>68</v>
      </c>
      <c r="S1065" t="s">
        <v>104</v>
      </c>
      <c r="T1065">
        <v>2022</v>
      </c>
      <c r="U1065" t="s">
        <v>53</v>
      </c>
    </row>
    <row r="1066" spans="1:21" x14ac:dyDescent="0.35">
      <c r="A1066" s="1">
        <v>45656</v>
      </c>
      <c r="B1066" t="s">
        <v>32</v>
      </c>
      <c r="C1066" t="s">
        <v>33</v>
      </c>
      <c r="D1066" t="s">
        <v>34</v>
      </c>
      <c r="E1066">
        <v>93</v>
      </c>
      <c r="F1066">
        <v>20</v>
      </c>
      <c r="G1066">
        <f t="shared" si="48"/>
        <v>1860</v>
      </c>
      <c r="H1066">
        <v>12</v>
      </c>
      <c r="I1066">
        <f t="shared" si="49"/>
        <v>1116</v>
      </c>
      <c r="J1066">
        <f t="shared" si="50"/>
        <v>744</v>
      </c>
      <c r="K1066" t="s">
        <v>24</v>
      </c>
      <c r="L1066" t="s">
        <v>36</v>
      </c>
      <c r="M1066" t="s">
        <v>37</v>
      </c>
      <c r="N1066" t="s">
        <v>27</v>
      </c>
      <c r="O1066">
        <v>821</v>
      </c>
      <c r="P1066">
        <v>93</v>
      </c>
      <c r="Q1066" t="s">
        <v>51</v>
      </c>
      <c r="R1066" t="s">
        <v>45</v>
      </c>
      <c r="S1066" t="s">
        <v>52</v>
      </c>
      <c r="T1066">
        <v>2023</v>
      </c>
      <c r="U1066" t="s">
        <v>91</v>
      </c>
    </row>
    <row r="1067" spans="1:21" x14ac:dyDescent="0.35">
      <c r="A1067" s="1">
        <v>45657</v>
      </c>
      <c r="B1067" t="s">
        <v>32</v>
      </c>
      <c r="C1067" t="s">
        <v>33</v>
      </c>
      <c r="D1067" t="s">
        <v>34</v>
      </c>
      <c r="E1067">
        <v>54</v>
      </c>
      <c r="F1067">
        <v>20</v>
      </c>
      <c r="G1067">
        <f t="shared" si="48"/>
        <v>1080</v>
      </c>
      <c r="H1067">
        <v>12</v>
      </c>
      <c r="I1067">
        <f t="shared" si="49"/>
        <v>648</v>
      </c>
      <c r="J1067">
        <f t="shared" si="50"/>
        <v>432</v>
      </c>
      <c r="K1067" t="s">
        <v>42</v>
      </c>
      <c r="L1067" t="s">
        <v>63</v>
      </c>
      <c r="M1067" t="s">
        <v>37</v>
      </c>
      <c r="N1067" t="s">
        <v>43</v>
      </c>
      <c r="O1067">
        <v>653</v>
      </c>
      <c r="P1067">
        <v>54</v>
      </c>
      <c r="Q1067" t="s">
        <v>64</v>
      </c>
      <c r="R1067" t="s">
        <v>29</v>
      </c>
      <c r="S1067" t="s">
        <v>65</v>
      </c>
      <c r="T1067">
        <v>2020</v>
      </c>
      <c r="U1067" t="s">
        <v>66</v>
      </c>
    </row>
    <row r="1068" spans="1:21" x14ac:dyDescent="0.35">
      <c r="A1068" s="1">
        <v>45658</v>
      </c>
      <c r="B1068" t="s">
        <v>98</v>
      </c>
      <c r="C1068" t="s">
        <v>99</v>
      </c>
      <c r="D1068" t="s">
        <v>100</v>
      </c>
      <c r="E1068">
        <v>374</v>
      </c>
      <c r="F1068">
        <v>6</v>
      </c>
      <c r="G1068">
        <f t="shared" si="48"/>
        <v>2244</v>
      </c>
      <c r="H1068">
        <v>4</v>
      </c>
      <c r="I1068">
        <f t="shared" si="49"/>
        <v>1496</v>
      </c>
      <c r="J1068">
        <f t="shared" si="50"/>
        <v>748</v>
      </c>
      <c r="K1068" t="s">
        <v>24</v>
      </c>
      <c r="L1068" t="s">
        <v>63</v>
      </c>
      <c r="M1068" t="s">
        <v>37</v>
      </c>
      <c r="N1068" t="s">
        <v>43</v>
      </c>
      <c r="O1068">
        <v>861</v>
      </c>
      <c r="P1068">
        <v>374</v>
      </c>
      <c r="Q1068" t="s">
        <v>67</v>
      </c>
      <c r="R1068" t="s">
        <v>68</v>
      </c>
      <c r="S1068" t="s">
        <v>69</v>
      </c>
      <c r="T1068">
        <v>2022</v>
      </c>
      <c r="U1068" t="s">
        <v>66</v>
      </c>
    </row>
    <row r="1069" spans="1:21" x14ac:dyDescent="0.35">
      <c r="A1069" s="1">
        <v>45659</v>
      </c>
      <c r="B1069" t="s">
        <v>98</v>
      </c>
      <c r="C1069" t="s">
        <v>99</v>
      </c>
      <c r="D1069" t="s">
        <v>100</v>
      </c>
      <c r="E1069">
        <v>302</v>
      </c>
      <c r="F1069">
        <v>6</v>
      </c>
      <c r="G1069">
        <f t="shared" si="48"/>
        <v>1812</v>
      </c>
      <c r="H1069">
        <v>4</v>
      </c>
      <c r="I1069">
        <f t="shared" si="49"/>
        <v>1208</v>
      </c>
      <c r="J1069">
        <f t="shared" si="50"/>
        <v>604</v>
      </c>
      <c r="K1069" t="s">
        <v>24</v>
      </c>
      <c r="L1069" t="s">
        <v>73</v>
      </c>
      <c r="M1069" t="s">
        <v>26</v>
      </c>
      <c r="N1069" t="s">
        <v>38</v>
      </c>
      <c r="O1069">
        <v>783</v>
      </c>
      <c r="P1069">
        <v>302</v>
      </c>
      <c r="Q1069" t="s">
        <v>101</v>
      </c>
      <c r="R1069" t="s">
        <v>101</v>
      </c>
      <c r="S1069" t="s">
        <v>102</v>
      </c>
      <c r="T1069">
        <v>2021</v>
      </c>
      <c r="U1069" t="s">
        <v>62</v>
      </c>
    </row>
    <row r="1070" spans="1:21" x14ac:dyDescent="0.35">
      <c r="A1070" s="1">
        <v>45660</v>
      </c>
      <c r="B1070" t="s">
        <v>80</v>
      </c>
      <c r="C1070" t="s">
        <v>81</v>
      </c>
      <c r="D1070" t="s">
        <v>82</v>
      </c>
      <c r="E1070">
        <v>459</v>
      </c>
      <c r="F1070">
        <v>2.5</v>
      </c>
      <c r="G1070">
        <f t="shared" si="48"/>
        <v>1147.5</v>
      </c>
      <c r="H1070">
        <v>1.5</v>
      </c>
      <c r="I1070">
        <f t="shared" si="49"/>
        <v>688.5</v>
      </c>
      <c r="J1070">
        <f t="shared" si="50"/>
        <v>459</v>
      </c>
      <c r="K1070" t="s">
        <v>42</v>
      </c>
      <c r="L1070" t="s">
        <v>63</v>
      </c>
      <c r="M1070" t="s">
        <v>61</v>
      </c>
      <c r="N1070" t="s">
        <v>27</v>
      </c>
      <c r="O1070">
        <v>987</v>
      </c>
      <c r="P1070">
        <v>459</v>
      </c>
      <c r="Q1070" t="s">
        <v>54</v>
      </c>
      <c r="R1070" t="s">
        <v>55</v>
      </c>
      <c r="S1070" t="s">
        <v>56</v>
      </c>
      <c r="T1070">
        <v>2022</v>
      </c>
      <c r="U1070" t="s">
        <v>66</v>
      </c>
    </row>
    <row r="1071" spans="1:21" x14ac:dyDescent="0.35">
      <c r="A1071" s="1">
        <v>45661</v>
      </c>
      <c r="B1071" t="s">
        <v>98</v>
      </c>
      <c r="C1071" t="s">
        <v>99</v>
      </c>
      <c r="D1071" t="s">
        <v>100</v>
      </c>
      <c r="E1071">
        <v>393</v>
      </c>
      <c r="F1071">
        <v>6</v>
      </c>
      <c r="G1071">
        <f t="shared" si="48"/>
        <v>2358</v>
      </c>
      <c r="H1071">
        <v>4</v>
      </c>
      <c r="I1071">
        <f t="shared" si="49"/>
        <v>1572</v>
      </c>
      <c r="J1071">
        <f t="shared" si="50"/>
        <v>786</v>
      </c>
      <c r="K1071" t="s">
        <v>35</v>
      </c>
      <c r="L1071" t="s">
        <v>73</v>
      </c>
      <c r="M1071" t="s">
        <v>61</v>
      </c>
      <c r="N1071" t="s">
        <v>43</v>
      </c>
      <c r="O1071">
        <v>847</v>
      </c>
      <c r="P1071">
        <v>393</v>
      </c>
      <c r="Q1071" t="s">
        <v>92</v>
      </c>
      <c r="R1071" t="s">
        <v>45</v>
      </c>
      <c r="S1071" t="s">
        <v>93</v>
      </c>
      <c r="T1071">
        <v>2023</v>
      </c>
      <c r="U1071" t="s">
        <v>57</v>
      </c>
    </row>
    <row r="1072" spans="1:21" x14ac:dyDescent="0.35">
      <c r="A1072" s="1">
        <v>45662</v>
      </c>
      <c r="B1072" t="s">
        <v>80</v>
      </c>
      <c r="C1072" t="s">
        <v>81</v>
      </c>
      <c r="D1072" t="s">
        <v>82</v>
      </c>
      <c r="E1072">
        <v>375</v>
      </c>
      <c r="F1072">
        <v>2.5</v>
      </c>
      <c r="G1072">
        <f t="shared" si="48"/>
        <v>937.5</v>
      </c>
      <c r="H1072">
        <v>1.5</v>
      </c>
      <c r="I1072">
        <f t="shared" si="49"/>
        <v>562.5</v>
      </c>
      <c r="J1072">
        <f t="shared" si="50"/>
        <v>375</v>
      </c>
      <c r="K1072" t="s">
        <v>42</v>
      </c>
      <c r="L1072" t="s">
        <v>63</v>
      </c>
      <c r="M1072" t="s">
        <v>26</v>
      </c>
      <c r="N1072" t="s">
        <v>38</v>
      </c>
      <c r="O1072">
        <v>846</v>
      </c>
      <c r="P1072">
        <v>375</v>
      </c>
      <c r="Q1072" t="s">
        <v>54</v>
      </c>
      <c r="R1072" t="s">
        <v>55</v>
      </c>
      <c r="S1072" t="s">
        <v>56</v>
      </c>
      <c r="T1072">
        <v>2020</v>
      </c>
      <c r="U1072" t="s">
        <v>53</v>
      </c>
    </row>
    <row r="1073" spans="1:21" x14ac:dyDescent="0.35">
      <c r="A1073" s="1">
        <v>45663</v>
      </c>
      <c r="B1073" t="s">
        <v>21</v>
      </c>
      <c r="C1073" t="s">
        <v>22</v>
      </c>
      <c r="D1073" t="s">
        <v>23</v>
      </c>
      <c r="E1073">
        <v>482</v>
      </c>
      <c r="F1073">
        <v>8</v>
      </c>
      <c r="G1073">
        <f t="shared" si="48"/>
        <v>3856</v>
      </c>
      <c r="H1073">
        <v>5</v>
      </c>
      <c r="I1073">
        <f t="shared" si="49"/>
        <v>2410</v>
      </c>
      <c r="J1073">
        <f t="shared" si="50"/>
        <v>1446</v>
      </c>
      <c r="K1073" t="s">
        <v>42</v>
      </c>
      <c r="L1073" t="s">
        <v>63</v>
      </c>
      <c r="M1073" t="s">
        <v>37</v>
      </c>
      <c r="N1073" t="s">
        <v>27</v>
      </c>
      <c r="O1073">
        <v>804</v>
      </c>
      <c r="P1073">
        <v>482</v>
      </c>
      <c r="Q1073" t="s">
        <v>28</v>
      </c>
      <c r="R1073" t="s">
        <v>29</v>
      </c>
      <c r="S1073" t="s">
        <v>30</v>
      </c>
      <c r="T1073">
        <v>2024</v>
      </c>
      <c r="U1073" t="s">
        <v>57</v>
      </c>
    </row>
    <row r="1074" spans="1:21" x14ac:dyDescent="0.35">
      <c r="A1074" s="1">
        <v>45664</v>
      </c>
      <c r="B1074" t="s">
        <v>21</v>
      </c>
      <c r="C1074" t="s">
        <v>22</v>
      </c>
      <c r="D1074" t="s">
        <v>23</v>
      </c>
      <c r="E1074">
        <v>461</v>
      </c>
      <c r="F1074">
        <v>8</v>
      </c>
      <c r="G1074">
        <f t="shared" si="48"/>
        <v>3688</v>
      </c>
      <c r="H1074">
        <v>5</v>
      </c>
      <c r="I1074">
        <f t="shared" si="49"/>
        <v>2305</v>
      </c>
      <c r="J1074">
        <f t="shared" si="50"/>
        <v>1383</v>
      </c>
      <c r="K1074" t="s">
        <v>42</v>
      </c>
      <c r="L1074" t="s">
        <v>73</v>
      </c>
      <c r="M1074" t="s">
        <v>61</v>
      </c>
      <c r="N1074" t="s">
        <v>27</v>
      </c>
      <c r="O1074">
        <v>723</v>
      </c>
      <c r="P1074">
        <v>461</v>
      </c>
      <c r="Q1074" t="s">
        <v>64</v>
      </c>
      <c r="R1074" t="s">
        <v>29</v>
      </c>
      <c r="S1074" t="s">
        <v>65</v>
      </c>
      <c r="T1074">
        <v>2021</v>
      </c>
      <c r="U1074" t="s">
        <v>62</v>
      </c>
    </row>
    <row r="1075" spans="1:21" x14ac:dyDescent="0.35">
      <c r="A1075" s="1">
        <v>45665</v>
      </c>
      <c r="B1075" t="s">
        <v>21</v>
      </c>
      <c r="C1075" t="s">
        <v>22</v>
      </c>
      <c r="D1075" t="s">
        <v>23</v>
      </c>
      <c r="E1075">
        <v>26</v>
      </c>
      <c r="F1075">
        <v>8</v>
      </c>
      <c r="G1075">
        <f t="shared" si="48"/>
        <v>208</v>
      </c>
      <c r="H1075">
        <v>5</v>
      </c>
      <c r="I1075">
        <f t="shared" si="49"/>
        <v>130</v>
      </c>
      <c r="J1075">
        <f t="shared" si="50"/>
        <v>78</v>
      </c>
      <c r="K1075" t="s">
        <v>42</v>
      </c>
      <c r="L1075" t="s">
        <v>63</v>
      </c>
      <c r="M1075" t="s">
        <v>61</v>
      </c>
      <c r="N1075" t="s">
        <v>38</v>
      </c>
      <c r="O1075">
        <v>629</v>
      </c>
      <c r="P1075">
        <v>26</v>
      </c>
      <c r="Q1075" t="s">
        <v>74</v>
      </c>
      <c r="R1075" t="s">
        <v>75</v>
      </c>
      <c r="S1075" t="s">
        <v>76</v>
      </c>
      <c r="T1075">
        <v>2023</v>
      </c>
      <c r="U1075" t="s">
        <v>53</v>
      </c>
    </row>
    <row r="1076" spans="1:21" x14ac:dyDescent="0.35">
      <c r="A1076" s="1">
        <v>45666</v>
      </c>
      <c r="B1076" t="s">
        <v>21</v>
      </c>
      <c r="C1076" t="s">
        <v>22</v>
      </c>
      <c r="D1076" t="s">
        <v>23</v>
      </c>
      <c r="E1076">
        <v>155</v>
      </c>
      <c r="F1076">
        <v>8</v>
      </c>
      <c r="G1076">
        <f t="shared" si="48"/>
        <v>1240</v>
      </c>
      <c r="H1076">
        <v>5</v>
      </c>
      <c r="I1076">
        <f t="shared" si="49"/>
        <v>775</v>
      </c>
      <c r="J1076">
        <f t="shared" si="50"/>
        <v>465</v>
      </c>
      <c r="K1076" t="s">
        <v>35</v>
      </c>
      <c r="L1076" t="s">
        <v>73</v>
      </c>
      <c r="M1076" t="s">
        <v>37</v>
      </c>
      <c r="N1076" t="s">
        <v>43</v>
      </c>
      <c r="O1076">
        <v>949</v>
      </c>
      <c r="P1076">
        <v>155</v>
      </c>
      <c r="Q1076" t="s">
        <v>28</v>
      </c>
      <c r="R1076" t="s">
        <v>29</v>
      </c>
      <c r="S1076" t="s">
        <v>30</v>
      </c>
      <c r="T1076">
        <v>2023</v>
      </c>
      <c r="U1076" t="s">
        <v>105</v>
      </c>
    </row>
    <row r="1077" spans="1:21" x14ac:dyDescent="0.35">
      <c r="A1077" s="1">
        <v>45667</v>
      </c>
      <c r="B1077" t="s">
        <v>21</v>
      </c>
      <c r="C1077" t="s">
        <v>22</v>
      </c>
      <c r="D1077" t="s">
        <v>23</v>
      </c>
      <c r="E1077">
        <v>454</v>
      </c>
      <c r="F1077">
        <v>8</v>
      </c>
      <c r="G1077">
        <f t="shared" si="48"/>
        <v>3632</v>
      </c>
      <c r="H1077">
        <v>5</v>
      </c>
      <c r="I1077">
        <f t="shared" si="49"/>
        <v>2270</v>
      </c>
      <c r="J1077">
        <f t="shared" si="50"/>
        <v>1362</v>
      </c>
      <c r="K1077" t="s">
        <v>24</v>
      </c>
      <c r="L1077" t="s">
        <v>36</v>
      </c>
      <c r="M1077" t="s">
        <v>37</v>
      </c>
      <c r="N1077" t="s">
        <v>43</v>
      </c>
      <c r="O1077">
        <v>567</v>
      </c>
      <c r="P1077">
        <v>454</v>
      </c>
      <c r="Q1077" t="s">
        <v>44</v>
      </c>
      <c r="R1077" t="s">
        <v>45</v>
      </c>
      <c r="S1077" t="s">
        <v>46</v>
      </c>
      <c r="T1077">
        <v>2020</v>
      </c>
      <c r="U1077" t="s">
        <v>109</v>
      </c>
    </row>
    <row r="1078" spans="1:21" x14ac:dyDescent="0.35">
      <c r="A1078" s="1">
        <v>45668</v>
      </c>
      <c r="B1078" t="s">
        <v>32</v>
      </c>
      <c r="C1078" t="s">
        <v>33</v>
      </c>
      <c r="D1078" t="s">
        <v>34</v>
      </c>
      <c r="E1078">
        <v>336</v>
      </c>
      <c r="F1078">
        <v>20</v>
      </c>
      <c r="G1078">
        <f t="shared" si="48"/>
        <v>6720</v>
      </c>
      <c r="H1078">
        <v>12</v>
      </c>
      <c r="I1078">
        <f t="shared" si="49"/>
        <v>4032</v>
      </c>
      <c r="J1078">
        <f t="shared" si="50"/>
        <v>2688</v>
      </c>
      <c r="K1078" t="s">
        <v>42</v>
      </c>
      <c r="L1078" t="s">
        <v>36</v>
      </c>
      <c r="M1078" t="s">
        <v>26</v>
      </c>
      <c r="N1078" t="s">
        <v>38</v>
      </c>
      <c r="O1078">
        <v>746</v>
      </c>
      <c r="P1078">
        <v>336</v>
      </c>
      <c r="Q1078" t="s">
        <v>94</v>
      </c>
      <c r="R1078" t="s">
        <v>75</v>
      </c>
      <c r="S1078" t="s">
        <v>95</v>
      </c>
      <c r="T1078">
        <v>2022</v>
      </c>
      <c r="U1078" t="s">
        <v>109</v>
      </c>
    </row>
    <row r="1079" spans="1:21" x14ac:dyDescent="0.35">
      <c r="A1079" s="1">
        <v>45669</v>
      </c>
      <c r="B1079" t="s">
        <v>98</v>
      </c>
      <c r="C1079" t="s">
        <v>99</v>
      </c>
      <c r="D1079" t="s">
        <v>100</v>
      </c>
      <c r="E1079">
        <v>403</v>
      </c>
      <c r="F1079">
        <v>6</v>
      </c>
      <c r="G1079">
        <f t="shared" si="48"/>
        <v>2418</v>
      </c>
      <c r="H1079">
        <v>4</v>
      </c>
      <c r="I1079">
        <f t="shared" si="49"/>
        <v>1612</v>
      </c>
      <c r="J1079">
        <f t="shared" si="50"/>
        <v>806</v>
      </c>
      <c r="K1079" t="s">
        <v>24</v>
      </c>
      <c r="L1079" t="s">
        <v>63</v>
      </c>
      <c r="M1079" t="s">
        <v>61</v>
      </c>
      <c r="N1079" t="s">
        <v>43</v>
      </c>
      <c r="O1079">
        <v>940</v>
      </c>
      <c r="P1079">
        <v>403</v>
      </c>
      <c r="Q1079" t="s">
        <v>106</v>
      </c>
      <c r="R1079" t="s">
        <v>107</v>
      </c>
      <c r="S1079" t="s">
        <v>108</v>
      </c>
      <c r="T1079">
        <v>2023</v>
      </c>
      <c r="U1079" t="s">
        <v>109</v>
      </c>
    </row>
    <row r="1080" spans="1:21" x14ac:dyDescent="0.35">
      <c r="A1080" s="1">
        <v>45670</v>
      </c>
      <c r="B1080" t="s">
        <v>32</v>
      </c>
      <c r="C1080" t="s">
        <v>33</v>
      </c>
      <c r="D1080" t="s">
        <v>34</v>
      </c>
      <c r="E1080">
        <v>419</v>
      </c>
      <c r="F1080">
        <v>20</v>
      </c>
      <c r="G1080">
        <f t="shared" si="48"/>
        <v>8380</v>
      </c>
      <c r="H1080">
        <v>12</v>
      </c>
      <c r="I1080">
        <f t="shared" si="49"/>
        <v>5028</v>
      </c>
      <c r="J1080">
        <f t="shared" si="50"/>
        <v>3352</v>
      </c>
      <c r="K1080" t="s">
        <v>42</v>
      </c>
      <c r="L1080" t="s">
        <v>25</v>
      </c>
      <c r="M1080" t="s">
        <v>37</v>
      </c>
      <c r="N1080" t="s">
        <v>43</v>
      </c>
      <c r="O1080">
        <v>759</v>
      </c>
      <c r="P1080">
        <v>419</v>
      </c>
      <c r="Q1080" t="s">
        <v>28</v>
      </c>
      <c r="R1080" t="s">
        <v>29</v>
      </c>
      <c r="S1080" t="s">
        <v>30</v>
      </c>
      <c r="T1080">
        <v>2022</v>
      </c>
      <c r="U1080" t="s">
        <v>53</v>
      </c>
    </row>
    <row r="1081" spans="1:21" x14ac:dyDescent="0.35">
      <c r="A1081" s="1">
        <v>45671</v>
      </c>
      <c r="B1081" t="s">
        <v>80</v>
      </c>
      <c r="C1081" t="s">
        <v>81</v>
      </c>
      <c r="D1081" t="s">
        <v>82</v>
      </c>
      <c r="E1081">
        <v>387</v>
      </c>
      <c r="F1081">
        <v>2.5</v>
      </c>
      <c r="G1081">
        <f t="shared" si="48"/>
        <v>967.5</v>
      </c>
      <c r="H1081">
        <v>1.5</v>
      </c>
      <c r="I1081">
        <f t="shared" si="49"/>
        <v>580.5</v>
      </c>
      <c r="J1081">
        <f t="shared" si="50"/>
        <v>387</v>
      </c>
      <c r="K1081" t="s">
        <v>24</v>
      </c>
      <c r="L1081" t="s">
        <v>36</v>
      </c>
      <c r="M1081" t="s">
        <v>26</v>
      </c>
      <c r="N1081" t="s">
        <v>27</v>
      </c>
      <c r="O1081">
        <v>951</v>
      </c>
      <c r="P1081">
        <v>387</v>
      </c>
      <c r="Q1081" t="s">
        <v>54</v>
      </c>
      <c r="R1081" t="s">
        <v>55</v>
      </c>
      <c r="S1081" t="s">
        <v>56</v>
      </c>
      <c r="T1081">
        <v>2024</v>
      </c>
      <c r="U1081" t="s">
        <v>86</v>
      </c>
    </row>
    <row r="1082" spans="1:21" x14ac:dyDescent="0.35">
      <c r="A1082" s="1">
        <v>45672</v>
      </c>
      <c r="B1082" t="s">
        <v>32</v>
      </c>
      <c r="C1082" t="s">
        <v>33</v>
      </c>
      <c r="D1082" t="s">
        <v>34</v>
      </c>
      <c r="E1082">
        <v>186</v>
      </c>
      <c r="F1082">
        <v>20</v>
      </c>
      <c r="G1082">
        <f t="shared" si="48"/>
        <v>3720</v>
      </c>
      <c r="H1082">
        <v>12</v>
      </c>
      <c r="I1082">
        <f t="shared" si="49"/>
        <v>2232</v>
      </c>
      <c r="J1082">
        <f t="shared" si="50"/>
        <v>1488</v>
      </c>
      <c r="K1082" t="s">
        <v>42</v>
      </c>
      <c r="L1082" t="s">
        <v>73</v>
      </c>
      <c r="M1082" t="s">
        <v>61</v>
      </c>
      <c r="N1082" t="s">
        <v>27</v>
      </c>
      <c r="O1082">
        <v>539</v>
      </c>
      <c r="P1082">
        <v>186</v>
      </c>
      <c r="Q1082" t="s">
        <v>101</v>
      </c>
      <c r="R1082" t="s">
        <v>101</v>
      </c>
      <c r="S1082" t="s">
        <v>102</v>
      </c>
      <c r="T1082">
        <v>2020</v>
      </c>
      <c r="U1082" t="s">
        <v>47</v>
      </c>
    </row>
    <row r="1083" spans="1:21" x14ac:dyDescent="0.35">
      <c r="A1083" s="1">
        <v>45673</v>
      </c>
      <c r="B1083" t="s">
        <v>98</v>
      </c>
      <c r="C1083" t="s">
        <v>99</v>
      </c>
      <c r="D1083" t="s">
        <v>100</v>
      </c>
      <c r="E1083">
        <v>342</v>
      </c>
      <c r="F1083">
        <v>6</v>
      </c>
      <c r="G1083">
        <f t="shared" si="48"/>
        <v>2052</v>
      </c>
      <c r="H1083">
        <v>4</v>
      </c>
      <c r="I1083">
        <f t="shared" si="49"/>
        <v>1368</v>
      </c>
      <c r="J1083">
        <f t="shared" si="50"/>
        <v>684</v>
      </c>
      <c r="K1083" t="s">
        <v>35</v>
      </c>
      <c r="L1083" t="s">
        <v>36</v>
      </c>
      <c r="M1083" t="s">
        <v>37</v>
      </c>
      <c r="N1083" t="s">
        <v>43</v>
      </c>
      <c r="O1083">
        <v>755</v>
      </c>
      <c r="P1083">
        <v>342</v>
      </c>
      <c r="Q1083" t="s">
        <v>83</v>
      </c>
      <c r="R1083" t="s">
        <v>84</v>
      </c>
      <c r="S1083" t="s">
        <v>85</v>
      </c>
      <c r="T1083">
        <v>2023</v>
      </c>
      <c r="U1083" t="s">
        <v>109</v>
      </c>
    </row>
    <row r="1084" spans="1:21" x14ac:dyDescent="0.35">
      <c r="A1084" s="1">
        <v>45674</v>
      </c>
      <c r="B1084" t="s">
        <v>58</v>
      </c>
      <c r="C1084" t="s">
        <v>59</v>
      </c>
      <c r="D1084" t="s">
        <v>60</v>
      </c>
      <c r="E1084">
        <v>14</v>
      </c>
      <c r="F1084">
        <v>5</v>
      </c>
      <c r="G1084">
        <f t="shared" si="48"/>
        <v>70</v>
      </c>
      <c r="H1084">
        <v>3</v>
      </c>
      <c r="I1084">
        <f t="shared" si="49"/>
        <v>42</v>
      </c>
      <c r="J1084">
        <f t="shared" si="50"/>
        <v>28</v>
      </c>
      <c r="K1084" t="s">
        <v>24</v>
      </c>
      <c r="L1084" t="s">
        <v>36</v>
      </c>
      <c r="M1084" t="s">
        <v>26</v>
      </c>
      <c r="N1084" t="s">
        <v>27</v>
      </c>
      <c r="O1084">
        <v>859</v>
      </c>
      <c r="P1084">
        <v>14</v>
      </c>
      <c r="Q1084" t="s">
        <v>94</v>
      </c>
      <c r="R1084" t="s">
        <v>75</v>
      </c>
      <c r="S1084" t="s">
        <v>95</v>
      </c>
      <c r="T1084">
        <v>2023</v>
      </c>
      <c r="U1084" t="s">
        <v>47</v>
      </c>
    </row>
    <row r="1085" spans="1:21" x14ac:dyDescent="0.35">
      <c r="A1085" s="1">
        <v>45675</v>
      </c>
      <c r="B1085" t="s">
        <v>80</v>
      </c>
      <c r="C1085" t="s">
        <v>81</v>
      </c>
      <c r="D1085" t="s">
        <v>82</v>
      </c>
      <c r="E1085">
        <v>112</v>
      </c>
      <c r="F1085">
        <v>2.5</v>
      </c>
      <c r="G1085">
        <f t="shared" si="48"/>
        <v>280</v>
      </c>
      <c r="H1085">
        <v>1.5</v>
      </c>
      <c r="I1085">
        <f t="shared" si="49"/>
        <v>168</v>
      </c>
      <c r="J1085">
        <f t="shared" si="50"/>
        <v>112</v>
      </c>
      <c r="K1085" t="s">
        <v>24</v>
      </c>
      <c r="L1085" t="s">
        <v>73</v>
      </c>
      <c r="M1085" t="s">
        <v>26</v>
      </c>
      <c r="N1085" t="s">
        <v>38</v>
      </c>
      <c r="O1085">
        <v>925</v>
      </c>
      <c r="P1085">
        <v>112</v>
      </c>
      <c r="Q1085" t="s">
        <v>87</v>
      </c>
      <c r="R1085" t="s">
        <v>88</v>
      </c>
      <c r="S1085" t="s">
        <v>89</v>
      </c>
      <c r="T1085">
        <v>2021</v>
      </c>
      <c r="U1085" t="s">
        <v>31</v>
      </c>
    </row>
    <row r="1086" spans="1:21" x14ac:dyDescent="0.35">
      <c r="A1086" s="1">
        <v>45676</v>
      </c>
      <c r="B1086" t="s">
        <v>58</v>
      </c>
      <c r="C1086" t="s">
        <v>59</v>
      </c>
      <c r="D1086" t="s">
        <v>60</v>
      </c>
      <c r="E1086">
        <v>36</v>
      </c>
      <c r="F1086">
        <v>5</v>
      </c>
      <c r="G1086">
        <f t="shared" si="48"/>
        <v>180</v>
      </c>
      <c r="H1086">
        <v>3</v>
      </c>
      <c r="I1086">
        <f t="shared" si="49"/>
        <v>108</v>
      </c>
      <c r="J1086">
        <f t="shared" si="50"/>
        <v>72</v>
      </c>
      <c r="K1086" t="s">
        <v>35</v>
      </c>
      <c r="L1086" t="s">
        <v>36</v>
      </c>
      <c r="M1086" t="s">
        <v>37</v>
      </c>
      <c r="N1086" t="s">
        <v>27</v>
      </c>
      <c r="O1086">
        <v>514</v>
      </c>
      <c r="P1086">
        <v>36</v>
      </c>
      <c r="Q1086" t="s">
        <v>28</v>
      </c>
      <c r="R1086" t="s">
        <v>29</v>
      </c>
      <c r="S1086" t="s">
        <v>30</v>
      </c>
      <c r="T1086">
        <v>2022</v>
      </c>
      <c r="U1086" t="s">
        <v>109</v>
      </c>
    </row>
    <row r="1087" spans="1:21" x14ac:dyDescent="0.35">
      <c r="A1087" s="1">
        <v>45677</v>
      </c>
      <c r="B1087" t="s">
        <v>80</v>
      </c>
      <c r="C1087" t="s">
        <v>81</v>
      </c>
      <c r="D1087" t="s">
        <v>82</v>
      </c>
      <c r="E1087">
        <v>256</v>
      </c>
      <c r="F1087">
        <v>2.5</v>
      </c>
      <c r="G1087">
        <f t="shared" si="48"/>
        <v>640</v>
      </c>
      <c r="H1087">
        <v>1.5</v>
      </c>
      <c r="I1087">
        <f t="shared" si="49"/>
        <v>384</v>
      </c>
      <c r="J1087">
        <f t="shared" si="50"/>
        <v>256</v>
      </c>
      <c r="K1087" t="s">
        <v>35</v>
      </c>
      <c r="L1087" t="s">
        <v>25</v>
      </c>
      <c r="M1087" t="s">
        <v>26</v>
      </c>
      <c r="N1087" t="s">
        <v>38</v>
      </c>
      <c r="O1087">
        <v>875</v>
      </c>
      <c r="P1087">
        <v>256</v>
      </c>
      <c r="Q1087" t="s">
        <v>77</v>
      </c>
      <c r="R1087" t="s">
        <v>78</v>
      </c>
      <c r="S1087" t="s">
        <v>79</v>
      </c>
      <c r="T1087">
        <v>2023</v>
      </c>
      <c r="U1087" t="s">
        <v>97</v>
      </c>
    </row>
    <row r="1088" spans="1:21" x14ac:dyDescent="0.35">
      <c r="A1088" s="1">
        <v>45678</v>
      </c>
      <c r="B1088" t="s">
        <v>21</v>
      </c>
      <c r="C1088" t="s">
        <v>22</v>
      </c>
      <c r="D1088" t="s">
        <v>23</v>
      </c>
      <c r="E1088">
        <v>370</v>
      </c>
      <c r="F1088">
        <v>8</v>
      </c>
      <c r="G1088">
        <f t="shared" si="48"/>
        <v>2960</v>
      </c>
      <c r="H1088">
        <v>5</v>
      </c>
      <c r="I1088">
        <f t="shared" si="49"/>
        <v>1850</v>
      </c>
      <c r="J1088">
        <f t="shared" si="50"/>
        <v>1110</v>
      </c>
      <c r="K1088" t="s">
        <v>42</v>
      </c>
      <c r="L1088" t="s">
        <v>73</v>
      </c>
      <c r="M1088" t="s">
        <v>61</v>
      </c>
      <c r="N1088" t="s">
        <v>38</v>
      </c>
      <c r="O1088">
        <v>771</v>
      </c>
      <c r="P1088">
        <v>370</v>
      </c>
      <c r="Q1088" t="s">
        <v>90</v>
      </c>
      <c r="R1088" t="s">
        <v>55</v>
      </c>
      <c r="S1088" t="s">
        <v>85</v>
      </c>
      <c r="T1088">
        <v>2020</v>
      </c>
      <c r="U1088" t="s">
        <v>105</v>
      </c>
    </row>
    <row r="1089" spans="1:21" x14ac:dyDescent="0.35">
      <c r="A1089" s="1">
        <v>45679</v>
      </c>
      <c r="B1089" t="s">
        <v>32</v>
      </c>
      <c r="C1089" t="s">
        <v>33</v>
      </c>
      <c r="D1089" t="s">
        <v>34</v>
      </c>
      <c r="E1089">
        <v>380</v>
      </c>
      <c r="F1089">
        <v>20</v>
      </c>
      <c r="G1089">
        <f t="shared" si="48"/>
        <v>7600</v>
      </c>
      <c r="H1089">
        <v>12</v>
      </c>
      <c r="I1089">
        <f t="shared" si="49"/>
        <v>4560</v>
      </c>
      <c r="J1089">
        <f t="shared" si="50"/>
        <v>3040</v>
      </c>
      <c r="K1089" t="s">
        <v>42</v>
      </c>
      <c r="L1089" t="s">
        <v>63</v>
      </c>
      <c r="M1089" t="s">
        <v>61</v>
      </c>
      <c r="N1089" t="s">
        <v>38</v>
      </c>
      <c r="O1089">
        <v>812</v>
      </c>
      <c r="P1089">
        <v>380</v>
      </c>
      <c r="Q1089" t="s">
        <v>67</v>
      </c>
      <c r="R1089" t="s">
        <v>68</v>
      </c>
      <c r="S1089" t="s">
        <v>69</v>
      </c>
      <c r="T1089">
        <v>2024</v>
      </c>
      <c r="U1089" t="s">
        <v>96</v>
      </c>
    </row>
    <row r="1090" spans="1:21" x14ac:dyDescent="0.35">
      <c r="A1090" s="1">
        <v>45680</v>
      </c>
      <c r="B1090" t="s">
        <v>48</v>
      </c>
      <c r="C1090" t="s">
        <v>49</v>
      </c>
      <c r="D1090" t="s">
        <v>50</v>
      </c>
      <c r="E1090">
        <v>140</v>
      </c>
      <c r="F1090">
        <v>150</v>
      </c>
      <c r="G1090">
        <f t="shared" si="48"/>
        <v>21000</v>
      </c>
      <c r="H1090">
        <v>100</v>
      </c>
      <c r="I1090">
        <f t="shared" si="49"/>
        <v>14000</v>
      </c>
      <c r="J1090">
        <f t="shared" si="50"/>
        <v>7000</v>
      </c>
      <c r="K1090" t="s">
        <v>35</v>
      </c>
      <c r="L1090" t="s">
        <v>36</v>
      </c>
      <c r="M1090" t="s">
        <v>37</v>
      </c>
      <c r="N1090" t="s">
        <v>43</v>
      </c>
      <c r="O1090">
        <v>513</v>
      </c>
      <c r="P1090">
        <v>140</v>
      </c>
      <c r="Q1090" t="s">
        <v>113</v>
      </c>
      <c r="R1090" t="s">
        <v>114</v>
      </c>
      <c r="S1090" t="s">
        <v>115</v>
      </c>
      <c r="T1090">
        <v>2022</v>
      </c>
      <c r="U1090" t="s">
        <v>91</v>
      </c>
    </row>
    <row r="1091" spans="1:21" x14ac:dyDescent="0.35">
      <c r="A1091" s="1">
        <v>45681</v>
      </c>
      <c r="B1091" t="s">
        <v>80</v>
      </c>
      <c r="C1091" t="s">
        <v>81</v>
      </c>
      <c r="D1091" t="s">
        <v>82</v>
      </c>
      <c r="E1091">
        <v>362</v>
      </c>
      <c r="F1091">
        <v>2.5</v>
      </c>
      <c r="G1091">
        <f t="shared" ref="G1091:G1154" si="51">E1091*F1091</f>
        <v>905</v>
      </c>
      <c r="H1091">
        <v>1.5</v>
      </c>
      <c r="I1091">
        <f t="shared" ref="I1091:I1154" si="52">E1091*H1091</f>
        <v>543</v>
      </c>
      <c r="J1091">
        <f t="shared" ref="J1091:J1154" si="53">G1091-I1091</f>
        <v>362</v>
      </c>
      <c r="K1091" t="s">
        <v>24</v>
      </c>
      <c r="L1091" t="s">
        <v>63</v>
      </c>
      <c r="M1091" t="s">
        <v>26</v>
      </c>
      <c r="N1091" t="s">
        <v>38</v>
      </c>
      <c r="O1091">
        <v>697</v>
      </c>
      <c r="P1091">
        <v>362</v>
      </c>
      <c r="Q1091" t="s">
        <v>64</v>
      </c>
      <c r="R1091" t="s">
        <v>29</v>
      </c>
      <c r="S1091" t="s">
        <v>65</v>
      </c>
      <c r="T1091">
        <v>2022</v>
      </c>
      <c r="U1091" t="s">
        <v>91</v>
      </c>
    </row>
    <row r="1092" spans="1:21" x14ac:dyDescent="0.35">
      <c r="A1092" s="1">
        <v>45682</v>
      </c>
      <c r="B1092" t="s">
        <v>58</v>
      </c>
      <c r="C1092" t="s">
        <v>59</v>
      </c>
      <c r="D1092" t="s">
        <v>60</v>
      </c>
      <c r="E1092">
        <v>485</v>
      </c>
      <c r="F1092">
        <v>5</v>
      </c>
      <c r="G1092">
        <f t="shared" si="51"/>
        <v>2425</v>
      </c>
      <c r="H1092">
        <v>3</v>
      </c>
      <c r="I1092">
        <f t="shared" si="52"/>
        <v>1455</v>
      </c>
      <c r="J1092">
        <f t="shared" si="53"/>
        <v>970</v>
      </c>
      <c r="K1092" t="s">
        <v>24</v>
      </c>
      <c r="L1092" t="s">
        <v>36</v>
      </c>
      <c r="M1092" t="s">
        <v>37</v>
      </c>
      <c r="N1092" t="s">
        <v>43</v>
      </c>
      <c r="O1092">
        <v>972</v>
      </c>
      <c r="P1092">
        <v>485</v>
      </c>
      <c r="Q1092" t="s">
        <v>94</v>
      </c>
      <c r="R1092" t="s">
        <v>75</v>
      </c>
      <c r="S1092" t="s">
        <v>95</v>
      </c>
      <c r="T1092">
        <v>2022</v>
      </c>
      <c r="U1092" t="s">
        <v>97</v>
      </c>
    </row>
    <row r="1093" spans="1:21" x14ac:dyDescent="0.35">
      <c r="A1093" s="1">
        <v>45683</v>
      </c>
      <c r="B1093" t="s">
        <v>80</v>
      </c>
      <c r="C1093" t="s">
        <v>81</v>
      </c>
      <c r="D1093" t="s">
        <v>82</v>
      </c>
      <c r="E1093">
        <v>377</v>
      </c>
      <c r="F1093">
        <v>2.5</v>
      </c>
      <c r="G1093">
        <f t="shared" si="51"/>
        <v>942.5</v>
      </c>
      <c r="H1093">
        <v>1.5</v>
      </c>
      <c r="I1093">
        <f t="shared" si="52"/>
        <v>565.5</v>
      </c>
      <c r="J1093">
        <f t="shared" si="53"/>
        <v>377</v>
      </c>
      <c r="K1093" t="s">
        <v>24</v>
      </c>
      <c r="L1093" t="s">
        <v>36</v>
      </c>
      <c r="M1093" t="s">
        <v>26</v>
      </c>
      <c r="N1093" t="s">
        <v>27</v>
      </c>
      <c r="O1093">
        <v>505</v>
      </c>
      <c r="P1093">
        <v>377</v>
      </c>
      <c r="Q1093" t="s">
        <v>90</v>
      </c>
      <c r="R1093" t="s">
        <v>55</v>
      </c>
      <c r="S1093" t="s">
        <v>85</v>
      </c>
      <c r="T1093">
        <v>2020</v>
      </c>
      <c r="U1093" t="s">
        <v>47</v>
      </c>
    </row>
    <row r="1094" spans="1:21" x14ac:dyDescent="0.35">
      <c r="A1094" s="1">
        <v>45684</v>
      </c>
      <c r="B1094" t="s">
        <v>48</v>
      </c>
      <c r="C1094" t="s">
        <v>49</v>
      </c>
      <c r="D1094" t="s">
        <v>50</v>
      </c>
      <c r="E1094">
        <v>314</v>
      </c>
      <c r="F1094">
        <v>150</v>
      </c>
      <c r="G1094">
        <f t="shared" si="51"/>
        <v>47100</v>
      </c>
      <c r="H1094">
        <v>100</v>
      </c>
      <c r="I1094">
        <f t="shared" si="52"/>
        <v>31400</v>
      </c>
      <c r="J1094">
        <f t="shared" si="53"/>
        <v>15700</v>
      </c>
      <c r="K1094" t="s">
        <v>42</v>
      </c>
      <c r="L1094" t="s">
        <v>25</v>
      </c>
      <c r="M1094" t="s">
        <v>37</v>
      </c>
      <c r="N1094" t="s">
        <v>27</v>
      </c>
      <c r="O1094">
        <v>583</v>
      </c>
      <c r="P1094">
        <v>314</v>
      </c>
      <c r="Q1094" t="s">
        <v>74</v>
      </c>
      <c r="R1094" t="s">
        <v>75</v>
      </c>
      <c r="S1094" t="s">
        <v>76</v>
      </c>
      <c r="T1094">
        <v>2020</v>
      </c>
      <c r="U1094" t="s">
        <v>105</v>
      </c>
    </row>
    <row r="1095" spans="1:21" x14ac:dyDescent="0.35">
      <c r="A1095" s="1">
        <v>45685</v>
      </c>
      <c r="B1095" t="s">
        <v>80</v>
      </c>
      <c r="C1095" t="s">
        <v>81</v>
      </c>
      <c r="D1095" t="s">
        <v>82</v>
      </c>
      <c r="E1095">
        <v>368</v>
      </c>
      <c r="F1095">
        <v>2.5</v>
      </c>
      <c r="G1095">
        <f t="shared" si="51"/>
        <v>920</v>
      </c>
      <c r="H1095">
        <v>1.5</v>
      </c>
      <c r="I1095">
        <f t="shared" si="52"/>
        <v>552</v>
      </c>
      <c r="J1095">
        <f t="shared" si="53"/>
        <v>368</v>
      </c>
      <c r="K1095" t="s">
        <v>24</v>
      </c>
      <c r="L1095" t="s">
        <v>36</v>
      </c>
      <c r="M1095" t="s">
        <v>61</v>
      </c>
      <c r="N1095" t="s">
        <v>27</v>
      </c>
      <c r="O1095">
        <v>682</v>
      </c>
      <c r="P1095">
        <v>368</v>
      </c>
      <c r="Q1095" t="s">
        <v>67</v>
      </c>
      <c r="R1095" t="s">
        <v>68</v>
      </c>
      <c r="S1095" t="s">
        <v>69</v>
      </c>
      <c r="T1095">
        <v>2024</v>
      </c>
      <c r="U1095" t="s">
        <v>91</v>
      </c>
    </row>
    <row r="1096" spans="1:21" x14ac:dyDescent="0.35">
      <c r="A1096" s="1">
        <v>45686</v>
      </c>
      <c r="B1096" t="s">
        <v>58</v>
      </c>
      <c r="C1096" t="s">
        <v>59</v>
      </c>
      <c r="D1096" t="s">
        <v>60</v>
      </c>
      <c r="E1096">
        <v>341</v>
      </c>
      <c r="F1096">
        <v>5</v>
      </c>
      <c r="G1096">
        <f t="shared" si="51"/>
        <v>1705</v>
      </c>
      <c r="H1096">
        <v>3</v>
      </c>
      <c r="I1096">
        <f t="shared" si="52"/>
        <v>1023</v>
      </c>
      <c r="J1096">
        <f t="shared" si="53"/>
        <v>682</v>
      </c>
      <c r="K1096" t="s">
        <v>35</v>
      </c>
      <c r="L1096" t="s">
        <v>73</v>
      </c>
      <c r="M1096" t="s">
        <v>37</v>
      </c>
      <c r="N1096" t="s">
        <v>38</v>
      </c>
      <c r="O1096">
        <v>733</v>
      </c>
      <c r="P1096">
        <v>341</v>
      </c>
      <c r="Q1096" t="s">
        <v>51</v>
      </c>
      <c r="R1096" t="s">
        <v>45</v>
      </c>
      <c r="S1096" t="s">
        <v>52</v>
      </c>
      <c r="T1096">
        <v>2023</v>
      </c>
      <c r="U1096" t="s">
        <v>66</v>
      </c>
    </row>
    <row r="1097" spans="1:21" x14ac:dyDescent="0.35">
      <c r="A1097" s="1">
        <v>45687</v>
      </c>
      <c r="B1097" t="s">
        <v>32</v>
      </c>
      <c r="C1097" t="s">
        <v>33</v>
      </c>
      <c r="D1097" t="s">
        <v>34</v>
      </c>
      <c r="E1097">
        <v>380</v>
      </c>
      <c r="F1097">
        <v>20</v>
      </c>
      <c r="G1097">
        <f t="shared" si="51"/>
        <v>7600</v>
      </c>
      <c r="H1097">
        <v>12</v>
      </c>
      <c r="I1097">
        <f t="shared" si="52"/>
        <v>4560</v>
      </c>
      <c r="J1097">
        <f t="shared" si="53"/>
        <v>3040</v>
      </c>
      <c r="K1097" t="s">
        <v>42</v>
      </c>
      <c r="L1097" t="s">
        <v>73</v>
      </c>
      <c r="M1097" t="s">
        <v>26</v>
      </c>
      <c r="N1097" t="s">
        <v>43</v>
      </c>
      <c r="O1097">
        <v>520</v>
      </c>
      <c r="P1097">
        <v>380</v>
      </c>
      <c r="Q1097" t="s">
        <v>67</v>
      </c>
      <c r="R1097" t="s">
        <v>68</v>
      </c>
      <c r="S1097" t="s">
        <v>69</v>
      </c>
      <c r="T1097">
        <v>2023</v>
      </c>
      <c r="U1097" t="s">
        <v>31</v>
      </c>
    </row>
    <row r="1098" spans="1:21" x14ac:dyDescent="0.35">
      <c r="A1098" s="1">
        <v>45688</v>
      </c>
      <c r="B1098" t="s">
        <v>98</v>
      </c>
      <c r="C1098" t="s">
        <v>99</v>
      </c>
      <c r="D1098" t="s">
        <v>100</v>
      </c>
      <c r="E1098">
        <v>203</v>
      </c>
      <c r="F1098">
        <v>6</v>
      </c>
      <c r="G1098">
        <f t="shared" si="51"/>
        <v>1218</v>
      </c>
      <c r="H1098">
        <v>4</v>
      </c>
      <c r="I1098">
        <f t="shared" si="52"/>
        <v>812</v>
      </c>
      <c r="J1098">
        <f t="shared" si="53"/>
        <v>406</v>
      </c>
      <c r="K1098" t="s">
        <v>24</v>
      </c>
      <c r="L1098" t="s">
        <v>25</v>
      </c>
      <c r="M1098" t="s">
        <v>37</v>
      </c>
      <c r="N1098" t="s">
        <v>38</v>
      </c>
      <c r="O1098">
        <v>605</v>
      </c>
      <c r="P1098">
        <v>203</v>
      </c>
      <c r="Q1098" t="s">
        <v>87</v>
      </c>
      <c r="R1098" t="s">
        <v>88</v>
      </c>
      <c r="S1098" t="s">
        <v>89</v>
      </c>
      <c r="T1098">
        <v>2022</v>
      </c>
      <c r="U1098" t="s">
        <v>97</v>
      </c>
    </row>
    <row r="1099" spans="1:21" x14ac:dyDescent="0.35">
      <c r="A1099" s="1">
        <v>45689</v>
      </c>
      <c r="B1099" t="s">
        <v>21</v>
      </c>
      <c r="C1099" t="s">
        <v>22</v>
      </c>
      <c r="D1099" t="s">
        <v>23</v>
      </c>
      <c r="E1099">
        <v>120</v>
      </c>
      <c r="F1099">
        <v>8</v>
      </c>
      <c r="G1099">
        <f t="shared" si="51"/>
        <v>960</v>
      </c>
      <c r="H1099">
        <v>5</v>
      </c>
      <c r="I1099">
        <f t="shared" si="52"/>
        <v>600</v>
      </c>
      <c r="J1099">
        <f t="shared" si="53"/>
        <v>360</v>
      </c>
      <c r="K1099" t="s">
        <v>24</v>
      </c>
      <c r="L1099" t="s">
        <v>63</v>
      </c>
      <c r="M1099" t="s">
        <v>37</v>
      </c>
      <c r="N1099" t="s">
        <v>38</v>
      </c>
      <c r="O1099">
        <v>736</v>
      </c>
      <c r="P1099">
        <v>120</v>
      </c>
      <c r="Q1099" t="s">
        <v>39</v>
      </c>
      <c r="R1099" t="s">
        <v>40</v>
      </c>
      <c r="S1099" t="s">
        <v>41</v>
      </c>
      <c r="T1099">
        <v>2020</v>
      </c>
      <c r="U1099" t="s">
        <v>47</v>
      </c>
    </row>
    <row r="1100" spans="1:21" x14ac:dyDescent="0.35">
      <c r="A1100" s="1">
        <v>45690</v>
      </c>
      <c r="B1100" t="s">
        <v>80</v>
      </c>
      <c r="C1100" t="s">
        <v>81</v>
      </c>
      <c r="D1100" t="s">
        <v>82</v>
      </c>
      <c r="E1100">
        <v>448</v>
      </c>
      <c r="F1100">
        <v>2.5</v>
      </c>
      <c r="G1100">
        <f t="shared" si="51"/>
        <v>1120</v>
      </c>
      <c r="H1100">
        <v>1.5</v>
      </c>
      <c r="I1100">
        <f t="shared" si="52"/>
        <v>672</v>
      </c>
      <c r="J1100">
        <f t="shared" si="53"/>
        <v>448</v>
      </c>
      <c r="K1100" t="s">
        <v>35</v>
      </c>
      <c r="L1100" t="s">
        <v>73</v>
      </c>
      <c r="M1100" t="s">
        <v>26</v>
      </c>
      <c r="N1100" t="s">
        <v>27</v>
      </c>
      <c r="O1100">
        <v>812</v>
      </c>
      <c r="P1100">
        <v>448</v>
      </c>
      <c r="Q1100" t="s">
        <v>70</v>
      </c>
      <c r="R1100" t="s">
        <v>71</v>
      </c>
      <c r="S1100" t="s">
        <v>72</v>
      </c>
      <c r="T1100">
        <v>2024</v>
      </c>
      <c r="U1100" t="s">
        <v>96</v>
      </c>
    </row>
    <row r="1101" spans="1:21" x14ac:dyDescent="0.35">
      <c r="A1101" s="1">
        <v>45691</v>
      </c>
      <c r="B1101" t="s">
        <v>58</v>
      </c>
      <c r="C1101" t="s">
        <v>59</v>
      </c>
      <c r="D1101" t="s">
        <v>60</v>
      </c>
      <c r="E1101">
        <v>69</v>
      </c>
      <c r="F1101">
        <v>5</v>
      </c>
      <c r="G1101">
        <f t="shared" si="51"/>
        <v>345</v>
      </c>
      <c r="H1101">
        <v>3</v>
      </c>
      <c r="I1101">
        <f t="shared" si="52"/>
        <v>207</v>
      </c>
      <c r="J1101">
        <f t="shared" si="53"/>
        <v>138</v>
      </c>
      <c r="K1101" t="s">
        <v>42</v>
      </c>
      <c r="L1101" t="s">
        <v>25</v>
      </c>
      <c r="M1101" t="s">
        <v>26</v>
      </c>
      <c r="N1101" t="s">
        <v>43</v>
      </c>
      <c r="O1101">
        <v>709</v>
      </c>
      <c r="P1101">
        <v>69</v>
      </c>
      <c r="Q1101" t="s">
        <v>113</v>
      </c>
      <c r="R1101" t="s">
        <v>114</v>
      </c>
      <c r="S1101" t="s">
        <v>115</v>
      </c>
      <c r="T1101">
        <v>2021</v>
      </c>
      <c r="U1101" t="s">
        <v>96</v>
      </c>
    </row>
    <row r="1102" spans="1:21" x14ac:dyDescent="0.35">
      <c r="A1102" s="1">
        <v>45692</v>
      </c>
      <c r="B1102" t="s">
        <v>98</v>
      </c>
      <c r="C1102" t="s">
        <v>99</v>
      </c>
      <c r="D1102" t="s">
        <v>100</v>
      </c>
      <c r="E1102">
        <v>128</v>
      </c>
      <c r="F1102">
        <v>6</v>
      </c>
      <c r="G1102">
        <f t="shared" si="51"/>
        <v>768</v>
      </c>
      <c r="H1102">
        <v>4</v>
      </c>
      <c r="I1102">
        <f t="shared" si="52"/>
        <v>512</v>
      </c>
      <c r="J1102">
        <f t="shared" si="53"/>
        <v>256</v>
      </c>
      <c r="K1102" t="s">
        <v>35</v>
      </c>
      <c r="L1102" t="s">
        <v>63</v>
      </c>
      <c r="M1102" t="s">
        <v>37</v>
      </c>
      <c r="N1102" t="s">
        <v>43</v>
      </c>
      <c r="O1102">
        <v>787</v>
      </c>
      <c r="P1102">
        <v>128</v>
      </c>
      <c r="Q1102" t="s">
        <v>44</v>
      </c>
      <c r="R1102" t="s">
        <v>45</v>
      </c>
      <c r="S1102" t="s">
        <v>46</v>
      </c>
      <c r="T1102">
        <v>2024</v>
      </c>
      <c r="U1102" t="s">
        <v>66</v>
      </c>
    </row>
    <row r="1103" spans="1:21" x14ac:dyDescent="0.35">
      <c r="A1103" s="1">
        <v>45693</v>
      </c>
      <c r="B1103" t="s">
        <v>80</v>
      </c>
      <c r="C1103" t="s">
        <v>81</v>
      </c>
      <c r="D1103" t="s">
        <v>82</v>
      </c>
      <c r="E1103">
        <v>142</v>
      </c>
      <c r="F1103">
        <v>2.5</v>
      </c>
      <c r="G1103">
        <f t="shared" si="51"/>
        <v>355</v>
      </c>
      <c r="H1103">
        <v>1.5</v>
      </c>
      <c r="I1103">
        <f t="shared" si="52"/>
        <v>213</v>
      </c>
      <c r="J1103">
        <f t="shared" si="53"/>
        <v>142</v>
      </c>
      <c r="K1103" t="s">
        <v>35</v>
      </c>
      <c r="L1103" t="s">
        <v>73</v>
      </c>
      <c r="M1103" t="s">
        <v>26</v>
      </c>
      <c r="N1103" t="s">
        <v>43</v>
      </c>
      <c r="O1103">
        <v>791</v>
      </c>
      <c r="P1103">
        <v>142</v>
      </c>
      <c r="Q1103" t="s">
        <v>44</v>
      </c>
      <c r="R1103" t="s">
        <v>45</v>
      </c>
      <c r="S1103" t="s">
        <v>46</v>
      </c>
      <c r="T1103">
        <v>2024</v>
      </c>
      <c r="U1103" t="s">
        <v>109</v>
      </c>
    </row>
    <row r="1104" spans="1:21" x14ac:dyDescent="0.35">
      <c r="A1104" s="1">
        <v>45694</v>
      </c>
      <c r="B1104" t="s">
        <v>48</v>
      </c>
      <c r="C1104" t="s">
        <v>49</v>
      </c>
      <c r="D1104" t="s">
        <v>50</v>
      </c>
      <c r="E1104">
        <v>117</v>
      </c>
      <c r="F1104">
        <v>150</v>
      </c>
      <c r="G1104">
        <f t="shared" si="51"/>
        <v>17550</v>
      </c>
      <c r="H1104">
        <v>100</v>
      </c>
      <c r="I1104">
        <f t="shared" si="52"/>
        <v>11700</v>
      </c>
      <c r="J1104">
        <f t="shared" si="53"/>
        <v>5850</v>
      </c>
      <c r="K1104" t="s">
        <v>24</v>
      </c>
      <c r="L1104" t="s">
        <v>25</v>
      </c>
      <c r="M1104" t="s">
        <v>26</v>
      </c>
      <c r="N1104" t="s">
        <v>27</v>
      </c>
      <c r="O1104">
        <v>834</v>
      </c>
      <c r="P1104">
        <v>117</v>
      </c>
      <c r="Q1104" t="s">
        <v>101</v>
      </c>
      <c r="R1104" t="s">
        <v>101</v>
      </c>
      <c r="S1104" t="s">
        <v>102</v>
      </c>
      <c r="T1104">
        <v>2021</v>
      </c>
      <c r="U1104" t="s">
        <v>53</v>
      </c>
    </row>
    <row r="1105" spans="1:21" x14ac:dyDescent="0.35">
      <c r="A1105" s="1">
        <v>45695</v>
      </c>
      <c r="B1105" t="s">
        <v>32</v>
      </c>
      <c r="C1105" t="s">
        <v>33</v>
      </c>
      <c r="D1105" t="s">
        <v>34</v>
      </c>
      <c r="E1105">
        <v>254</v>
      </c>
      <c r="F1105">
        <v>20</v>
      </c>
      <c r="G1105">
        <f t="shared" si="51"/>
        <v>5080</v>
      </c>
      <c r="H1105">
        <v>12</v>
      </c>
      <c r="I1105">
        <f t="shared" si="52"/>
        <v>3048</v>
      </c>
      <c r="J1105">
        <f t="shared" si="53"/>
        <v>2032</v>
      </c>
      <c r="K1105" t="s">
        <v>42</v>
      </c>
      <c r="L1105" t="s">
        <v>63</v>
      </c>
      <c r="M1105" t="s">
        <v>26</v>
      </c>
      <c r="N1105" t="s">
        <v>43</v>
      </c>
      <c r="O1105">
        <v>831</v>
      </c>
      <c r="P1105">
        <v>254</v>
      </c>
      <c r="Q1105" t="s">
        <v>92</v>
      </c>
      <c r="R1105" t="s">
        <v>45</v>
      </c>
      <c r="S1105" t="s">
        <v>93</v>
      </c>
      <c r="T1105">
        <v>2023</v>
      </c>
      <c r="U1105" t="s">
        <v>91</v>
      </c>
    </row>
    <row r="1106" spans="1:21" x14ac:dyDescent="0.35">
      <c r="A1106" s="1">
        <v>45696</v>
      </c>
      <c r="B1106" t="s">
        <v>32</v>
      </c>
      <c r="C1106" t="s">
        <v>33</v>
      </c>
      <c r="D1106" t="s">
        <v>34</v>
      </c>
      <c r="E1106">
        <v>164</v>
      </c>
      <c r="F1106">
        <v>20</v>
      </c>
      <c r="G1106">
        <f t="shared" si="51"/>
        <v>3280</v>
      </c>
      <c r="H1106">
        <v>12</v>
      </c>
      <c r="I1106">
        <f t="shared" si="52"/>
        <v>1968</v>
      </c>
      <c r="J1106">
        <f t="shared" si="53"/>
        <v>1312</v>
      </c>
      <c r="K1106" t="s">
        <v>24</v>
      </c>
      <c r="L1106" t="s">
        <v>25</v>
      </c>
      <c r="M1106" t="s">
        <v>61</v>
      </c>
      <c r="N1106" t="s">
        <v>43</v>
      </c>
      <c r="O1106">
        <v>866</v>
      </c>
      <c r="P1106">
        <v>164</v>
      </c>
      <c r="Q1106" t="s">
        <v>28</v>
      </c>
      <c r="R1106" t="s">
        <v>29</v>
      </c>
      <c r="S1106" t="s">
        <v>30</v>
      </c>
      <c r="T1106">
        <v>2023</v>
      </c>
      <c r="U1106" t="s">
        <v>105</v>
      </c>
    </row>
    <row r="1107" spans="1:21" x14ac:dyDescent="0.35">
      <c r="A1107" s="1">
        <v>45697</v>
      </c>
      <c r="B1107" t="s">
        <v>58</v>
      </c>
      <c r="C1107" t="s">
        <v>59</v>
      </c>
      <c r="D1107" t="s">
        <v>60</v>
      </c>
      <c r="E1107">
        <v>176</v>
      </c>
      <c r="F1107">
        <v>5</v>
      </c>
      <c r="G1107">
        <f t="shared" si="51"/>
        <v>880</v>
      </c>
      <c r="H1107">
        <v>3</v>
      </c>
      <c r="I1107">
        <f t="shared" si="52"/>
        <v>528</v>
      </c>
      <c r="J1107">
        <f t="shared" si="53"/>
        <v>352</v>
      </c>
      <c r="K1107" t="s">
        <v>35</v>
      </c>
      <c r="L1107" t="s">
        <v>25</v>
      </c>
      <c r="M1107" t="s">
        <v>26</v>
      </c>
      <c r="N1107" t="s">
        <v>43</v>
      </c>
      <c r="O1107">
        <v>690</v>
      </c>
      <c r="P1107">
        <v>176</v>
      </c>
      <c r="Q1107" t="s">
        <v>90</v>
      </c>
      <c r="R1107" t="s">
        <v>55</v>
      </c>
      <c r="S1107" t="s">
        <v>85</v>
      </c>
      <c r="T1107">
        <v>2024</v>
      </c>
      <c r="U1107" t="s">
        <v>105</v>
      </c>
    </row>
    <row r="1108" spans="1:21" x14ac:dyDescent="0.35">
      <c r="A1108" s="1">
        <v>45698</v>
      </c>
      <c r="B1108" t="s">
        <v>58</v>
      </c>
      <c r="C1108" t="s">
        <v>59</v>
      </c>
      <c r="D1108" t="s">
        <v>60</v>
      </c>
      <c r="E1108">
        <v>264</v>
      </c>
      <c r="F1108">
        <v>5</v>
      </c>
      <c r="G1108">
        <f t="shared" si="51"/>
        <v>1320</v>
      </c>
      <c r="H1108">
        <v>3</v>
      </c>
      <c r="I1108">
        <f t="shared" si="52"/>
        <v>792</v>
      </c>
      <c r="J1108">
        <f t="shared" si="53"/>
        <v>528</v>
      </c>
      <c r="K1108" t="s">
        <v>24</v>
      </c>
      <c r="L1108" t="s">
        <v>63</v>
      </c>
      <c r="M1108" t="s">
        <v>26</v>
      </c>
      <c r="N1108" t="s">
        <v>38</v>
      </c>
      <c r="O1108">
        <v>756</v>
      </c>
      <c r="P1108">
        <v>264</v>
      </c>
      <c r="Q1108" t="s">
        <v>110</v>
      </c>
      <c r="R1108" t="s">
        <v>111</v>
      </c>
      <c r="S1108" t="s">
        <v>112</v>
      </c>
      <c r="T1108">
        <v>2021</v>
      </c>
      <c r="U1108" t="s">
        <v>53</v>
      </c>
    </row>
    <row r="1109" spans="1:21" x14ac:dyDescent="0.35">
      <c r="A1109" s="1">
        <v>45699</v>
      </c>
      <c r="B1109" t="s">
        <v>21</v>
      </c>
      <c r="C1109" t="s">
        <v>22</v>
      </c>
      <c r="D1109" t="s">
        <v>23</v>
      </c>
      <c r="E1109">
        <v>416</v>
      </c>
      <c r="F1109">
        <v>8</v>
      </c>
      <c r="G1109">
        <f t="shared" si="51"/>
        <v>3328</v>
      </c>
      <c r="H1109">
        <v>5</v>
      </c>
      <c r="I1109">
        <f t="shared" si="52"/>
        <v>2080</v>
      </c>
      <c r="J1109">
        <f t="shared" si="53"/>
        <v>1248</v>
      </c>
      <c r="K1109" t="s">
        <v>42</v>
      </c>
      <c r="L1109" t="s">
        <v>25</v>
      </c>
      <c r="M1109" t="s">
        <v>61</v>
      </c>
      <c r="N1109" t="s">
        <v>27</v>
      </c>
      <c r="O1109">
        <v>671</v>
      </c>
      <c r="P1109">
        <v>416</v>
      </c>
      <c r="Q1109" t="s">
        <v>70</v>
      </c>
      <c r="R1109" t="s">
        <v>71</v>
      </c>
      <c r="S1109" t="s">
        <v>72</v>
      </c>
      <c r="T1109">
        <v>2020</v>
      </c>
      <c r="U1109" t="s">
        <v>53</v>
      </c>
    </row>
    <row r="1110" spans="1:21" x14ac:dyDescent="0.35">
      <c r="A1110" s="1">
        <v>45700</v>
      </c>
      <c r="B1110" t="s">
        <v>32</v>
      </c>
      <c r="C1110" t="s">
        <v>33</v>
      </c>
      <c r="D1110" t="s">
        <v>34</v>
      </c>
      <c r="E1110">
        <v>254</v>
      </c>
      <c r="F1110">
        <v>20</v>
      </c>
      <c r="G1110">
        <f t="shared" si="51"/>
        <v>5080</v>
      </c>
      <c r="H1110">
        <v>12</v>
      </c>
      <c r="I1110">
        <f t="shared" si="52"/>
        <v>3048</v>
      </c>
      <c r="J1110">
        <f t="shared" si="53"/>
        <v>2032</v>
      </c>
      <c r="K1110" t="s">
        <v>42</v>
      </c>
      <c r="L1110" t="s">
        <v>25</v>
      </c>
      <c r="M1110" t="s">
        <v>61</v>
      </c>
      <c r="N1110" t="s">
        <v>38</v>
      </c>
      <c r="O1110">
        <v>738</v>
      </c>
      <c r="P1110">
        <v>254</v>
      </c>
      <c r="Q1110" t="s">
        <v>90</v>
      </c>
      <c r="R1110" t="s">
        <v>55</v>
      </c>
      <c r="S1110" t="s">
        <v>85</v>
      </c>
      <c r="T1110">
        <v>2022</v>
      </c>
      <c r="U1110" t="s">
        <v>62</v>
      </c>
    </row>
    <row r="1111" spans="1:21" x14ac:dyDescent="0.35">
      <c r="A1111" s="1">
        <v>45701</v>
      </c>
      <c r="B1111" t="s">
        <v>80</v>
      </c>
      <c r="C1111" t="s">
        <v>81</v>
      </c>
      <c r="D1111" t="s">
        <v>82</v>
      </c>
      <c r="E1111">
        <v>291</v>
      </c>
      <c r="F1111">
        <v>2.5</v>
      </c>
      <c r="G1111">
        <f t="shared" si="51"/>
        <v>727.5</v>
      </c>
      <c r="H1111">
        <v>1.5</v>
      </c>
      <c r="I1111">
        <f t="shared" si="52"/>
        <v>436.5</v>
      </c>
      <c r="J1111">
        <f t="shared" si="53"/>
        <v>291</v>
      </c>
      <c r="K1111" t="s">
        <v>35</v>
      </c>
      <c r="L1111" t="s">
        <v>36</v>
      </c>
      <c r="M1111" t="s">
        <v>26</v>
      </c>
      <c r="N1111" t="s">
        <v>43</v>
      </c>
      <c r="O1111">
        <v>989</v>
      </c>
      <c r="P1111">
        <v>291</v>
      </c>
      <c r="Q1111" t="s">
        <v>67</v>
      </c>
      <c r="R1111" t="s">
        <v>68</v>
      </c>
      <c r="S1111" t="s">
        <v>69</v>
      </c>
      <c r="T1111">
        <v>2023</v>
      </c>
      <c r="U1111" t="s">
        <v>31</v>
      </c>
    </row>
    <row r="1112" spans="1:21" x14ac:dyDescent="0.35">
      <c r="A1112" s="1">
        <v>45702</v>
      </c>
      <c r="B1112" t="s">
        <v>32</v>
      </c>
      <c r="C1112" t="s">
        <v>33</v>
      </c>
      <c r="D1112" t="s">
        <v>34</v>
      </c>
      <c r="E1112">
        <v>374</v>
      </c>
      <c r="F1112">
        <v>20</v>
      </c>
      <c r="G1112">
        <f t="shared" si="51"/>
        <v>7480</v>
      </c>
      <c r="H1112">
        <v>12</v>
      </c>
      <c r="I1112">
        <f t="shared" si="52"/>
        <v>4488</v>
      </c>
      <c r="J1112">
        <f t="shared" si="53"/>
        <v>2992</v>
      </c>
      <c r="K1112" t="s">
        <v>24</v>
      </c>
      <c r="L1112" t="s">
        <v>73</v>
      </c>
      <c r="M1112" t="s">
        <v>61</v>
      </c>
      <c r="N1112" t="s">
        <v>27</v>
      </c>
      <c r="O1112">
        <v>709</v>
      </c>
      <c r="P1112">
        <v>374</v>
      </c>
      <c r="Q1112" t="s">
        <v>74</v>
      </c>
      <c r="R1112" t="s">
        <v>75</v>
      </c>
      <c r="S1112" t="s">
        <v>76</v>
      </c>
      <c r="T1112">
        <v>2020</v>
      </c>
      <c r="U1112" t="s">
        <v>105</v>
      </c>
    </row>
    <row r="1113" spans="1:21" x14ac:dyDescent="0.35">
      <c r="A1113" s="1">
        <v>45703</v>
      </c>
      <c r="B1113" t="s">
        <v>58</v>
      </c>
      <c r="C1113" t="s">
        <v>59</v>
      </c>
      <c r="D1113" t="s">
        <v>60</v>
      </c>
      <c r="E1113">
        <v>160</v>
      </c>
      <c r="F1113">
        <v>5</v>
      </c>
      <c r="G1113">
        <f t="shared" si="51"/>
        <v>800</v>
      </c>
      <c r="H1113">
        <v>3</v>
      </c>
      <c r="I1113">
        <f t="shared" si="52"/>
        <v>480</v>
      </c>
      <c r="J1113">
        <f t="shared" si="53"/>
        <v>320</v>
      </c>
      <c r="K1113" t="s">
        <v>42</v>
      </c>
      <c r="L1113" t="s">
        <v>25</v>
      </c>
      <c r="M1113" t="s">
        <v>61</v>
      </c>
      <c r="N1113" t="s">
        <v>38</v>
      </c>
      <c r="O1113">
        <v>720</v>
      </c>
      <c r="P1113">
        <v>160</v>
      </c>
      <c r="Q1113" t="s">
        <v>51</v>
      </c>
      <c r="R1113" t="s">
        <v>45</v>
      </c>
      <c r="S1113" t="s">
        <v>52</v>
      </c>
      <c r="T1113">
        <v>2022</v>
      </c>
      <c r="U1113" t="s">
        <v>96</v>
      </c>
    </row>
    <row r="1114" spans="1:21" x14ac:dyDescent="0.35">
      <c r="A1114" s="1">
        <v>45704</v>
      </c>
      <c r="B1114" t="s">
        <v>32</v>
      </c>
      <c r="C1114" t="s">
        <v>33</v>
      </c>
      <c r="D1114" t="s">
        <v>34</v>
      </c>
      <c r="E1114">
        <v>104</v>
      </c>
      <c r="F1114">
        <v>20</v>
      </c>
      <c r="G1114">
        <f t="shared" si="51"/>
        <v>2080</v>
      </c>
      <c r="H1114">
        <v>12</v>
      </c>
      <c r="I1114">
        <f t="shared" si="52"/>
        <v>1248</v>
      </c>
      <c r="J1114">
        <f t="shared" si="53"/>
        <v>832</v>
      </c>
      <c r="K1114" t="s">
        <v>24</v>
      </c>
      <c r="L1114" t="s">
        <v>63</v>
      </c>
      <c r="M1114" t="s">
        <v>37</v>
      </c>
      <c r="N1114" t="s">
        <v>43</v>
      </c>
      <c r="O1114">
        <v>862</v>
      </c>
      <c r="P1114">
        <v>104</v>
      </c>
      <c r="Q1114" t="s">
        <v>51</v>
      </c>
      <c r="R1114" t="s">
        <v>45</v>
      </c>
      <c r="S1114" t="s">
        <v>52</v>
      </c>
      <c r="T1114">
        <v>2023</v>
      </c>
      <c r="U1114" t="s">
        <v>109</v>
      </c>
    </row>
    <row r="1115" spans="1:21" x14ac:dyDescent="0.35">
      <c r="A1115" s="1">
        <v>45705</v>
      </c>
      <c r="B1115" t="s">
        <v>32</v>
      </c>
      <c r="C1115" t="s">
        <v>33</v>
      </c>
      <c r="D1115" t="s">
        <v>34</v>
      </c>
      <c r="E1115">
        <v>224</v>
      </c>
      <c r="F1115">
        <v>20</v>
      </c>
      <c r="G1115">
        <f t="shared" si="51"/>
        <v>4480</v>
      </c>
      <c r="H1115">
        <v>12</v>
      </c>
      <c r="I1115">
        <f t="shared" si="52"/>
        <v>2688</v>
      </c>
      <c r="J1115">
        <f t="shared" si="53"/>
        <v>1792</v>
      </c>
      <c r="K1115" t="s">
        <v>35</v>
      </c>
      <c r="L1115" t="s">
        <v>73</v>
      </c>
      <c r="M1115" t="s">
        <v>26</v>
      </c>
      <c r="N1115" t="s">
        <v>43</v>
      </c>
      <c r="O1115">
        <v>894</v>
      </c>
      <c r="P1115">
        <v>224</v>
      </c>
      <c r="Q1115" t="s">
        <v>87</v>
      </c>
      <c r="R1115" t="s">
        <v>88</v>
      </c>
      <c r="S1115" t="s">
        <v>89</v>
      </c>
      <c r="T1115">
        <v>2020</v>
      </c>
      <c r="U1115" t="s">
        <v>53</v>
      </c>
    </row>
    <row r="1116" spans="1:21" x14ac:dyDescent="0.35">
      <c r="A1116" s="1">
        <v>45706</v>
      </c>
      <c r="B1116" t="s">
        <v>32</v>
      </c>
      <c r="C1116" t="s">
        <v>33</v>
      </c>
      <c r="D1116" t="s">
        <v>34</v>
      </c>
      <c r="E1116">
        <v>248</v>
      </c>
      <c r="F1116">
        <v>20</v>
      </c>
      <c r="G1116">
        <f t="shared" si="51"/>
        <v>4960</v>
      </c>
      <c r="H1116">
        <v>12</v>
      </c>
      <c r="I1116">
        <f t="shared" si="52"/>
        <v>2976</v>
      </c>
      <c r="J1116">
        <f t="shared" si="53"/>
        <v>1984</v>
      </c>
      <c r="K1116" t="s">
        <v>35</v>
      </c>
      <c r="L1116" t="s">
        <v>36</v>
      </c>
      <c r="M1116" t="s">
        <v>37</v>
      </c>
      <c r="N1116" t="s">
        <v>43</v>
      </c>
      <c r="O1116">
        <v>967</v>
      </c>
      <c r="P1116">
        <v>248</v>
      </c>
      <c r="Q1116" t="s">
        <v>74</v>
      </c>
      <c r="R1116" t="s">
        <v>75</v>
      </c>
      <c r="S1116" t="s">
        <v>76</v>
      </c>
      <c r="T1116">
        <v>2021</v>
      </c>
      <c r="U1116" t="s">
        <v>62</v>
      </c>
    </row>
    <row r="1117" spans="1:21" x14ac:dyDescent="0.35">
      <c r="A1117" s="1">
        <v>45707</v>
      </c>
      <c r="B1117" t="s">
        <v>80</v>
      </c>
      <c r="C1117" t="s">
        <v>81</v>
      </c>
      <c r="D1117" t="s">
        <v>82</v>
      </c>
      <c r="E1117">
        <v>473</v>
      </c>
      <c r="F1117">
        <v>2.5</v>
      </c>
      <c r="G1117">
        <f t="shared" si="51"/>
        <v>1182.5</v>
      </c>
      <c r="H1117">
        <v>1.5</v>
      </c>
      <c r="I1117">
        <f t="shared" si="52"/>
        <v>709.5</v>
      </c>
      <c r="J1117">
        <f t="shared" si="53"/>
        <v>473</v>
      </c>
      <c r="K1117" t="s">
        <v>35</v>
      </c>
      <c r="L1117" t="s">
        <v>36</v>
      </c>
      <c r="M1117" t="s">
        <v>37</v>
      </c>
      <c r="N1117" t="s">
        <v>38</v>
      </c>
      <c r="O1117">
        <v>547</v>
      </c>
      <c r="P1117">
        <v>473</v>
      </c>
      <c r="Q1117" t="s">
        <v>103</v>
      </c>
      <c r="R1117" t="s">
        <v>68</v>
      </c>
      <c r="S1117" t="s">
        <v>104</v>
      </c>
      <c r="T1117">
        <v>2021</v>
      </c>
      <c r="U1117" t="s">
        <v>57</v>
      </c>
    </row>
    <row r="1118" spans="1:21" x14ac:dyDescent="0.35">
      <c r="A1118" s="1">
        <v>45708</v>
      </c>
      <c r="B1118" t="s">
        <v>80</v>
      </c>
      <c r="C1118" t="s">
        <v>81</v>
      </c>
      <c r="D1118" t="s">
        <v>82</v>
      </c>
      <c r="E1118">
        <v>43</v>
      </c>
      <c r="F1118">
        <v>2.5</v>
      </c>
      <c r="G1118">
        <f t="shared" si="51"/>
        <v>107.5</v>
      </c>
      <c r="H1118">
        <v>1.5</v>
      </c>
      <c r="I1118">
        <f t="shared" si="52"/>
        <v>64.5</v>
      </c>
      <c r="J1118">
        <f t="shared" si="53"/>
        <v>43</v>
      </c>
      <c r="K1118" t="s">
        <v>42</v>
      </c>
      <c r="L1118" t="s">
        <v>25</v>
      </c>
      <c r="M1118" t="s">
        <v>26</v>
      </c>
      <c r="N1118" t="s">
        <v>38</v>
      </c>
      <c r="O1118">
        <v>855</v>
      </c>
      <c r="P1118">
        <v>43</v>
      </c>
      <c r="Q1118" t="s">
        <v>83</v>
      </c>
      <c r="R1118" t="s">
        <v>84</v>
      </c>
      <c r="S1118" t="s">
        <v>85</v>
      </c>
      <c r="T1118">
        <v>2024</v>
      </c>
      <c r="U1118" t="s">
        <v>97</v>
      </c>
    </row>
    <row r="1119" spans="1:21" x14ac:dyDescent="0.35">
      <c r="A1119" s="1">
        <v>45709</v>
      </c>
      <c r="B1119" t="s">
        <v>58</v>
      </c>
      <c r="C1119" t="s">
        <v>59</v>
      </c>
      <c r="D1119" t="s">
        <v>60</v>
      </c>
      <c r="E1119">
        <v>364</v>
      </c>
      <c r="F1119">
        <v>5</v>
      </c>
      <c r="G1119">
        <f t="shared" si="51"/>
        <v>1820</v>
      </c>
      <c r="H1119">
        <v>3</v>
      </c>
      <c r="I1119">
        <f t="shared" si="52"/>
        <v>1092</v>
      </c>
      <c r="J1119">
        <f t="shared" si="53"/>
        <v>728</v>
      </c>
      <c r="K1119" t="s">
        <v>42</v>
      </c>
      <c r="L1119" t="s">
        <v>36</v>
      </c>
      <c r="M1119" t="s">
        <v>26</v>
      </c>
      <c r="N1119" t="s">
        <v>27</v>
      </c>
      <c r="O1119">
        <v>687</v>
      </c>
      <c r="P1119">
        <v>364</v>
      </c>
      <c r="Q1119" t="s">
        <v>67</v>
      </c>
      <c r="R1119" t="s">
        <v>68</v>
      </c>
      <c r="S1119" t="s">
        <v>69</v>
      </c>
      <c r="T1119">
        <v>2023</v>
      </c>
      <c r="U1119" t="s">
        <v>53</v>
      </c>
    </row>
    <row r="1120" spans="1:21" x14ac:dyDescent="0.35">
      <c r="A1120" s="1">
        <v>45710</v>
      </c>
      <c r="B1120" t="s">
        <v>58</v>
      </c>
      <c r="C1120" t="s">
        <v>59</v>
      </c>
      <c r="D1120" t="s">
        <v>60</v>
      </c>
      <c r="E1120">
        <v>249</v>
      </c>
      <c r="F1120">
        <v>5</v>
      </c>
      <c r="G1120">
        <f t="shared" si="51"/>
        <v>1245</v>
      </c>
      <c r="H1120">
        <v>3</v>
      </c>
      <c r="I1120">
        <f t="shared" si="52"/>
        <v>747</v>
      </c>
      <c r="J1120">
        <f t="shared" si="53"/>
        <v>498</v>
      </c>
      <c r="K1120" t="s">
        <v>24</v>
      </c>
      <c r="L1120" t="s">
        <v>36</v>
      </c>
      <c r="M1120" t="s">
        <v>61</v>
      </c>
      <c r="N1120" t="s">
        <v>38</v>
      </c>
      <c r="O1120">
        <v>937</v>
      </c>
      <c r="P1120">
        <v>249</v>
      </c>
      <c r="Q1120" t="s">
        <v>67</v>
      </c>
      <c r="R1120" t="s">
        <v>68</v>
      </c>
      <c r="S1120" t="s">
        <v>69</v>
      </c>
      <c r="T1120">
        <v>2020</v>
      </c>
      <c r="U1120" t="s">
        <v>62</v>
      </c>
    </row>
    <row r="1121" spans="1:21" x14ac:dyDescent="0.35">
      <c r="A1121" s="1">
        <v>45711</v>
      </c>
      <c r="B1121" t="s">
        <v>80</v>
      </c>
      <c r="C1121" t="s">
        <v>81</v>
      </c>
      <c r="D1121" t="s">
        <v>82</v>
      </c>
      <c r="E1121">
        <v>194</v>
      </c>
      <c r="F1121">
        <v>2.5</v>
      </c>
      <c r="G1121">
        <f t="shared" si="51"/>
        <v>485</v>
      </c>
      <c r="H1121">
        <v>1.5</v>
      </c>
      <c r="I1121">
        <f t="shared" si="52"/>
        <v>291</v>
      </c>
      <c r="J1121">
        <f t="shared" si="53"/>
        <v>194</v>
      </c>
      <c r="K1121" t="s">
        <v>35</v>
      </c>
      <c r="L1121" t="s">
        <v>36</v>
      </c>
      <c r="M1121" t="s">
        <v>26</v>
      </c>
      <c r="N1121" t="s">
        <v>38</v>
      </c>
      <c r="O1121">
        <v>843</v>
      </c>
      <c r="P1121">
        <v>194</v>
      </c>
      <c r="Q1121" t="s">
        <v>101</v>
      </c>
      <c r="R1121" t="s">
        <v>101</v>
      </c>
      <c r="S1121" t="s">
        <v>102</v>
      </c>
      <c r="T1121">
        <v>2022</v>
      </c>
      <c r="U1121" t="s">
        <v>53</v>
      </c>
    </row>
    <row r="1122" spans="1:21" x14ac:dyDescent="0.35">
      <c r="A1122" s="1">
        <v>45712</v>
      </c>
      <c r="B1122" t="s">
        <v>58</v>
      </c>
      <c r="C1122" t="s">
        <v>59</v>
      </c>
      <c r="D1122" t="s">
        <v>60</v>
      </c>
      <c r="E1122">
        <v>71</v>
      </c>
      <c r="F1122">
        <v>5</v>
      </c>
      <c r="G1122">
        <f t="shared" si="51"/>
        <v>355</v>
      </c>
      <c r="H1122">
        <v>3</v>
      </c>
      <c r="I1122">
        <f t="shared" si="52"/>
        <v>213</v>
      </c>
      <c r="J1122">
        <f t="shared" si="53"/>
        <v>142</v>
      </c>
      <c r="K1122" t="s">
        <v>24</v>
      </c>
      <c r="L1122" t="s">
        <v>63</v>
      </c>
      <c r="M1122" t="s">
        <v>37</v>
      </c>
      <c r="N1122" t="s">
        <v>27</v>
      </c>
      <c r="O1122">
        <v>745</v>
      </c>
      <c r="P1122">
        <v>71</v>
      </c>
      <c r="Q1122" t="s">
        <v>110</v>
      </c>
      <c r="R1122" t="s">
        <v>111</v>
      </c>
      <c r="S1122" t="s">
        <v>112</v>
      </c>
      <c r="T1122">
        <v>2020</v>
      </c>
      <c r="U1122" t="s">
        <v>62</v>
      </c>
    </row>
    <row r="1123" spans="1:21" x14ac:dyDescent="0.35">
      <c r="A1123" s="1">
        <v>45713</v>
      </c>
      <c r="B1123" t="s">
        <v>21</v>
      </c>
      <c r="C1123" t="s">
        <v>22</v>
      </c>
      <c r="D1123" t="s">
        <v>23</v>
      </c>
      <c r="E1123">
        <v>404</v>
      </c>
      <c r="F1123">
        <v>8</v>
      </c>
      <c r="G1123">
        <f t="shared" si="51"/>
        <v>3232</v>
      </c>
      <c r="H1123">
        <v>5</v>
      </c>
      <c r="I1123">
        <f t="shared" si="52"/>
        <v>2020</v>
      </c>
      <c r="J1123">
        <f t="shared" si="53"/>
        <v>1212</v>
      </c>
      <c r="K1123" t="s">
        <v>42</v>
      </c>
      <c r="L1123" t="s">
        <v>36</v>
      </c>
      <c r="M1123" t="s">
        <v>37</v>
      </c>
      <c r="N1123" t="s">
        <v>43</v>
      </c>
      <c r="O1123">
        <v>590</v>
      </c>
      <c r="P1123">
        <v>404</v>
      </c>
      <c r="Q1123" t="s">
        <v>74</v>
      </c>
      <c r="R1123" t="s">
        <v>75</v>
      </c>
      <c r="S1123" t="s">
        <v>76</v>
      </c>
      <c r="T1123">
        <v>2022</v>
      </c>
      <c r="U1123" t="s">
        <v>66</v>
      </c>
    </row>
    <row r="1124" spans="1:21" x14ac:dyDescent="0.35">
      <c r="A1124" s="1">
        <v>45714</v>
      </c>
      <c r="B1124" t="s">
        <v>21</v>
      </c>
      <c r="C1124" t="s">
        <v>22</v>
      </c>
      <c r="D1124" t="s">
        <v>23</v>
      </c>
      <c r="E1124">
        <v>30</v>
      </c>
      <c r="F1124">
        <v>8</v>
      </c>
      <c r="G1124">
        <f t="shared" si="51"/>
        <v>240</v>
      </c>
      <c r="H1124">
        <v>5</v>
      </c>
      <c r="I1124">
        <f t="shared" si="52"/>
        <v>150</v>
      </c>
      <c r="J1124">
        <f t="shared" si="53"/>
        <v>90</v>
      </c>
      <c r="K1124" t="s">
        <v>42</v>
      </c>
      <c r="L1124" t="s">
        <v>25</v>
      </c>
      <c r="M1124" t="s">
        <v>37</v>
      </c>
      <c r="N1124" t="s">
        <v>43</v>
      </c>
      <c r="O1124">
        <v>717</v>
      </c>
      <c r="P1124">
        <v>30</v>
      </c>
      <c r="Q1124" t="s">
        <v>106</v>
      </c>
      <c r="R1124" t="s">
        <v>107</v>
      </c>
      <c r="S1124" t="s">
        <v>108</v>
      </c>
      <c r="T1124">
        <v>2024</v>
      </c>
      <c r="U1124" t="s">
        <v>97</v>
      </c>
    </row>
    <row r="1125" spans="1:21" x14ac:dyDescent="0.35">
      <c r="A1125" s="1">
        <v>45715</v>
      </c>
      <c r="B1125" t="s">
        <v>80</v>
      </c>
      <c r="C1125" t="s">
        <v>81</v>
      </c>
      <c r="D1125" t="s">
        <v>82</v>
      </c>
      <c r="E1125">
        <v>300</v>
      </c>
      <c r="F1125">
        <v>2.5</v>
      </c>
      <c r="G1125">
        <f t="shared" si="51"/>
        <v>750</v>
      </c>
      <c r="H1125">
        <v>1.5</v>
      </c>
      <c r="I1125">
        <f t="shared" si="52"/>
        <v>450</v>
      </c>
      <c r="J1125">
        <f t="shared" si="53"/>
        <v>300</v>
      </c>
      <c r="K1125" t="s">
        <v>35</v>
      </c>
      <c r="L1125" t="s">
        <v>63</v>
      </c>
      <c r="M1125" t="s">
        <v>61</v>
      </c>
      <c r="N1125" t="s">
        <v>27</v>
      </c>
      <c r="O1125">
        <v>861</v>
      </c>
      <c r="P1125">
        <v>300</v>
      </c>
      <c r="Q1125" t="s">
        <v>103</v>
      </c>
      <c r="R1125" t="s">
        <v>68</v>
      </c>
      <c r="S1125" t="s">
        <v>104</v>
      </c>
      <c r="T1125">
        <v>2022</v>
      </c>
      <c r="U1125" t="s">
        <v>96</v>
      </c>
    </row>
    <row r="1126" spans="1:21" x14ac:dyDescent="0.35">
      <c r="A1126" s="1">
        <v>45716</v>
      </c>
      <c r="B1126" t="s">
        <v>98</v>
      </c>
      <c r="C1126" t="s">
        <v>99</v>
      </c>
      <c r="D1126" t="s">
        <v>100</v>
      </c>
      <c r="E1126">
        <v>391</v>
      </c>
      <c r="F1126">
        <v>6</v>
      </c>
      <c r="G1126">
        <f t="shared" si="51"/>
        <v>2346</v>
      </c>
      <c r="H1126">
        <v>4</v>
      </c>
      <c r="I1126">
        <f t="shared" si="52"/>
        <v>1564</v>
      </c>
      <c r="J1126">
        <f t="shared" si="53"/>
        <v>782</v>
      </c>
      <c r="K1126" t="s">
        <v>35</v>
      </c>
      <c r="L1126" t="s">
        <v>36</v>
      </c>
      <c r="M1126" t="s">
        <v>37</v>
      </c>
      <c r="N1126" t="s">
        <v>27</v>
      </c>
      <c r="O1126">
        <v>813</v>
      </c>
      <c r="P1126">
        <v>391</v>
      </c>
      <c r="Q1126" t="s">
        <v>83</v>
      </c>
      <c r="R1126" t="s">
        <v>84</v>
      </c>
      <c r="S1126" t="s">
        <v>85</v>
      </c>
      <c r="T1126">
        <v>2023</v>
      </c>
      <c r="U1126" t="s">
        <v>86</v>
      </c>
    </row>
    <row r="1127" spans="1:21" x14ac:dyDescent="0.35">
      <c r="A1127" s="1">
        <v>45717</v>
      </c>
      <c r="B1127" t="s">
        <v>80</v>
      </c>
      <c r="C1127" t="s">
        <v>81</v>
      </c>
      <c r="D1127" t="s">
        <v>82</v>
      </c>
      <c r="E1127">
        <v>102</v>
      </c>
      <c r="F1127">
        <v>2.5</v>
      </c>
      <c r="G1127">
        <f t="shared" si="51"/>
        <v>255</v>
      </c>
      <c r="H1127">
        <v>1.5</v>
      </c>
      <c r="I1127">
        <f t="shared" si="52"/>
        <v>153</v>
      </c>
      <c r="J1127">
        <f t="shared" si="53"/>
        <v>102</v>
      </c>
      <c r="K1127" t="s">
        <v>24</v>
      </c>
      <c r="L1127" t="s">
        <v>63</v>
      </c>
      <c r="M1127" t="s">
        <v>61</v>
      </c>
      <c r="N1127" t="s">
        <v>27</v>
      </c>
      <c r="O1127">
        <v>805</v>
      </c>
      <c r="P1127">
        <v>102</v>
      </c>
      <c r="Q1127" t="s">
        <v>77</v>
      </c>
      <c r="R1127" t="s">
        <v>78</v>
      </c>
      <c r="S1127" t="s">
        <v>79</v>
      </c>
      <c r="T1127">
        <v>2020</v>
      </c>
      <c r="U1127" t="s">
        <v>91</v>
      </c>
    </row>
    <row r="1128" spans="1:21" x14ac:dyDescent="0.35">
      <c r="A1128" s="1">
        <v>45718</v>
      </c>
      <c r="B1128" t="s">
        <v>32</v>
      </c>
      <c r="C1128" t="s">
        <v>33</v>
      </c>
      <c r="D1128" t="s">
        <v>34</v>
      </c>
      <c r="E1128">
        <v>418</v>
      </c>
      <c r="F1128">
        <v>20</v>
      </c>
      <c r="G1128">
        <f t="shared" si="51"/>
        <v>8360</v>
      </c>
      <c r="H1128">
        <v>12</v>
      </c>
      <c r="I1128">
        <f t="shared" si="52"/>
        <v>5016</v>
      </c>
      <c r="J1128">
        <f t="shared" si="53"/>
        <v>3344</v>
      </c>
      <c r="K1128" t="s">
        <v>35</v>
      </c>
      <c r="L1128" t="s">
        <v>73</v>
      </c>
      <c r="M1128" t="s">
        <v>26</v>
      </c>
      <c r="N1128" t="s">
        <v>43</v>
      </c>
      <c r="O1128">
        <v>755</v>
      </c>
      <c r="P1128">
        <v>418</v>
      </c>
      <c r="Q1128" t="s">
        <v>64</v>
      </c>
      <c r="R1128" t="s">
        <v>29</v>
      </c>
      <c r="S1128" t="s">
        <v>65</v>
      </c>
      <c r="T1128">
        <v>2024</v>
      </c>
      <c r="U1128" t="s">
        <v>105</v>
      </c>
    </row>
    <row r="1129" spans="1:21" x14ac:dyDescent="0.35">
      <c r="A1129" s="1">
        <v>45719</v>
      </c>
      <c r="B1129" t="s">
        <v>58</v>
      </c>
      <c r="C1129" t="s">
        <v>59</v>
      </c>
      <c r="D1129" t="s">
        <v>60</v>
      </c>
      <c r="E1129">
        <v>464</v>
      </c>
      <c r="F1129">
        <v>5</v>
      </c>
      <c r="G1129">
        <f t="shared" si="51"/>
        <v>2320</v>
      </c>
      <c r="H1129">
        <v>3</v>
      </c>
      <c r="I1129">
        <f t="shared" si="52"/>
        <v>1392</v>
      </c>
      <c r="J1129">
        <f t="shared" si="53"/>
        <v>928</v>
      </c>
      <c r="K1129" t="s">
        <v>42</v>
      </c>
      <c r="L1129" t="s">
        <v>63</v>
      </c>
      <c r="M1129" t="s">
        <v>37</v>
      </c>
      <c r="N1129" t="s">
        <v>27</v>
      </c>
      <c r="O1129">
        <v>779</v>
      </c>
      <c r="P1129">
        <v>464</v>
      </c>
      <c r="Q1129" t="s">
        <v>54</v>
      </c>
      <c r="R1129" t="s">
        <v>55</v>
      </c>
      <c r="S1129" t="s">
        <v>56</v>
      </c>
      <c r="T1129">
        <v>2021</v>
      </c>
      <c r="U1129" t="s">
        <v>109</v>
      </c>
    </row>
    <row r="1130" spans="1:21" x14ac:dyDescent="0.35">
      <c r="A1130" s="1">
        <v>45720</v>
      </c>
      <c r="B1130" t="s">
        <v>32</v>
      </c>
      <c r="C1130" t="s">
        <v>33</v>
      </c>
      <c r="D1130" t="s">
        <v>34</v>
      </c>
      <c r="E1130">
        <v>407</v>
      </c>
      <c r="F1130">
        <v>20</v>
      </c>
      <c r="G1130">
        <f t="shared" si="51"/>
        <v>8140</v>
      </c>
      <c r="H1130">
        <v>12</v>
      </c>
      <c r="I1130">
        <f t="shared" si="52"/>
        <v>4884</v>
      </c>
      <c r="J1130">
        <f t="shared" si="53"/>
        <v>3256</v>
      </c>
      <c r="K1130" t="s">
        <v>24</v>
      </c>
      <c r="L1130" t="s">
        <v>63</v>
      </c>
      <c r="M1130" t="s">
        <v>37</v>
      </c>
      <c r="N1130" t="s">
        <v>43</v>
      </c>
      <c r="O1130">
        <v>734</v>
      </c>
      <c r="P1130">
        <v>407</v>
      </c>
      <c r="Q1130" t="s">
        <v>106</v>
      </c>
      <c r="R1130" t="s">
        <v>107</v>
      </c>
      <c r="S1130" t="s">
        <v>108</v>
      </c>
      <c r="T1130">
        <v>2022</v>
      </c>
      <c r="U1130" t="s">
        <v>97</v>
      </c>
    </row>
    <row r="1131" spans="1:21" x14ac:dyDescent="0.35">
      <c r="A1131" s="1">
        <v>45721</v>
      </c>
      <c r="B1131" t="s">
        <v>58</v>
      </c>
      <c r="C1131" t="s">
        <v>59</v>
      </c>
      <c r="D1131" t="s">
        <v>60</v>
      </c>
      <c r="E1131">
        <v>444</v>
      </c>
      <c r="F1131">
        <v>5</v>
      </c>
      <c r="G1131">
        <f t="shared" si="51"/>
        <v>2220</v>
      </c>
      <c r="H1131">
        <v>3</v>
      </c>
      <c r="I1131">
        <f t="shared" si="52"/>
        <v>1332</v>
      </c>
      <c r="J1131">
        <f t="shared" si="53"/>
        <v>888</v>
      </c>
      <c r="K1131" t="s">
        <v>24</v>
      </c>
      <c r="L1131" t="s">
        <v>25</v>
      </c>
      <c r="M1131" t="s">
        <v>26</v>
      </c>
      <c r="N1131" t="s">
        <v>27</v>
      </c>
      <c r="O1131">
        <v>766</v>
      </c>
      <c r="P1131">
        <v>444</v>
      </c>
      <c r="Q1131" t="s">
        <v>67</v>
      </c>
      <c r="R1131" t="s">
        <v>68</v>
      </c>
      <c r="S1131" t="s">
        <v>69</v>
      </c>
      <c r="T1131">
        <v>2021</v>
      </c>
      <c r="U1131" t="s">
        <v>57</v>
      </c>
    </row>
    <row r="1132" spans="1:21" x14ac:dyDescent="0.35">
      <c r="A1132" s="1">
        <v>45722</v>
      </c>
      <c r="B1132" t="s">
        <v>58</v>
      </c>
      <c r="C1132" t="s">
        <v>59</v>
      </c>
      <c r="D1132" t="s">
        <v>60</v>
      </c>
      <c r="E1132">
        <v>279</v>
      </c>
      <c r="F1132">
        <v>5</v>
      </c>
      <c r="G1132">
        <f t="shared" si="51"/>
        <v>1395</v>
      </c>
      <c r="H1132">
        <v>3</v>
      </c>
      <c r="I1132">
        <f t="shared" si="52"/>
        <v>837</v>
      </c>
      <c r="J1132">
        <f t="shared" si="53"/>
        <v>558</v>
      </c>
      <c r="K1132" t="s">
        <v>42</v>
      </c>
      <c r="L1132" t="s">
        <v>73</v>
      </c>
      <c r="M1132" t="s">
        <v>61</v>
      </c>
      <c r="N1132" t="s">
        <v>27</v>
      </c>
      <c r="O1132">
        <v>748</v>
      </c>
      <c r="P1132">
        <v>279</v>
      </c>
      <c r="Q1132" t="s">
        <v>94</v>
      </c>
      <c r="R1132" t="s">
        <v>75</v>
      </c>
      <c r="S1132" t="s">
        <v>95</v>
      </c>
      <c r="T1132">
        <v>2022</v>
      </c>
      <c r="U1132" t="s">
        <v>47</v>
      </c>
    </row>
    <row r="1133" spans="1:21" x14ac:dyDescent="0.35">
      <c r="A1133" s="1">
        <v>45723</v>
      </c>
      <c r="B1133" t="s">
        <v>98</v>
      </c>
      <c r="C1133" t="s">
        <v>99</v>
      </c>
      <c r="D1133" t="s">
        <v>100</v>
      </c>
      <c r="E1133">
        <v>152</v>
      </c>
      <c r="F1133">
        <v>6</v>
      </c>
      <c r="G1133">
        <f t="shared" si="51"/>
        <v>912</v>
      </c>
      <c r="H1133">
        <v>4</v>
      </c>
      <c r="I1133">
        <f t="shared" si="52"/>
        <v>608</v>
      </c>
      <c r="J1133">
        <f t="shared" si="53"/>
        <v>304</v>
      </c>
      <c r="K1133" t="s">
        <v>42</v>
      </c>
      <c r="L1133" t="s">
        <v>73</v>
      </c>
      <c r="M1133" t="s">
        <v>61</v>
      </c>
      <c r="N1133" t="s">
        <v>38</v>
      </c>
      <c r="O1133">
        <v>570</v>
      </c>
      <c r="P1133">
        <v>152</v>
      </c>
      <c r="Q1133" t="s">
        <v>51</v>
      </c>
      <c r="R1133" t="s">
        <v>45</v>
      </c>
      <c r="S1133" t="s">
        <v>52</v>
      </c>
      <c r="T1133">
        <v>2023</v>
      </c>
      <c r="U1133" t="s">
        <v>53</v>
      </c>
    </row>
    <row r="1134" spans="1:21" x14ac:dyDescent="0.35">
      <c r="A1134" s="1">
        <v>45724</v>
      </c>
      <c r="B1134" t="s">
        <v>48</v>
      </c>
      <c r="C1134" t="s">
        <v>49</v>
      </c>
      <c r="D1134" t="s">
        <v>50</v>
      </c>
      <c r="E1134">
        <v>222</v>
      </c>
      <c r="F1134">
        <v>150</v>
      </c>
      <c r="G1134">
        <f t="shared" si="51"/>
        <v>33300</v>
      </c>
      <c r="H1134">
        <v>100</v>
      </c>
      <c r="I1134">
        <f t="shared" si="52"/>
        <v>22200</v>
      </c>
      <c r="J1134">
        <f t="shared" si="53"/>
        <v>11100</v>
      </c>
      <c r="K1134" t="s">
        <v>24</v>
      </c>
      <c r="L1134" t="s">
        <v>73</v>
      </c>
      <c r="M1134" t="s">
        <v>61</v>
      </c>
      <c r="N1134" t="s">
        <v>43</v>
      </c>
      <c r="O1134">
        <v>998</v>
      </c>
      <c r="P1134">
        <v>222</v>
      </c>
      <c r="Q1134" t="s">
        <v>64</v>
      </c>
      <c r="R1134" t="s">
        <v>29</v>
      </c>
      <c r="S1134" t="s">
        <v>65</v>
      </c>
      <c r="T1134">
        <v>2020</v>
      </c>
      <c r="U1134" t="s">
        <v>31</v>
      </c>
    </row>
    <row r="1135" spans="1:21" x14ac:dyDescent="0.35">
      <c r="A1135" s="1">
        <v>45725</v>
      </c>
      <c r="B1135" t="s">
        <v>98</v>
      </c>
      <c r="C1135" t="s">
        <v>99</v>
      </c>
      <c r="D1135" t="s">
        <v>100</v>
      </c>
      <c r="E1135">
        <v>369</v>
      </c>
      <c r="F1135">
        <v>6</v>
      </c>
      <c r="G1135">
        <f t="shared" si="51"/>
        <v>2214</v>
      </c>
      <c r="H1135">
        <v>4</v>
      </c>
      <c r="I1135">
        <f t="shared" si="52"/>
        <v>1476</v>
      </c>
      <c r="J1135">
        <f t="shared" si="53"/>
        <v>738</v>
      </c>
      <c r="K1135" t="s">
        <v>42</v>
      </c>
      <c r="L1135" t="s">
        <v>73</v>
      </c>
      <c r="M1135" t="s">
        <v>61</v>
      </c>
      <c r="N1135" t="s">
        <v>27</v>
      </c>
      <c r="O1135">
        <v>796</v>
      </c>
      <c r="P1135">
        <v>369</v>
      </c>
      <c r="Q1135" t="s">
        <v>74</v>
      </c>
      <c r="R1135" t="s">
        <v>75</v>
      </c>
      <c r="S1135" t="s">
        <v>76</v>
      </c>
      <c r="T1135">
        <v>2022</v>
      </c>
      <c r="U1135" t="s">
        <v>66</v>
      </c>
    </row>
    <row r="1136" spans="1:21" x14ac:dyDescent="0.35">
      <c r="A1136" s="1">
        <v>45726</v>
      </c>
      <c r="B1136" t="s">
        <v>98</v>
      </c>
      <c r="C1136" t="s">
        <v>99</v>
      </c>
      <c r="D1136" t="s">
        <v>100</v>
      </c>
      <c r="E1136">
        <v>64</v>
      </c>
      <c r="F1136">
        <v>6</v>
      </c>
      <c r="G1136">
        <f t="shared" si="51"/>
        <v>384</v>
      </c>
      <c r="H1136">
        <v>4</v>
      </c>
      <c r="I1136">
        <f t="shared" si="52"/>
        <v>256</v>
      </c>
      <c r="J1136">
        <f t="shared" si="53"/>
        <v>128</v>
      </c>
      <c r="K1136" t="s">
        <v>35</v>
      </c>
      <c r="L1136" t="s">
        <v>36</v>
      </c>
      <c r="M1136" t="s">
        <v>61</v>
      </c>
      <c r="N1136" t="s">
        <v>43</v>
      </c>
      <c r="O1136">
        <v>655</v>
      </c>
      <c r="P1136">
        <v>64</v>
      </c>
      <c r="Q1136" t="s">
        <v>70</v>
      </c>
      <c r="R1136" t="s">
        <v>71</v>
      </c>
      <c r="S1136" t="s">
        <v>72</v>
      </c>
      <c r="T1136">
        <v>2024</v>
      </c>
      <c r="U1136" t="s">
        <v>53</v>
      </c>
    </row>
    <row r="1137" spans="1:21" x14ac:dyDescent="0.35">
      <c r="A1137" s="1">
        <v>45727</v>
      </c>
      <c r="B1137" t="s">
        <v>48</v>
      </c>
      <c r="C1137" t="s">
        <v>49</v>
      </c>
      <c r="D1137" t="s">
        <v>50</v>
      </c>
      <c r="E1137">
        <v>129</v>
      </c>
      <c r="F1137">
        <v>150</v>
      </c>
      <c r="G1137">
        <f t="shared" si="51"/>
        <v>19350</v>
      </c>
      <c r="H1137">
        <v>100</v>
      </c>
      <c r="I1137">
        <f t="shared" si="52"/>
        <v>12900</v>
      </c>
      <c r="J1137">
        <f t="shared" si="53"/>
        <v>6450</v>
      </c>
      <c r="K1137" t="s">
        <v>24</v>
      </c>
      <c r="L1137" t="s">
        <v>36</v>
      </c>
      <c r="M1137" t="s">
        <v>37</v>
      </c>
      <c r="N1137" t="s">
        <v>38</v>
      </c>
      <c r="O1137">
        <v>560</v>
      </c>
      <c r="P1137">
        <v>129</v>
      </c>
      <c r="Q1137" t="s">
        <v>90</v>
      </c>
      <c r="R1137" t="s">
        <v>55</v>
      </c>
      <c r="S1137" t="s">
        <v>85</v>
      </c>
      <c r="T1137">
        <v>2024</v>
      </c>
      <c r="U1137" t="s">
        <v>109</v>
      </c>
    </row>
    <row r="1138" spans="1:21" x14ac:dyDescent="0.35">
      <c r="A1138" s="1">
        <v>45728</v>
      </c>
      <c r="B1138" t="s">
        <v>21</v>
      </c>
      <c r="C1138" t="s">
        <v>22</v>
      </c>
      <c r="D1138" t="s">
        <v>23</v>
      </c>
      <c r="E1138">
        <v>337</v>
      </c>
      <c r="F1138">
        <v>8</v>
      </c>
      <c r="G1138">
        <f t="shared" si="51"/>
        <v>2696</v>
      </c>
      <c r="H1138">
        <v>5</v>
      </c>
      <c r="I1138">
        <f t="shared" si="52"/>
        <v>1685</v>
      </c>
      <c r="J1138">
        <f t="shared" si="53"/>
        <v>1011</v>
      </c>
      <c r="K1138" t="s">
        <v>42</v>
      </c>
      <c r="L1138" t="s">
        <v>63</v>
      </c>
      <c r="M1138" t="s">
        <v>26</v>
      </c>
      <c r="N1138" t="s">
        <v>38</v>
      </c>
      <c r="O1138">
        <v>723</v>
      </c>
      <c r="P1138">
        <v>337</v>
      </c>
      <c r="Q1138" t="s">
        <v>106</v>
      </c>
      <c r="R1138" t="s">
        <v>107</v>
      </c>
      <c r="S1138" t="s">
        <v>108</v>
      </c>
      <c r="T1138">
        <v>2021</v>
      </c>
      <c r="U1138" t="s">
        <v>97</v>
      </c>
    </row>
    <row r="1139" spans="1:21" x14ac:dyDescent="0.35">
      <c r="A1139" s="1">
        <v>45729</v>
      </c>
      <c r="B1139" t="s">
        <v>80</v>
      </c>
      <c r="C1139" t="s">
        <v>81</v>
      </c>
      <c r="D1139" t="s">
        <v>82</v>
      </c>
      <c r="E1139">
        <v>196</v>
      </c>
      <c r="F1139">
        <v>2.5</v>
      </c>
      <c r="G1139">
        <f t="shared" si="51"/>
        <v>490</v>
      </c>
      <c r="H1139">
        <v>1.5</v>
      </c>
      <c r="I1139">
        <f t="shared" si="52"/>
        <v>294</v>
      </c>
      <c r="J1139">
        <f t="shared" si="53"/>
        <v>196</v>
      </c>
      <c r="K1139" t="s">
        <v>24</v>
      </c>
      <c r="L1139" t="s">
        <v>36</v>
      </c>
      <c r="M1139" t="s">
        <v>37</v>
      </c>
      <c r="N1139" t="s">
        <v>38</v>
      </c>
      <c r="O1139">
        <v>937</v>
      </c>
      <c r="P1139">
        <v>196</v>
      </c>
      <c r="Q1139" t="s">
        <v>39</v>
      </c>
      <c r="R1139" t="s">
        <v>40</v>
      </c>
      <c r="S1139" t="s">
        <v>41</v>
      </c>
      <c r="T1139">
        <v>2023</v>
      </c>
      <c r="U1139" t="s">
        <v>91</v>
      </c>
    </row>
    <row r="1140" spans="1:21" x14ac:dyDescent="0.35">
      <c r="A1140" s="1">
        <v>45730</v>
      </c>
      <c r="B1140" t="s">
        <v>80</v>
      </c>
      <c r="C1140" t="s">
        <v>81</v>
      </c>
      <c r="D1140" t="s">
        <v>82</v>
      </c>
      <c r="E1140">
        <v>279</v>
      </c>
      <c r="F1140">
        <v>2.5</v>
      </c>
      <c r="G1140">
        <f t="shared" si="51"/>
        <v>697.5</v>
      </c>
      <c r="H1140">
        <v>1.5</v>
      </c>
      <c r="I1140">
        <f t="shared" si="52"/>
        <v>418.5</v>
      </c>
      <c r="J1140">
        <f t="shared" si="53"/>
        <v>279</v>
      </c>
      <c r="K1140" t="s">
        <v>24</v>
      </c>
      <c r="L1140" t="s">
        <v>73</v>
      </c>
      <c r="M1140" t="s">
        <v>37</v>
      </c>
      <c r="N1140" t="s">
        <v>38</v>
      </c>
      <c r="O1140">
        <v>977</v>
      </c>
      <c r="P1140">
        <v>279</v>
      </c>
      <c r="Q1140" t="s">
        <v>101</v>
      </c>
      <c r="R1140" t="s">
        <v>101</v>
      </c>
      <c r="S1140" t="s">
        <v>102</v>
      </c>
      <c r="T1140">
        <v>2020</v>
      </c>
      <c r="U1140" t="s">
        <v>91</v>
      </c>
    </row>
    <row r="1141" spans="1:21" x14ac:dyDescent="0.35">
      <c r="A1141" s="1">
        <v>45731</v>
      </c>
      <c r="B1141" t="s">
        <v>48</v>
      </c>
      <c r="C1141" t="s">
        <v>49</v>
      </c>
      <c r="D1141" t="s">
        <v>50</v>
      </c>
      <c r="E1141">
        <v>200</v>
      </c>
      <c r="F1141">
        <v>150</v>
      </c>
      <c r="G1141">
        <f t="shared" si="51"/>
        <v>30000</v>
      </c>
      <c r="H1141">
        <v>100</v>
      </c>
      <c r="I1141">
        <f t="shared" si="52"/>
        <v>20000</v>
      </c>
      <c r="J1141">
        <f t="shared" si="53"/>
        <v>10000</v>
      </c>
      <c r="K1141" t="s">
        <v>42</v>
      </c>
      <c r="L1141" t="s">
        <v>36</v>
      </c>
      <c r="M1141" t="s">
        <v>26</v>
      </c>
      <c r="N1141" t="s">
        <v>27</v>
      </c>
      <c r="O1141">
        <v>650</v>
      </c>
      <c r="P1141">
        <v>200</v>
      </c>
      <c r="Q1141" t="s">
        <v>70</v>
      </c>
      <c r="R1141" t="s">
        <v>71</v>
      </c>
      <c r="S1141" t="s">
        <v>72</v>
      </c>
      <c r="T1141">
        <v>2023</v>
      </c>
      <c r="U1141" t="s">
        <v>86</v>
      </c>
    </row>
    <row r="1142" spans="1:21" x14ac:dyDescent="0.35">
      <c r="A1142" s="1">
        <v>45732</v>
      </c>
      <c r="B1142" t="s">
        <v>32</v>
      </c>
      <c r="C1142" t="s">
        <v>33</v>
      </c>
      <c r="D1142" t="s">
        <v>34</v>
      </c>
      <c r="E1142">
        <v>215</v>
      </c>
      <c r="F1142">
        <v>20</v>
      </c>
      <c r="G1142">
        <f t="shared" si="51"/>
        <v>4300</v>
      </c>
      <c r="H1142">
        <v>12</v>
      </c>
      <c r="I1142">
        <f t="shared" si="52"/>
        <v>2580</v>
      </c>
      <c r="J1142">
        <f t="shared" si="53"/>
        <v>1720</v>
      </c>
      <c r="K1142" t="s">
        <v>24</v>
      </c>
      <c r="L1142" t="s">
        <v>73</v>
      </c>
      <c r="M1142" t="s">
        <v>61</v>
      </c>
      <c r="N1142" t="s">
        <v>27</v>
      </c>
      <c r="O1142">
        <v>979</v>
      </c>
      <c r="P1142">
        <v>215</v>
      </c>
      <c r="Q1142" t="s">
        <v>83</v>
      </c>
      <c r="R1142" t="s">
        <v>84</v>
      </c>
      <c r="S1142" t="s">
        <v>85</v>
      </c>
      <c r="T1142">
        <v>2024</v>
      </c>
      <c r="U1142" t="s">
        <v>86</v>
      </c>
    </row>
    <row r="1143" spans="1:21" x14ac:dyDescent="0.35">
      <c r="A1143" s="1">
        <v>45733</v>
      </c>
      <c r="B1143" t="s">
        <v>48</v>
      </c>
      <c r="C1143" t="s">
        <v>49</v>
      </c>
      <c r="D1143" t="s">
        <v>50</v>
      </c>
      <c r="E1143">
        <v>334</v>
      </c>
      <c r="F1143">
        <v>150</v>
      </c>
      <c r="G1143">
        <f t="shared" si="51"/>
        <v>50100</v>
      </c>
      <c r="H1143">
        <v>100</v>
      </c>
      <c r="I1143">
        <f t="shared" si="52"/>
        <v>33400</v>
      </c>
      <c r="J1143">
        <f t="shared" si="53"/>
        <v>16700</v>
      </c>
      <c r="K1143" t="s">
        <v>42</v>
      </c>
      <c r="L1143" t="s">
        <v>63</v>
      </c>
      <c r="M1143" t="s">
        <v>61</v>
      </c>
      <c r="N1143" t="s">
        <v>43</v>
      </c>
      <c r="O1143">
        <v>657</v>
      </c>
      <c r="P1143">
        <v>334</v>
      </c>
      <c r="Q1143" t="s">
        <v>77</v>
      </c>
      <c r="R1143" t="s">
        <v>78</v>
      </c>
      <c r="S1143" t="s">
        <v>79</v>
      </c>
      <c r="T1143">
        <v>2024</v>
      </c>
      <c r="U1143" t="s">
        <v>96</v>
      </c>
    </row>
    <row r="1144" spans="1:21" x14ac:dyDescent="0.35">
      <c r="A1144" s="1">
        <v>45734</v>
      </c>
      <c r="B1144" t="s">
        <v>58</v>
      </c>
      <c r="C1144" t="s">
        <v>59</v>
      </c>
      <c r="D1144" t="s">
        <v>60</v>
      </c>
      <c r="E1144">
        <v>144</v>
      </c>
      <c r="F1144">
        <v>5</v>
      </c>
      <c r="G1144">
        <f t="shared" si="51"/>
        <v>720</v>
      </c>
      <c r="H1144">
        <v>3</v>
      </c>
      <c r="I1144">
        <f t="shared" si="52"/>
        <v>432</v>
      </c>
      <c r="J1144">
        <f t="shared" si="53"/>
        <v>288</v>
      </c>
      <c r="K1144" t="s">
        <v>24</v>
      </c>
      <c r="L1144" t="s">
        <v>73</v>
      </c>
      <c r="M1144" t="s">
        <v>37</v>
      </c>
      <c r="N1144" t="s">
        <v>43</v>
      </c>
      <c r="O1144">
        <v>930</v>
      </c>
      <c r="P1144">
        <v>144</v>
      </c>
      <c r="Q1144" t="s">
        <v>94</v>
      </c>
      <c r="R1144" t="s">
        <v>75</v>
      </c>
      <c r="S1144" t="s">
        <v>95</v>
      </c>
      <c r="T1144">
        <v>2023</v>
      </c>
      <c r="U1144" t="s">
        <v>31</v>
      </c>
    </row>
    <row r="1145" spans="1:21" x14ac:dyDescent="0.35">
      <c r="A1145" s="1">
        <v>45735</v>
      </c>
      <c r="B1145" t="s">
        <v>58</v>
      </c>
      <c r="C1145" t="s">
        <v>59</v>
      </c>
      <c r="D1145" t="s">
        <v>60</v>
      </c>
      <c r="E1145">
        <v>36</v>
      </c>
      <c r="F1145">
        <v>5</v>
      </c>
      <c r="G1145">
        <f t="shared" si="51"/>
        <v>180</v>
      </c>
      <c r="H1145">
        <v>3</v>
      </c>
      <c r="I1145">
        <f t="shared" si="52"/>
        <v>108</v>
      </c>
      <c r="J1145">
        <f t="shared" si="53"/>
        <v>72</v>
      </c>
      <c r="K1145" t="s">
        <v>35</v>
      </c>
      <c r="L1145" t="s">
        <v>25</v>
      </c>
      <c r="M1145" t="s">
        <v>26</v>
      </c>
      <c r="N1145" t="s">
        <v>43</v>
      </c>
      <c r="O1145">
        <v>989</v>
      </c>
      <c r="P1145">
        <v>36</v>
      </c>
      <c r="Q1145" t="s">
        <v>70</v>
      </c>
      <c r="R1145" t="s">
        <v>71</v>
      </c>
      <c r="S1145" t="s">
        <v>72</v>
      </c>
      <c r="T1145">
        <v>2021</v>
      </c>
      <c r="U1145" t="s">
        <v>47</v>
      </c>
    </row>
    <row r="1146" spans="1:21" x14ac:dyDescent="0.35">
      <c r="A1146" s="1">
        <v>45736</v>
      </c>
      <c r="B1146" t="s">
        <v>98</v>
      </c>
      <c r="C1146" t="s">
        <v>99</v>
      </c>
      <c r="D1146" t="s">
        <v>100</v>
      </c>
      <c r="E1146">
        <v>445</v>
      </c>
      <c r="F1146">
        <v>6</v>
      </c>
      <c r="G1146">
        <f t="shared" si="51"/>
        <v>2670</v>
      </c>
      <c r="H1146">
        <v>4</v>
      </c>
      <c r="I1146">
        <f t="shared" si="52"/>
        <v>1780</v>
      </c>
      <c r="J1146">
        <f t="shared" si="53"/>
        <v>890</v>
      </c>
      <c r="K1146" t="s">
        <v>35</v>
      </c>
      <c r="L1146" t="s">
        <v>25</v>
      </c>
      <c r="M1146" t="s">
        <v>26</v>
      </c>
      <c r="N1146" t="s">
        <v>43</v>
      </c>
      <c r="O1146">
        <v>889</v>
      </c>
      <c r="P1146">
        <v>445</v>
      </c>
      <c r="Q1146" t="s">
        <v>110</v>
      </c>
      <c r="R1146" t="s">
        <v>111</v>
      </c>
      <c r="S1146" t="s">
        <v>112</v>
      </c>
      <c r="T1146">
        <v>2021</v>
      </c>
      <c r="U1146" t="s">
        <v>31</v>
      </c>
    </row>
    <row r="1147" spans="1:21" x14ac:dyDescent="0.35">
      <c r="A1147" s="1">
        <v>45737</v>
      </c>
      <c r="B1147" t="s">
        <v>58</v>
      </c>
      <c r="C1147" t="s">
        <v>59</v>
      </c>
      <c r="D1147" t="s">
        <v>60</v>
      </c>
      <c r="E1147">
        <v>124</v>
      </c>
      <c r="F1147">
        <v>5</v>
      </c>
      <c r="G1147">
        <f t="shared" si="51"/>
        <v>620</v>
      </c>
      <c r="H1147">
        <v>3</v>
      </c>
      <c r="I1147">
        <f t="shared" si="52"/>
        <v>372</v>
      </c>
      <c r="J1147">
        <f t="shared" si="53"/>
        <v>248</v>
      </c>
      <c r="K1147" t="s">
        <v>35</v>
      </c>
      <c r="L1147" t="s">
        <v>73</v>
      </c>
      <c r="M1147" t="s">
        <v>26</v>
      </c>
      <c r="N1147" t="s">
        <v>38</v>
      </c>
      <c r="O1147">
        <v>797</v>
      </c>
      <c r="P1147">
        <v>124</v>
      </c>
      <c r="Q1147" t="s">
        <v>70</v>
      </c>
      <c r="R1147" t="s">
        <v>71</v>
      </c>
      <c r="S1147" t="s">
        <v>72</v>
      </c>
      <c r="T1147">
        <v>2024</v>
      </c>
      <c r="U1147" t="s">
        <v>53</v>
      </c>
    </row>
    <row r="1148" spans="1:21" x14ac:dyDescent="0.35">
      <c r="A1148" s="1">
        <v>45738</v>
      </c>
      <c r="B1148" t="s">
        <v>98</v>
      </c>
      <c r="C1148" t="s">
        <v>99</v>
      </c>
      <c r="D1148" t="s">
        <v>100</v>
      </c>
      <c r="E1148">
        <v>340</v>
      </c>
      <c r="F1148">
        <v>6</v>
      </c>
      <c r="G1148">
        <f t="shared" si="51"/>
        <v>2040</v>
      </c>
      <c r="H1148">
        <v>4</v>
      </c>
      <c r="I1148">
        <f t="shared" si="52"/>
        <v>1360</v>
      </c>
      <c r="J1148">
        <f t="shared" si="53"/>
        <v>680</v>
      </c>
      <c r="K1148" t="s">
        <v>24</v>
      </c>
      <c r="L1148" t="s">
        <v>73</v>
      </c>
      <c r="M1148" t="s">
        <v>26</v>
      </c>
      <c r="N1148" t="s">
        <v>27</v>
      </c>
      <c r="O1148">
        <v>910</v>
      </c>
      <c r="P1148">
        <v>340</v>
      </c>
      <c r="Q1148" t="s">
        <v>39</v>
      </c>
      <c r="R1148" t="s">
        <v>40</v>
      </c>
      <c r="S1148" t="s">
        <v>41</v>
      </c>
      <c r="T1148">
        <v>2023</v>
      </c>
      <c r="U1148" t="s">
        <v>91</v>
      </c>
    </row>
    <row r="1149" spans="1:21" x14ac:dyDescent="0.35">
      <c r="A1149" s="1">
        <v>45739</v>
      </c>
      <c r="B1149" t="s">
        <v>21</v>
      </c>
      <c r="C1149" t="s">
        <v>22</v>
      </c>
      <c r="D1149" t="s">
        <v>23</v>
      </c>
      <c r="E1149">
        <v>247</v>
      </c>
      <c r="F1149">
        <v>8</v>
      </c>
      <c r="G1149">
        <f t="shared" si="51"/>
        <v>1976</v>
      </c>
      <c r="H1149">
        <v>5</v>
      </c>
      <c r="I1149">
        <f t="shared" si="52"/>
        <v>1235</v>
      </c>
      <c r="J1149">
        <f t="shared" si="53"/>
        <v>741</v>
      </c>
      <c r="K1149" t="s">
        <v>24</v>
      </c>
      <c r="L1149" t="s">
        <v>63</v>
      </c>
      <c r="M1149" t="s">
        <v>61</v>
      </c>
      <c r="N1149" t="s">
        <v>38</v>
      </c>
      <c r="O1149">
        <v>919</v>
      </c>
      <c r="P1149">
        <v>247</v>
      </c>
      <c r="Q1149" t="s">
        <v>106</v>
      </c>
      <c r="R1149" t="s">
        <v>107</v>
      </c>
      <c r="S1149" t="s">
        <v>108</v>
      </c>
      <c r="T1149">
        <v>2024</v>
      </c>
      <c r="U1149" t="s">
        <v>96</v>
      </c>
    </row>
    <row r="1150" spans="1:21" x14ac:dyDescent="0.35">
      <c r="A1150" s="1">
        <v>45740</v>
      </c>
      <c r="B1150" t="s">
        <v>21</v>
      </c>
      <c r="C1150" t="s">
        <v>22</v>
      </c>
      <c r="D1150" t="s">
        <v>23</v>
      </c>
      <c r="E1150">
        <v>105</v>
      </c>
      <c r="F1150">
        <v>8</v>
      </c>
      <c r="G1150">
        <f t="shared" si="51"/>
        <v>840</v>
      </c>
      <c r="H1150">
        <v>5</v>
      </c>
      <c r="I1150">
        <f t="shared" si="52"/>
        <v>525</v>
      </c>
      <c r="J1150">
        <f t="shared" si="53"/>
        <v>315</v>
      </c>
      <c r="K1150" t="s">
        <v>35</v>
      </c>
      <c r="L1150" t="s">
        <v>63</v>
      </c>
      <c r="M1150" t="s">
        <v>26</v>
      </c>
      <c r="N1150" t="s">
        <v>43</v>
      </c>
      <c r="O1150">
        <v>689</v>
      </c>
      <c r="P1150">
        <v>105</v>
      </c>
      <c r="Q1150" t="s">
        <v>83</v>
      </c>
      <c r="R1150" t="s">
        <v>84</v>
      </c>
      <c r="S1150" t="s">
        <v>85</v>
      </c>
      <c r="T1150">
        <v>2022</v>
      </c>
      <c r="U1150" t="s">
        <v>97</v>
      </c>
    </row>
    <row r="1151" spans="1:21" x14ac:dyDescent="0.35">
      <c r="A1151" s="1">
        <v>45741</v>
      </c>
      <c r="B1151" t="s">
        <v>98</v>
      </c>
      <c r="C1151" t="s">
        <v>99</v>
      </c>
      <c r="D1151" t="s">
        <v>100</v>
      </c>
      <c r="E1151">
        <v>460</v>
      </c>
      <c r="F1151">
        <v>6</v>
      </c>
      <c r="G1151">
        <f t="shared" si="51"/>
        <v>2760</v>
      </c>
      <c r="H1151">
        <v>4</v>
      </c>
      <c r="I1151">
        <f t="shared" si="52"/>
        <v>1840</v>
      </c>
      <c r="J1151">
        <f t="shared" si="53"/>
        <v>920</v>
      </c>
      <c r="K1151" t="s">
        <v>24</v>
      </c>
      <c r="L1151" t="s">
        <v>36</v>
      </c>
      <c r="M1151" t="s">
        <v>37</v>
      </c>
      <c r="N1151" t="s">
        <v>43</v>
      </c>
      <c r="O1151">
        <v>597</v>
      </c>
      <c r="P1151">
        <v>460</v>
      </c>
      <c r="Q1151" t="s">
        <v>103</v>
      </c>
      <c r="R1151" t="s">
        <v>68</v>
      </c>
      <c r="S1151" t="s">
        <v>104</v>
      </c>
      <c r="T1151">
        <v>2024</v>
      </c>
      <c r="U1151" t="s">
        <v>109</v>
      </c>
    </row>
    <row r="1152" spans="1:21" x14ac:dyDescent="0.35">
      <c r="A1152" s="1">
        <v>45742</v>
      </c>
      <c r="B1152" t="s">
        <v>58</v>
      </c>
      <c r="C1152" t="s">
        <v>59</v>
      </c>
      <c r="D1152" t="s">
        <v>60</v>
      </c>
      <c r="E1152">
        <v>270</v>
      </c>
      <c r="F1152">
        <v>5</v>
      </c>
      <c r="G1152">
        <f t="shared" si="51"/>
        <v>1350</v>
      </c>
      <c r="H1152">
        <v>3</v>
      </c>
      <c r="I1152">
        <f t="shared" si="52"/>
        <v>810</v>
      </c>
      <c r="J1152">
        <f t="shared" si="53"/>
        <v>540</v>
      </c>
      <c r="K1152" t="s">
        <v>35</v>
      </c>
      <c r="L1152" t="s">
        <v>63</v>
      </c>
      <c r="M1152" t="s">
        <v>37</v>
      </c>
      <c r="N1152" t="s">
        <v>43</v>
      </c>
      <c r="O1152">
        <v>867</v>
      </c>
      <c r="P1152">
        <v>270</v>
      </c>
      <c r="Q1152" t="s">
        <v>83</v>
      </c>
      <c r="R1152" t="s">
        <v>84</v>
      </c>
      <c r="S1152" t="s">
        <v>85</v>
      </c>
      <c r="T1152">
        <v>2020</v>
      </c>
      <c r="U1152" t="s">
        <v>105</v>
      </c>
    </row>
    <row r="1153" spans="1:21" x14ac:dyDescent="0.35">
      <c r="A1153" s="1">
        <v>45743</v>
      </c>
      <c r="B1153" t="s">
        <v>48</v>
      </c>
      <c r="C1153" t="s">
        <v>49</v>
      </c>
      <c r="D1153" t="s">
        <v>50</v>
      </c>
      <c r="E1153">
        <v>258</v>
      </c>
      <c r="F1153">
        <v>150</v>
      </c>
      <c r="G1153">
        <f t="shared" si="51"/>
        <v>38700</v>
      </c>
      <c r="H1153">
        <v>100</v>
      </c>
      <c r="I1153">
        <f t="shared" si="52"/>
        <v>25800</v>
      </c>
      <c r="J1153">
        <f t="shared" si="53"/>
        <v>12900</v>
      </c>
      <c r="K1153" t="s">
        <v>42</v>
      </c>
      <c r="L1153" t="s">
        <v>63</v>
      </c>
      <c r="M1153" t="s">
        <v>37</v>
      </c>
      <c r="N1153" t="s">
        <v>27</v>
      </c>
      <c r="O1153">
        <v>677</v>
      </c>
      <c r="P1153">
        <v>258</v>
      </c>
      <c r="Q1153" t="s">
        <v>101</v>
      </c>
      <c r="R1153" t="s">
        <v>101</v>
      </c>
      <c r="S1153" t="s">
        <v>102</v>
      </c>
      <c r="T1153">
        <v>2024</v>
      </c>
      <c r="U1153" t="s">
        <v>91</v>
      </c>
    </row>
    <row r="1154" spans="1:21" x14ac:dyDescent="0.35">
      <c r="A1154" s="1">
        <v>45744</v>
      </c>
      <c r="B1154" t="s">
        <v>48</v>
      </c>
      <c r="C1154" t="s">
        <v>49</v>
      </c>
      <c r="D1154" t="s">
        <v>50</v>
      </c>
      <c r="E1154">
        <v>244</v>
      </c>
      <c r="F1154">
        <v>150</v>
      </c>
      <c r="G1154">
        <f t="shared" si="51"/>
        <v>36600</v>
      </c>
      <c r="H1154">
        <v>100</v>
      </c>
      <c r="I1154">
        <f t="shared" si="52"/>
        <v>24400</v>
      </c>
      <c r="J1154">
        <f t="shared" si="53"/>
        <v>12200</v>
      </c>
      <c r="K1154" t="s">
        <v>42</v>
      </c>
      <c r="L1154" t="s">
        <v>73</v>
      </c>
      <c r="M1154" t="s">
        <v>37</v>
      </c>
      <c r="N1154" t="s">
        <v>43</v>
      </c>
      <c r="O1154">
        <v>904</v>
      </c>
      <c r="P1154">
        <v>244</v>
      </c>
      <c r="Q1154" t="s">
        <v>51</v>
      </c>
      <c r="R1154" t="s">
        <v>45</v>
      </c>
      <c r="S1154" t="s">
        <v>52</v>
      </c>
      <c r="T1154">
        <v>2024</v>
      </c>
      <c r="U1154" t="s">
        <v>109</v>
      </c>
    </row>
    <row r="1155" spans="1:21" x14ac:dyDescent="0.35">
      <c r="A1155" s="1">
        <v>45745</v>
      </c>
      <c r="B1155" t="s">
        <v>48</v>
      </c>
      <c r="C1155" t="s">
        <v>49</v>
      </c>
      <c r="D1155" t="s">
        <v>50</v>
      </c>
      <c r="E1155">
        <v>454</v>
      </c>
      <c r="F1155">
        <v>150</v>
      </c>
      <c r="G1155">
        <f t="shared" ref="G1155:G1218" si="54">E1155*F1155</f>
        <v>68100</v>
      </c>
      <c r="H1155">
        <v>100</v>
      </c>
      <c r="I1155">
        <f t="shared" ref="I1155:I1218" si="55">E1155*H1155</f>
        <v>45400</v>
      </c>
      <c r="J1155">
        <f t="shared" ref="J1155:J1218" si="56">G1155-I1155</f>
        <v>22700</v>
      </c>
      <c r="K1155" t="s">
        <v>42</v>
      </c>
      <c r="L1155" t="s">
        <v>63</v>
      </c>
      <c r="M1155" t="s">
        <v>61</v>
      </c>
      <c r="N1155" t="s">
        <v>38</v>
      </c>
      <c r="O1155">
        <v>610</v>
      </c>
      <c r="P1155">
        <v>454</v>
      </c>
      <c r="Q1155" t="s">
        <v>113</v>
      </c>
      <c r="R1155" t="s">
        <v>114</v>
      </c>
      <c r="S1155" t="s">
        <v>115</v>
      </c>
      <c r="T1155">
        <v>2021</v>
      </c>
      <c r="U1155" t="s">
        <v>66</v>
      </c>
    </row>
    <row r="1156" spans="1:21" x14ac:dyDescent="0.35">
      <c r="A1156" s="1">
        <v>45746</v>
      </c>
      <c r="B1156" t="s">
        <v>98</v>
      </c>
      <c r="C1156" t="s">
        <v>99</v>
      </c>
      <c r="D1156" t="s">
        <v>100</v>
      </c>
      <c r="E1156">
        <v>341</v>
      </c>
      <c r="F1156">
        <v>6</v>
      </c>
      <c r="G1156">
        <f t="shared" si="54"/>
        <v>2046</v>
      </c>
      <c r="H1156">
        <v>4</v>
      </c>
      <c r="I1156">
        <f t="shared" si="55"/>
        <v>1364</v>
      </c>
      <c r="J1156">
        <f t="shared" si="56"/>
        <v>682</v>
      </c>
      <c r="K1156" t="s">
        <v>24</v>
      </c>
      <c r="L1156" t="s">
        <v>63</v>
      </c>
      <c r="M1156" t="s">
        <v>61</v>
      </c>
      <c r="N1156" t="s">
        <v>27</v>
      </c>
      <c r="O1156">
        <v>825</v>
      </c>
      <c r="P1156">
        <v>341</v>
      </c>
      <c r="Q1156" t="s">
        <v>103</v>
      </c>
      <c r="R1156" t="s">
        <v>68</v>
      </c>
      <c r="S1156" t="s">
        <v>104</v>
      </c>
      <c r="T1156">
        <v>2021</v>
      </c>
      <c r="U1156" t="s">
        <v>57</v>
      </c>
    </row>
    <row r="1157" spans="1:21" x14ac:dyDescent="0.35">
      <c r="A1157" s="1">
        <v>45747</v>
      </c>
      <c r="B1157" t="s">
        <v>32</v>
      </c>
      <c r="C1157" t="s">
        <v>33</v>
      </c>
      <c r="D1157" t="s">
        <v>34</v>
      </c>
      <c r="E1157">
        <v>361</v>
      </c>
      <c r="F1157">
        <v>20</v>
      </c>
      <c r="G1157">
        <f t="shared" si="54"/>
        <v>7220</v>
      </c>
      <c r="H1157">
        <v>12</v>
      </c>
      <c r="I1157">
        <f t="shared" si="55"/>
        <v>4332</v>
      </c>
      <c r="J1157">
        <f t="shared" si="56"/>
        <v>2888</v>
      </c>
      <c r="K1157" t="s">
        <v>24</v>
      </c>
      <c r="L1157" t="s">
        <v>73</v>
      </c>
      <c r="M1157" t="s">
        <v>61</v>
      </c>
      <c r="N1157" t="s">
        <v>38</v>
      </c>
      <c r="O1157">
        <v>511</v>
      </c>
      <c r="P1157">
        <v>361</v>
      </c>
      <c r="Q1157" t="s">
        <v>67</v>
      </c>
      <c r="R1157" t="s">
        <v>68</v>
      </c>
      <c r="S1157" t="s">
        <v>69</v>
      </c>
      <c r="T1157">
        <v>2021</v>
      </c>
      <c r="U1157" t="s">
        <v>57</v>
      </c>
    </row>
    <row r="1158" spans="1:21" x14ac:dyDescent="0.35">
      <c r="A1158" s="1">
        <v>45748</v>
      </c>
      <c r="B1158" t="s">
        <v>48</v>
      </c>
      <c r="C1158" t="s">
        <v>49</v>
      </c>
      <c r="D1158" t="s">
        <v>50</v>
      </c>
      <c r="E1158">
        <v>12</v>
      </c>
      <c r="F1158">
        <v>150</v>
      </c>
      <c r="G1158">
        <f t="shared" si="54"/>
        <v>1800</v>
      </c>
      <c r="H1158">
        <v>100</v>
      </c>
      <c r="I1158">
        <f t="shared" si="55"/>
        <v>1200</v>
      </c>
      <c r="J1158">
        <f t="shared" si="56"/>
        <v>600</v>
      </c>
      <c r="K1158" t="s">
        <v>24</v>
      </c>
      <c r="L1158" t="s">
        <v>63</v>
      </c>
      <c r="M1158" t="s">
        <v>37</v>
      </c>
      <c r="N1158" t="s">
        <v>43</v>
      </c>
      <c r="O1158">
        <v>763</v>
      </c>
      <c r="P1158">
        <v>12</v>
      </c>
      <c r="Q1158" t="s">
        <v>67</v>
      </c>
      <c r="R1158" t="s">
        <v>68</v>
      </c>
      <c r="S1158" t="s">
        <v>69</v>
      </c>
      <c r="T1158">
        <v>2021</v>
      </c>
      <c r="U1158" t="s">
        <v>62</v>
      </c>
    </row>
    <row r="1159" spans="1:21" x14ac:dyDescent="0.35">
      <c r="A1159" s="1">
        <v>45749</v>
      </c>
      <c r="B1159" t="s">
        <v>48</v>
      </c>
      <c r="C1159" t="s">
        <v>49</v>
      </c>
      <c r="D1159" t="s">
        <v>50</v>
      </c>
      <c r="E1159">
        <v>393</v>
      </c>
      <c r="F1159">
        <v>150</v>
      </c>
      <c r="G1159">
        <f t="shared" si="54"/>
        <v>58950</v>
      </c>
      <c r="H1159">
        <v>100</v>
      </c>
      <c r="I1159">
        <f t="shared" si="55"/>
        <v>39300</v>
      </c>
      <c r="J1159">
        <f t="shared" si="56"/>
        <v>19650</v>
      </c>
      <c r="K1159" t="s">
        <v>24</v>
      </c>
      <c r="L1159" t="s">
        <v>36</v>
      </c>
      <c r="M1159" t="s">
        <v>26</v>
      </c>
      <c r="N1159" t="s">
        <v>43</v>
      </c>
      <c r="O1159">
        <v>583</v>
      </c>
      <c r="P1159">
        <v>393</v>
      </c>
      <c r="Q1159" t="s">
        <v>103</v>
      </c>
      <c r="R1159" t="s">
        <v>68</v>
      </c>
      <c r="S1159" t="s">
        <v>104</v>
      </c>
      <c r="T1159">
        <v>2022</v>
      </c>
      <c r="U1159" t="s">
        <v>96</v>
      </c>
    </row>
    <row r="1160" spans="1:21" x14ac:dyDescent="0.35">
      <c r="A1160" s="1">
        <v>45750</v>
      </c>
      <c r="B1160" t="s">
        <v>21</v>
      </c>
      <c r="C1160" t="s">
        <v>22</v>
      </c>
      <c r="D1160" t="s">
        <v>23</v>
      </c>
      <c r="E1160">
        <v>379</v>
      </c>
      <c r="F1160">
        <v>8</v>
      </c>
      <c r="G1160">
        <f t="shared" si="54"/>
        <v>3032</v>
      </c>
      <c r="H1160">
        <v>5</v>
      </c>
      <c r="I1160">
        <f t="shared" si="55"/>
        <v>1895</v>
      </c>
      <c r="J1160">
        <f t="shared" si="56"/>
        <v>1137</v>
      </c>
      <c r="K1160" t="s">
        <v>35</v>
      </c>
      <c r="L1160" t="s">
        <v>25</v>
      </c>
      <c r="M1160" t="s">
        <v>26</v>
      </c>
      <c r="N1160" t="s">
        <v>43</v>
      </c>
      <c r="O1160">
        <v>763</v>
      </c>
      <c r="P1160">
        <v>379</v>
      </c>
      <c r="Q1160" t="s">
        <v>39</v>
      </c>
      <c r="R1160" t="s">
        <v>40</v>
      </c>
      <c r="S1160" t="s">
        <v>41</v>
      </c>
      <c r="T1160">
        <v>2021</v>
      </c>
      <c r="U1160" t="s">
        <v>53</v>
      </c>
    </row>
    <row r="1161" spans="1:21" x14ac:dyDescent="0.35">
      <c r="A1161" s="1">
        <v>45751</v>
      </c>
      <c r="B1161" t="s">
        <v>32</v>
      </c>
      <c r="C1161" t="s">
        <v>33</v>
      </c>
      <c r="D1161" t="s">
        <v>34</v>
      </c>
      <c r="E1161">
        <v>273</v>
      </c>
      <c r="F1161">
        <v>20</v>
      </c>
      <c r="G1161">
        <f t="shared" si="54"/>
        <v>5460</v>
      </c>
      <c r="H1161">
        <v>12</v>
      </c>
      <c r="I1161">
        <f t="shared" si="55"/>
        <v>3276</v>
      </c>
      <c r="J1161">
        <f t="shared" si="56"/>
        <v>2184</v>
      </c>
      <c r="K1161" t="s">
        <v>42</v>
      </c>
      <c r="L1161" t="s">
        <v>25</v>
      </c>
      <c r="M1161" t="s">
        <v>37</v>
      </c>
      <c r="N1161" t="s">
        <v>38</v>
      </c>
      <c r="O1161">
        <v>589</v>
      </c>
      <c r="P1161">
        <v>273</v>
      </c>
      <c r="Q1161" t="s">
        <v>77</v>
      </c>
      <c r="R1161" t="s">
        <v>78</v>
      </c>
      <c r="S1161" t="s">
        <v>79</v>
      </c>
      <c r="T1161">
        <v>2023</v>
      </c>
      <c r="U1161" t="s">
        <v>62</v>
      </c>
    </row>
    <row r="1162" spans="1:21" x14ac:dyDescent="0.35">
      <c r="A1162" s="1">
        <v>45752</v>
      </c>
      <c r="B1162" t="s">
        <v>80</v>
      </c>
      <c r="C1162" t="s">
        <v>81</v>
      </c>
      <c r="D1162" t="s">
        <v>82</v>
      </c>
      <c r="E1162">
        <v>385</v>
      </c>
      <c r="F1162">
        <v>2.5</v>
      </c>
      <c r="G1162">
        <f t="shared" si="54"/>
        <v>962.5</v>
      </c>
      <c r="H1162">
        <v>1.5</v>
      </c>
      <c r="I1162">
        <f t="shared" si="55"/>
        <v>577.5</v>
      </c>
      <c r="J1162">
        <f t="shared" si="56"/>
        <v>385</v>
      </c>
      <c r="K1162" t="s">
        <v>24</v>
      </c>
      <c r="L1162" t="s">
        <v>36</v>
      </c>
      <c r="M1162" t="s">
        <v>26</v>
      </c>
      <c r="N1162" t="s">
        <v>27</v>
      </c>
      <c r="O1162">
        <v>864</v>
      </c>
      <c r="P1162">
        <v>385</v>
      </c>
      <c r="Q1162" t="s">
        <v>54</v>
      </c>
      <c r="R1162" t="s">
        <v>55</v>
      </c>
      <c r="S1162" t="s">
        <v>56</v>
      </c>
      <c r="T1162">
        <v>2023</v>
      </c>
      <c r="U1162" t="s">
        <v>66</v>
      </c>
    </row>
    <row r="1163" spans="1:21" x14ac:dyDescent="0.35">
      <c r="A1163" s="1">
        <v>45753</v>
      </c>
      <c r="B1163" t="s">
        <v>80</v>
      </c>
      <c r="C1163" t="s">
        <v>81</v>
      </c>
      <c r="D1163" t="s">
        <v>82</v>
      </c>
      <c r="E1163">
        <v>423</v>
      </c>
      <c r="F1163">
        <v>2.5</v>
      </c>
      <c r="G1163">
        <f t="shared" si="54"/>
        <v>1057.5</v>
      </c>
      <c r="H1163">
        <v>1.5</v>
      </c>
      <c r="I1163">
        <f t="shared" si="55"/>
        <v>634.5</v>
      </c>
      <c r="J1163">
        <f t="shared" si="56"/>
        <v>423</v>
      </c>
      <c r="K1163" t="s">
        <v>24</v>
      </c>
      <c r="L1163" t="s">
        <v>63</v>
      </c>
      <c r="M1163" t="s">
        <v>37</v>
      </c>
      <c r="N1163" t="s">
        <v>43</v>
      </c>
      <c r="O1163">
        <v>584</v>
      </c>
      <c r="P1163">
        <v>423</v>
      </c>
      <c r="Q1163" t="s">
        <v>67</v>
      </c>
      <c r="R1163" t="s">
        <v>68</v>
      </c>
      <c r="S1163" t="s">
        <v>69</v>
      </c>
      <c r="T1163">
        <v>2020</v>
      </c>
      <c r="U1163" t="s">
        <v>62</v>
      </c>
    </row>
    <row r="1164" spans="1:21" x14ac:dyDescent="0.35">
      <c r="A1164" s="1">
        <v>45754</v>
      </c>
      <c r="B1164" t="s">
        <v>32</v>
      </c>
      <c r="C1164" t="s">
        <v>33</v>
      </c>
      <c r="D1164" t="s">
        <v>34</v>
      </c>
      <c r="E1164">
        <v>33</v>
      </c>
      <c r="F1164">
        <v>20</v>
      </c>
      <c r="G1164">
        <f t="shared" si="54"/>
        <v>660</v>
      </c>
      <c r="H1164">
        <v>12</v>
      </c>
      <c r="I1164">
        <f t="shared" si="55"/>
        <v>396</v>
      </c>
      <c r="J1164">
        <f t="shared" si="56"/>
        <v>264</v>
      </c>
      <c r="K1164" t="s">
        <v>35</v>
      </c>
      <c r="L1164" t="s">
        <v>36</v>
      </c>
      <c r="M1164" t="s">
        <v>37</v>
      </c>
      <c r="N1164" t="s">
        <v>38</v>
      </c>
      <c r="O1164">
        <v>538</v>
      </c>
      <c r="P1164">
        <v>33</v>
      </c>
      <c r="Q1164" t="s">
        <v>70</v>
      </c>
      <c r="R1164" t="s">
        <v>71</v>
      </c>
      <c r="S1164" t="s">
        <v>72</v>
      </c>
      <c r="T1164">
        <v>2023</v>
      </c>
      <c r="U1164" t="s">
        <v>96</v>
      </c>
    </row>
    <row r="1165" spans="1:21" x14ac:dyDescent="0.35">
      <c r="A1165" s="1">
        <v>45755</v>
      </c>
      <c r="B1165" t="s">
        <v>21</v>
      </c>
      <c r="C1165" t="s">
        <v>22</v>
      </c>
      <c r="D1165" t="s">
        <v>23</v>
      </c>
      <c r="E1165">
        <v>93</v>
      </c>
      <c r="F1165">
        <v>8</v>
      </c>
      <c r="G1165">
        <f t="shared" si="54"/>
        <v>744</v>
      </c>
      <c r="H1165">
        <v>5</v>
      </c>
      <c r="I1165">
        <f t="shared" si="55"/>
        <v>465</v>
      </c>
      <c r="J1165">
        <f t="shared" si="56"/>
        <v>279</v>
      </c>
      <c r="K1165" t="s">
        <v>24</v>
      </c>
      <c r="L1165" t="s">
        <v>63</v>
      </c>
      <c r="M1165" t="s">
        <v>61</v>
      </c>
      <c r="N1165" t="s">
        <v>27</v>
      </c>
      <c r="O1165">
        <v>792</v>
      </c>
      <c r="P1165">
        <v>93</v>
      </c>
      <c r="Q1165" t="s">
        <v>70</v>
      </c>
      <c r="R1165" t="s">
        <v>71</v>
      </c>
      <c r="S1165" t="s">
        <v>72</v>
      </c>
      <c r="T1165">
        <v>2023</v>
      </c>
      <c r="U1165" t="s">
        <v>86</v>
      </c>
    </row>
    <row r="1166" spans="1:21" x14ac:dyDescent="0.35">
      <c r="A1166" s="1">
        <v>45756</v>
      </c>
      <c r="B1166" t="s">
        <v>48</v>
      </c>
      <c r="C1166" t="s">
        <v>49</v>
      </c>
      <c r="D1166" t="s">
        <v>50</v>
      </c>
      <c r="E1166">
        <v>422</v>
      </c>
      <c r="F1166">
        <v>150</v>
      </c>
      <c r="G1166">
        <f t="shared" si="54"/>
        <v>63300</v>
      </c>
      <c r="H1166">
        <v>100</v>
      </c>
      <c r="I1166">
        <f t="shared" si="55"/>
        <v>42200</v>
      </c>
      <c r="J1166">
        <f t="shared" si="56"/>
        <v>21100</v>
      </c>
      <c r="K1166" t="s">
        <v>42</v>
      </c>
      <c r="L1166" t="s">
        <v>36</v>
      </c>
      <c r="M1166" t="s">
        <v>37</v>
      </c>
      <c r="N1166" t="s">
        <v>43</v>
      </c>
      <c r="O1166">
        <v>937</v>
      </c>
      <c r="P1166">
        <v>422</v>
      </c>
      <c r="Q1166" t="s">
        <v>77</v>
      </c>
      <c r="R1166" t="s">
        <v>78</v>
      </c>
      <c r="S1166" t="s">
        <v>79</v>
      </c>
      <c r="T1166">
        <v>2022</v>
      </c>
      <c r="U1166" t="s">
        <v>47</v>
      </c>
    </row>
    <row r="1167" spans="1:21" x14ac:dyDescent="0.35">
      <c r="A1167" s="1">
        <v>45757</v>
      </c>
      <c r="B1167" t="s">
        <v>21</v>
      </c>
      <c r="C1167" t="s">
        <v>22</v>
      </c>
      <c r="D1167" t="s">
        <v>23</v>
      </c>
      <c r="E1167">
        <v>241</v>
      </c>
      <c r="F1167">
        <v>8</v>
      </c>
      <c r="G1167">
        <f t="shared" si="54"/>
        <v>1928</v>
      </c>
      <c r="H1167">
        <v>5</v>
      </c>
      <c r="I1167">
        <f t="shared" si="55"/>
        <v>1205</v>
      </c>
      <c r="J1167">
        <f t="shared" si="56"/>
        <v>723</v>
      </c>
      <c r="K1167" t="s">
        <v>35</v>
      </c>
      <c r="L1167" t="s">
        <v>36</v>
      </c>
      <c r="M1167" t="s">
        <v>37</v>
      </c>
      <c r="N1167" t="s">
        <v>38</v>
      </c>
      <c r="O1167">
        <v>690</v>
      </c>
      <c r="P1167">
        <v>241</v>
      </c>
      <c r="Q1167" t="s">
        <v>113</v>
      </c>
      <c r="R1167" t="s">
        <v>114</v>
      </c>
      <c r="S1167" t="s">
        <v>115</v>
      </c>
      <c r="T1167">
        <v>2021</v>
      </c>
      <c r="U1167" t="s">
        <v>57</v>
      </c>
    </row>
    <row r="1168" spans="1:21" x14ac:dyDescent="0.35">
      <c r="A1168" s="1">
        <v>45758</v>
      </c>
      <c r="B1168" t="s">
        <v>48</v>
      </c>
      <c r="C1168" t="s">
        <v>49</v>
      </c>
      <c r="D1168" t="s">
        <v>50</v>
      </c>
      <c r="E1168">
        <v>220</v>
      </c>
      <c r="F1168">
        <v>150</v>
      </c>
      <c r="G1168">
        <f t="shared" si="54"/>
        <v>33000</v>
      </c>
      <c r="H1168">
        <v>100</v>
      </c>
      <c r="I1168">
        <f t="shared" si="55"/>
        <v>22000</v>
      </c>
      <c r="J1168">
        <f t="shared" si="56"/>
        <v>11000</v>
      </c>
      <c r="K1168" t="s">
        <v>42</v>
      </c>
      <c r="L1168" t="s">
        <v>36</v>
      </c>
      <c r="M1168" t="s">
        <v>61</v>
      </c>
      <c r="N1168" t="s">
        <v>43</v>
      </c>
      <c r="O1168">
        <v>980</v>
      </c>
      <c r="P1168">
        <v>220</v>
      </c>
      <c r="Q1168" t="s">
        <v>74</v>
      </c>
      <c r="R1168" t="s">
        <v>75</v>
      </c>
      <c r="S1168" t="s">
        <v>76</v>
      </c>
      <c r="T1168">
        <v>2020</v>
      </c>
      <c r="U1168" t="s">
        <v>86</v>
      </c>
    </row>
    <row r="1169" spans="1:21" x14ac:dyDescent="0.35">
      <c r="A1169" s="1">
        <v>45759</v>
      </c>
      <c r="B1169" t="s">
        <v>32</v>
      </c>
      <c r="C1169" t="s">
        <v>33</v>
      </c>
      <c r="D1169" t="s">
        <v>34</v>
      </c>
      <c r="E1169">
        <v>111</v>
      </c>
      <c r="F1169">
        <v>20</v>
      </c>
      <c r="G1169">
        <f t="shared" si="54"/>
        <v>2220</v>
      </c>
      <c r="H1169">
        <v>12</v>
      </c>
      <c r="I1169">
        <f t="shared" si="55"/>
        <v>1332</v>
      </c>
      <c r="J1169">
        <f t="shared" si="56"/>
        <v>888</v>
      </c>
      <c r="K1169" t="s">
        <v>42</v>
      </c>
      <c r="L1169" t="s">
        <v>36</v>
      </c>
      <c r="M1169" t="s">
        <v>37</v>
      </c>
      <c r="N1169" t="s">
        <v>43</v>
      </c>
      <c r="O1169">
        <v>699</v>
      </c>
      <c r="P1169">
        <v>111</v>
      </c>
      <c r="Q1169" t="s">
        <v>64</v>
      </c>
      <c r="R1169" t="s">
        <v>29</v>
      </c>
      <c r="S1169" t="s">
        <v>65</v>
      </c>
      <c r="T1169">
        <v>2020</v>
      </c>
      <c r="U1169" t="s">
        <v>31</v>
      </c>
    </row>
    <row r="1170" spans="1:21" x14ac:dyDescent="0.35">
      <c r="A1170" s="1">
        <v>45760</v>
      </c>
      <c r="B1170" t="s">
        <v>32</v>
      </c>
      <c r="C1170" t="s">
        <v>33</v>
      </c>
      <c r="D1170" t="s">
        <v>34</v>
      </c>
      <c r="E1170">
        <v>374</v>
      </c>
      <c r="F1170">
        <v>20</v>
      </c>
      <c r="G1170">
        <f t="shared" si="54"/>
        <v>7480</v>
      </c>
      <c r="H1170">
        <v>12</v>
      </c>
      <c r="I1170">
        <f t="shared" si="55"/>
        <v>4488</v>
      </c>
      <c r="J1170">
        <f t="shared" si="56"/>
        <v>2992</v>
      </c>
      <c r="K1170" t="s">
        <v>24</v>
      </c>
      <c r="L1170" t="s">
        <v>73</v>
      </c>
      <c r="M1170" t="s">
        <v>37</v>
      </c>
      <c r="N1170" t="s">
        <v>27</v>
      </c>
      <c r="O1170">
        <v>897</v>
      </c>
      <c r="P1170">
        <v>374</v>
      </c>
      <c r="Q1170" t="s">
        <v>103</v>
      </c>
      <c r="R1170" t="s">
        <v>68</v>
      </c>
      <c r="S1170" t="s">
        <v>104</v>
      </c>
      <c r="T1170">
        <v>2024</v>
      </c>
      <c r="U1170" t="s">
        <v>53</v>
      </c>
    </row>
    <row r="1171" spans="1:21" x14ac:dyDescent="0.35">
      <c r="A1171" s="1">
        <v>45761</v>
      </c>
      <c r="B1171" t="s">
        <v>21</v>
      </c>
      <c r="C1171" t="s">
        <v>22</v>
      </c>
      <c r="D1171" t="s">
        <v>23</v>
      </c>
      <c r="E1171">
        <v>60</v>
      </c>
      <c r="F1171">
        <v>8</v>
      </c>
      <c r="G1171">
        <f t="shared" si="54"/>
        <v>480</v>
      </c>
      <c r="H1171">
        <v>5</v>
      </c>
      <c r="I1171">
        <f t="shared" si="55"/>
        <v>300</v>
      </c>
      <c r="J1171">
        <f t="shared" si="56"/>
        <v>180</v>
      </c>
      <c r="K1171" t="s">
        <v>42</v>
      </c>
      <c r="L1171" t="s">
        <v>73</v>
      </c>
      <c r="M1171" t="s">
        <v>61</v>
      </c>
      <c r="N1171" t="s">
        <v>43</v>
      </c>
      <c r="O1171">
        <v>865</v>
      </c>
      <c r="P1171">
        <v>60</v>
      </c>
      <c r="Q1171" t="s">
        <v>103</v>
      </c>
      <c r="R1171" t="s">
        <v>68</v>
      </c>
      <c r="S1171" t="s">
        <v>104</v>
      </c>
      <c r="T1171">
        <v>2020</v>
      </c>
      <c r="U1171" t="s">
        <v>57</v>
      </c>
    </row>
    <row r="1172" spans="1:21" x14ac:dyDescent="0.35">
      <c r="A1172" s="1">
        <v>45762</v>
      </c>
      <c r="B1172" t="s">
        <v>48</v>
      </c>
      <c r="C1172" t="s">
        <v>49</v>
      </c>
      <c r="D1172" t="s">
        <v>50</v>
      </c>
      <c r="E1172">
        <v>22</v>
      </c>
      <c r="F1172">
        <v>150</v>
      </c>
      <c r="G1172">
        <f t="shared" si="54"/>
        <v>3300</v>
      </c>
      <c r="H1172">
        <v>100</v>
      </c>
      <c r="I1172">
        <f t="shared" si="55"/>
        <v>2200</v>
      </c>
      <c r="J1172">
        <f t="shared" si="56"/>
        <v>1100</v>
      </c>
      <c r="K1172" t="s">
        <v>35</v>
      </c>
      <c r="L1172" t="s">
        <v>73</v>
      </c>
      <c r="M1172" t="s">
        <v>37</v>
      </c>
      <c r="N1172" t="s">
        <v>43</v>
      </c>
      <c r="O1172">
        <v>952</v>
      </c>
      <c r="P1172">
        <v>22</v>
      </c>
      <c r="Q1172" t="s">
        <v>110</v>
      </c>
      <c r="R1172" t="s">
        <v>111</v>
      </c>
      <c r="S1172" t="s">
        <v>112</v>
      </c>
      <c r="T1172">
        <v>2021</v>
      </c>
      <c r="U1172" t="s">
        <v>57</v>
      </c>
    </row>
    <row r="1173" spans="1:21" x14ac:dyDescent="0.35">
      <c r="A1173" s="1">
        <v>45763</v>
      </c>
      <c r="B1173" t="s">
        <v>98</v>
      </c>
      <c r="C1173" t="s">
        <v>99</v>
      </c>
      <c r="D1173" t="s">
        <v>100</v>
      </c>
      <c r="E1173">
        <v>381</v>
      </c>
      <c r="F1173">
        <v>6</v>
      </c>
      <c r="G1173">
        <f t="shared" si="54"/>
        <v>2286</v>
      </c>
      <c r="H1173">
        <v>4</v>
      </c>
      <c r="I1173">
        <f t="shared" si="55"/>
        <v>1524</v>
      </c>
      <c r="J1173">
        <f t="shared" si="56"/>
        <v>762</v>
      </c>
      <c r="K1173" t="s">
        <v>24</v>
      </c>
      <c r="L1173" t="s">
        <v>36</v>
      </c>
      <c r="M1173" t="s">
        <v>26</v>
      </c>
      <c r="N1173" t="s">
        <v>38</v>
      </c>
      <c r="O1173">
        <v>850</v>
      </c>
      <c r="P1173">
        <v>381</v>
      </c>
      <c r="Q1173" t="s">
        <v>94</v>
      </c>
      <c r="R1173" t="s">
        <v>75</v>
      </c>
      <c r="S1173" t="s">
        <v>95</v>
      </c>
      <c r="T1173">
        <v>2024</v>
      </c>
      <c r="U1173" t="s">
        <v>86</v>
      </c>
    </row>
    <row r="1174" spans="1:21" x14ac:dyDescent="0.35">
      <c r="A1174" s="1">
        <v>45764</v>
      </c>
      <c r="B1174" t="s">
        <v>21</v>
      </c>
      <c r="C1174" t="s">
        <v>22</v>
      </c>
      <c r="D1174" t="s">
        <v>23</v>
      </c>
      <c r="E1174">
        <v>86</v>
      </c>
      <c r="F1174">
        <v>8</v>
      </c>
      <c r="G1174">
        <f t="shared" si="54"/>
        <v>688</v>
      </c>
      <c r="H1174">
        <v>5</v>
      </c>
      <c r="I1174">
        <f t="shared" si="55"/>
        <v>430</v>
      </c>
      <c r="J1174">
        <f t="shared" si="56"/>
        <v>258</v>
      </c>
      <c r="K1174" t="s">
        <v>24</v>
      </c>
      <c r="L1174" t="s">
        <v>25</v>
      </c>
      <c r="M1174" t="s">
        <v>61</v>
      </c>
      <c r="N1174" t="s">
        <v>43</v>
      </c>
      <c r="O1174">
        <v>963</v>
      </c>
      <c r="P1174">
        <v>86</v>
      </c>
      <c r="Q1174" t="s">
        <v>110</v>
      </c>
      <c r="R1174" t="s">
        <v>111</v>
      </c>
      <c r="S1174" t="s">
        <v>112</v>
      </c>
      <c r="T1174">
        <v>2022</v>
      </c>
      <c r="U1174" t="s">
        <v>57</v>
      </c>
    </row>
    <row r="1175" spans="1:21" x14ac:dyDescent="0.35">
      <c r="A1175" s="1">
        <v>45765</v>
      </c>
      <c r="B1175" t="s">
        <v>32</v>
      </c>
      <c r="C1175" t="s">
        <v>33</v>
      </c>
      <c r="D1175" t="s">
        <v>34</v>
      </c>
      <c r="E1175">
        <v>207</v>
      </c>
      <c r="F1175">
        <v>20</v>
      </c>
      <c r="G1175">
        <f t="shared" si="54"/>
        <v>4140</v>
      </c>
      <c r="H1175">
        <v>12</v>
      </c>
      <c r="I1175">
        <f t="shared" si="55"/>
        <v>2484</v>
      </c>
      <c r="J1175">
        <f t="shared" si="56"/>
        <v>1656</v>
      </c>
      <c r="K1175" t="s">
        <v>24</v>
      </c>
      <c r="L1175" t="s">
        <v>36</v>
      </c>
      <c r="M1175" t="s">
        <v>61</v>
      </c>
      <c r="N1175" t="s">
        <v>27</v>
      </c>
      <c r="O1175">
        <v>689</v>
      </c>
      <c r="P1175">
        <v>207</v>
      </c>
      <c r="Q1175" t="s">
        <v>44</v>
      </c>
      <c r="R1175" t="s">
        <v>45</v>
      </c>
      <c r="S1175" t="s">
        <v>46</v>
      </c>
      <c r="T1175">
        <v>2020</v>
      </c>
      <c r="U1175" t="s">
        <v>86</v>
      </c>
    </row>
    <row r="1176" spans="1:21" x14ac:dyDescent="0.35">
      <c r="A1176" s="1">
        <v>45766</v>
      </c>
      <c r="B1176" t="s">
        <v>21</v>
      </c>
      <c r="C1176" t="s">
        <v>22</v>
      </c>
      <c r="D1176" t="s">
        <v>23</v>
      </c>
      <c r="E1176">
        <v>319</v>
      </c>
      <c r="F1176">
        <v>8</v>
      </c>
      <c r="G1176">
        <f t="shared" si="54"/>
        <v>2552</v>
      </c>
      <c r="H1176">
        <v>5</v>
      </c>
      <c r="I1176">
        <f t="shared" si="55"/>
        <v>1595</v>
      </c>
      <c r="J1176">
        <f t="shared" si="56"/>
        <v>957</v>
      </c>
      <c r="K1176" t="s">
        <v>24</v>
      </c>
      <c r="L1176" t="s">
        <v>73</v>
      </c>
      <c r="M1176" t="s">
        <v>61</v>
      </c>
      <c r="N1176" t="s">
        <v>38</v>
      </c>
      <c r="O1176">
        <v>935</v>
      </c>
      <c r="P1176">
        <v>319</v>
      </c>
      <c r="Q1176" t="s">
        <v>28</v>
      </c>
      <c r="R1176" t="s">
        <v>29</v>
      </c>
      <c r="S1176" t="s">
        <v>30</v>
      </c>
      <c r="T1176">
        <v>2024</v>
      </c>
      <c r="U1176" t="s">
        <v>86</v>
      </c>
    </row>
    <row r="1177" spans="1:21" x14ac:dyDescent="0.35">
      <c r="A1177" s="1">
        <v>45767</v>
      </c>
      <c r="B1177" t="s">
        <v>21</v>
      </c>
      <c r="C1177" t="s">
        <v>22</v>
      </c>
      <c r="D1177" t="s">
        <v>23</v>
      </c>
      <c r="E1177">
        <v>30</v>
      </c>
      <c r="F1177">
        <v>8</v>
      </c>
      <c r="G1177">
        <f t="shared" si="54"/>
        <v>240</v>
      </c>
      <c r="H1177">
        <v>5</v>
      </c>
      <c r="I1177">
        <f t="shared" si="55"/>
        <v>150</v>
      </c>
      <c r="J1177">
        <f t="shared" si="56"/>
        <v>90</v>
      </c>
      <c r="K1177" t="s">
        <v>42</v>
      </c>
      <c r="L1177" t="s">
        <v>63</v>
      </c>
      <c r="M1177" t="s">
        <v>37</v>
      </c>
      <c r="N1177" t="s">
        <v>43</v>
      </c>
      <c r="O1177">
        <v>811</v>
      </c>
      <c r="P1177">
        <v>30</v>
      </c>
      <c r="Q1177" t="s">
        <v>113</v>
      </c>
      <c r="R1177" t="s">
        <v>114</v>
      </c>
      <c r="S1177" t="s">
        <v>115</v>
      </c>
      <c r="T1177">
        <v>2021</v>
      </c>
      <c r="U1177" t="s">
        <v>86</v>
      </c>
    </row>
    <row r="1178" spans="1:21" x14ac:dyDescent="0.35">
      <c r="A1178" s="1">
        <v>45768</v>
      </c>
      <c r="B1178" t="s">
        <v>80</v>
      </c>
      <c r="C1178" t="s">
        <v>81</v>
      </c>
      <c r="D1178" t="s">
        <v>82</v>
      </c>
      <c r="E1178">
        <v>280</v>
      </c>
      <c r="F1178">
        <v>2.5</v>
      </c>
      <c r="G1178">
        <f t="shared" si="54"/>
        <v>700</v>
      </c>
      <c r="H1178">
        <v>1.5</v>
      </c>
      <c r="I1178">
        <f t="shared" si="55"/>
        <v>420</v>
      </c>
      <c r="J1178">
        <f t="shared" si="56"/>
        <v>280</v>
      </c>
      <c r="K1178" t="s">
        <v>35</v>
      </c>
      <c r="L1178" t="s">
        <v>25</v>
      </c>
      <c r="M1178" t="s">
        <v>61</v>
      </c>
      <c r="N1178" t="s">
        <v>38</v>
      </c>
      <c r="O1178">
        <v>914</v>
      </c>
      <c r="P1178">
        <v>280</v>
      </c>
      <c r="Q1178" t="s">
        <v>51</v>
      </c>
      <c r="R1178" t="s">
        <v>45</v>
      </c>
      <c r="S1178" t="s">
        <v>52</v>
      </c>
      <c r="T1178">
        <v>2024</v>
      </c>
      <c r="U1178" t="s">
        <v>97</v>
      </c>
    </row>
    <row r="1179" spans="1:21" x14ac:dyDescent="0.35">
      <c r="A1179" s="1">
        <v>45769</v>
      </c>
      <c r="B1179" t="s">
        <v>48</v>
      </c>
      <c r="C1179" t="s">
        <v>49</v>
      </c>
      <c r="D1179" t="s">
        <v>50</v>
      </c>
      <c r="E1179">
        <v>82</v>
      </c>
      <c r="F1179">
        <v>150</v>
      </c>
      <c r="G1179">
        <f t="shared" si="54"/>
        <v>12300</v>
      </c>
      <c r="H1179">
        <v>100</v>
      </c>
      <c r="I1179">
        <f t="shared" si="55"/>
        <v>8200</v>
      </c>
      <c r="J1179">
        <f t="shared" si="56"/>
        <v>4100</v>
      </c>
      <c r="K1179" t="s">
        <v>42</v>
      </c>
      <c r="L1179" t="s">
        <v>36</v>
      </c>
      <c r="M1179" t="s">
        <v>26</v>
      </c>
      <c r="N1179" t="s">
        <v>27</v>
      </c>
      <c r="O1179">
        <v>656</v>
      </c>
      <c r="P1179">
        <v>82</v>
      </c>
      <c r="Q1179" t="s">
        <v>92</v>
      </c>
      <c r="R1179" t="s">
        <v>45</v>
      </c>
      <c r="S1179" t="s">
        <v>93</v>
      </c>
      <c r="T1179">
        <v>2021</v>
      </c>
      <c r="U1179" t="s">
        <v>31</v>
      </c>
    </row>
    <row r="1180" spans="1:21" x14ac:dyDescent="0.35">
      <c r="A1180" s="1">
        <v>45770</v>
      </c>
      <c r="B1180" t="s">
        <v>58</v>
      </c>
      <c r="C1180" t="s">
        <v>59</v>
      </c>
      <c r="D1180" t="s">
        <v>60</v>
      </c>
      <c r="E1180">
        <v>355</v>
      </c>
      <c r="F1180">
        <v>5</v>
      </c>
      <c r="G1180">
        <f t="shared" si="54"/>
        <v>1775</v>
      </c>
      <c r="H1180">
        <v>3</v>
      </c>
      <c r="I1180">
        <f t="shared" si="55"/>
        <v>1065</v>
      </c>
      <c r="J1180">
        <f t="shared" si="56"/>
        <v>710</v>
      </c>
      <c r="K1180" t="s">
        <v>24</v>
      </c>
      <c r="L1180" t="s">
        <v>36</v>
      </c>
      <c r="M1180" t="s">
        <v>26</v>
      </c>
      <c r="N1180" t="s">
        <v>27</v>
      </c>
      <c r="O1180">
        <v>835</v>
      </c>
      <c r="P1180">
        <v>355</v>
      </c>
      <c r="Q1180" t="s">
        <v>39</v>
      </c>
      <c r="R1180" t="s">
        <v>40</v>
      </c>
      <c r="S1180" t="s">
        <v>41</v>
      </c>
      <c r="T1180">
        <v>2024</v>
      </c>
      <c r="U1180" t="s">
        <v>97</v>
      </c>
    </row>
    <row r="1181" spans="1:21" x14ac:dyDescent="0.35">
      <c r="A1181" s="1">
        <v>45771</v>
      </c>
      <c r="B1181" t="s">
        <v>21</v>
      </c>
      <c r="C1181" t="s">
        <v>22</v>
      </c>
      <c r="D1181" t="s">
        <v>23</v>
      </c>
      <c r="E1181">
        <v>305</v>
      </c>
      <c r="F1181">
        <v>8</v>
      </c>
      <c r="G1181">
        <f t="shared" si="54"/>
        <v>2440</v>
      </c>
      <c r="H1181">
        <v>5</v>
      </c>
      <c r="I1181">
        <f t="shared" si="55"/>
        <v>1525</v>
      </c>
      <c r="J1181">
        <f t="shared" si="56"/>
        <v>915</v>
      </c>
      <c r="K1181" t="s">
        <v>35</v>
      </c>
      <c r="L1181" t="s">
        <v>36</v>
      </c>
      <c r="M1181" t="s">
        <v>26</v>
      </c>
      <c r="N1181" t="s">
        <v>43</v>
      </c>
      <c r="O1181">
        <v>564</v>
      </c>
      <c r="P1181">
        <v>305</v>
      </c>
      <c r="Q1181" t="s">
        <v>87</v>
      </c>
      <c r="R1181" t="s">
        <v>88</v>
      </c>
      <c r="S1181" t="s">
        <v>89</v>
      </c>
      <c r="T1181">
        <v>2021</v>
      </c>
      <c r="U1181" t="s">
        <v>62</v>
      </c>
    </row>
    <row r="1182" spans="1:21" x14ac:dyDescent="0.35">
      <c r="A1182" s="1">
        <v>45772</v>
      </c>
      <c r="B1182" t="s">
        <v>80</v>
      </c>
      <c r="C1182" t="s">
        <v>81</v>
      </c>
      <c r="D1182" t="s">
        <v>82</v>
      </c>
      <c r="E1182">
        <v>200</v>
      </c>
      <c r="F1182">
        <v>2.5</v>
      </c>
      <c r="G1182">
        <f t="shared" si="54"/>
        <v>500</v>
      </c>
      <c r="H1182">
        <v>1.5</v>
      </c>
      <c r="I1182">
        <f t="shared" si="55"/>
        <v>300</v>
      </c>
      <c r="J1182">
        <f t="shared" si="56"/>
        <v>200</v>
      </c>
      <c r="K1182" t="s">
        <v>35</v>
      </c>
      <c r="L1182" t="s">
        <v>36</v>
      </c>
      <c r="M1182" t="s">
        <v>26</v>
      </c>
      <c r="N1182" t="s">
        <v>38</v>
      </c>
      <c r="O1182">
        <v>898</v>
      </c>
      <c r="P1182">
        <v>200</v>
      </c>
      <c r="Q1182" t="s">
        <v>67</v>
      </c>
      <c r="R1182" t="s">
        <v>68</v>
      </c>
      <c r="S1182" t="s">
        <v>69</v>
      </c>
      <c r="T1182">
        <v>2020</v>
      </c>
      <c r="U1182" t="s">
        <v>53</v>
      </c>
    </row>
    <row r="1183" spans="1:21" x14ac:dyDescent="0.35">
      <c r="A1183" s="1">
        <v>45773</v>
      </c>
      <c r="B1183" t="s">
        <v>98</v>
      </c>
      <c r="C1183" t="s">
        <v>99</v>
      </c>
      <c r="D1183" t="s">
        <v>100</v>
      </c>
      <c r="E1183">
        <v>296</v>
      </c>
      <c r="F1183">
        <v>6</v>
      </c>
      <c r="G1183">
        <f t="shared" si="54"/>
        <v>1776</v>
      </c>
      <c r="H1183">
        <v>4</v>
      </c>
      <c r="I1183">
        <f t="shared" si="55"/>
        <v>1184</v>
      </c>
      <c r="J1183">
        <f t="shared" si="56"/>
        <v>592</v>
      </c>
      <c r="K1183" t="s">
        <v>24</v>
      </c>
      <c r="L1183" t="s">
        <v>36</v>
      </c>
      <c r="M1183" t="s">
        <v>61</v>
      </c>
      <c r="N1183" t="s">
        <v>38</v>
      </c>
      <c r="O1183">
        <v>652</v>
      </c>
      <c r="P1183">
        <v>296</v>
      </c>
      <c r="Q1183" t="s">
        <v>54</v>
      </c>
      <c r="R1183" t="s">
        <v>55</v>
      </c>
      <c r="S1183" t="s">
        <v>56</v>
      </c>
      <c r="T1183">
        <v>2020</v>
      </c>
      <c r="U1183" t="s">
        <v>53</v>
      </c>
    </row>
    <row r="1184" spans="1:21" x14ac:dyDescent="0.35">
      <c r="A1184" s="1">
        <v>45774</v>
      </c>
      <c r="B1184" t="s">
        <v>32</v>
      </c>
      <c r="C1184" t="s">
        <v>33</v>
      </c>
      <c r="D1184" t="s">
        <v>34</v>
      </c>
      <c r="E1184">
        <v>373</v>
      </c>
      <c r="F1184">
        <v>20</v>
      </c>
      <c r="G1184">
        <f t="shared" si="54"/>
        <v>7460</v>
      </c>
      <c r="H1184">
        <v>12</v>
      </c>
      <c r="I1184">
        <f t="shared" si="55"/>
        <v>4476</v>
      </c>
      <c r="J1184">
        <f t="shared" si="56"/>
        <v>2984</v>
      </c>
      <c r="K1184" t="s">
        <v>42</v>
      </c>
      <c r="L1184" t="s">
        <v>63</v>
      </c>
      <c r="M1184" t="s">
        <v>26</v>
      </c>
      <c r="N1184" t="s">
        <v>38</v>
      </c>
      <c r="O1184">
        <v>833</v>
      </c>
      <c r="P1184">
        <v>373</v>
      </c>
      <c r="Q1184" t="s">
        <v>74</v>
      </c>
      <c r="R1184" t="s">
        <v>75</v>
      </c>
      <c r="S1184" t="s">
        <v>76</v>
      </c>
      <c r="T1184">
        <v>2022</v>
      </c>
      <c r="U1184" t="s">
        <v>47</v>
      </c>
    </row>
    <row r="1185" spans="1:21" x14ac:dyDescent="0.35">
      <c r="A1185" s="1">
        <v>45775</v>
      </c>
      <c r="B1185" t="s">
        <v>48</v>
      </c>
      <c r="C1185" t="s">
        <v>49</v>
      </c>
      <c r="D1185" t="s">
        <v>50</v>
      </c>
      <c r="E1185">
        <v>491</v>
      </c>
      <c r="F1185">
        <v>150</v>
      </c>
      <c r="G1185">
        <f t="shared" si="54"/>
        <v>73650</v>
      </c>
      <c r="H1185">
        <v>100</v>
      </c>
      <c r="I1185">
        <f t="shared" si="55"/>
        <v>49100</v>
      </c>
      <c r="J1185">
        <f t="shared" si="56"/>
        <v>24550</v>
      </c>
      <c r="K1185" t="s">
        <v>42</v>
      </c>
      <c r="L1185" t="s">
        <v>73</v>
      </c>
      <c r="M1185" t="s">
        <v>61</v>
      </c>
      <c r="N1185" t="s">
        <v>43</v>
      </c>
      <c r="O1185">
        <v>911</v>
      </c>
      <c r="P1185">
        <v>491</v>
      </c>
      <c r="Q1185" t="s">
        <v>74</v>
      </c>
      <c r="R1185" t="s">
        <v>75</v>
      </c>
      <c r="S1185" t="s">
        <v>76</v>
      </c>
      <c r="T1185">
        <v>2021</v>
      </c>
      <c r="U1185" t="s">
        <v>57</v>
      </c>
    </row>
    <row r="1186" spans="1:21" x14ac:dyDescent="0.35">
      <c r="A1186" s="1">
        <v>45776</v>
      </c>
      <c r="B1186" t="s">
        <v>98</v>
      </c>
      <c r="C1186" t="s">
        <v>99</v>
      </c>
      <c r="D1186" t="s">
        <v>100</v>
      </c>
      <c r="E1186">
        <v>152</v>
      </c>
      <c r="F1186">
        <v>6</v>
      </c>
      <c r="G1186">
        <f t="shared" si="54"/>
        <v>912</v>
      </c>
      <c r="H1186">
        <v>4</v>
      </c>
      <c r="I1186">
        <f t="shared" si="55"/>
        <v>608</v>
      </c>
      <c r="J1186">
        <f t="shared" si="56"/>
        <v>304</v>
      </c>
      <c r="K1186" t="s">
        <v>35</v>
      </c>
      <c r="L1186" t="s">
        <v>36</v>
      </c>
      <c r="M1186" t="s">
        <v>37</v>
      </c>
      <c r="N1186" t="s">
        <v>27</v>
      </c>
      <c r="O1186">
        <v>972</v>
      </c>
      <c r="P1186">
        <v>152</v>
      </c>
      <c r="Q1186" t="s">
        <v>106</v>
      </c>
      <c r="R1186" t="s">
        <v>107</v>
      </c>
      <c r="S1186" t="s">
        <v>108</v>
      </c>
      <c r="T1186">
        <v>2021</v>
      </c>
      <c r="U1186" t="s">
        <v>86</v>
      </c>
    </row>
    <row r="1187" spans="1:21" x14ac:dyDescent="0.35">
      <c r="A1187" s="1">
        <v>45777</v>
      </c>
      <c r="B1187" t="s">
        <v>58</v>
      </c>
      <c r="C1187" t="s">
        <v>59</v>
      </c>
      <c r="D1187" t="s">
        <v>60</v>
      </c>
      <c r="E1187">
        <v>251</v>
      </c>
      <c r="F1187">
        <v>5</v>
      </c>
      <c r="G1187">
        <f t="shared" si="54"/>
        <v>1255</v>
      </c>
      <c r="H1187">
        <v>3</v>
      </c>
      <c r="I1187">
        <f t="shared" si="55"/>
        <v>753</v>
      </c>
      <c r="J1187">
        <f t="shared" si="56"/>
        <v>502</v>
      </c>
      <c r="K1187" t="s">
        <v>42</v>
      </c>
      <c r="L1187" t="s">
        <v>73</v>
      </c>
      <c r="M1187" t="s">
        <v>61</v>
      </c>
      <c r="N1187" t="s">
        <v>43</v>
      </c>
      <c r="O1187">
        <v>782</v>
      </c>
      <c r="P1187">
        <v>251</v>
      </c>
      <c r="Q1187" t="s">
        <v>39</v>
      </c>
      <c r="R1187" t="s">
        <v>40</v>
      </c>
      <c r="S1187" t="s">
        <v>41</v>
      </c>
      <c r="T1187">
        <v>2020</v>
      </c>
      <c r="U1187" t="s">
        <v>66</v>
      </c>
    </row>
    <row r="1188" spans="1:21" x14ac:dyDescent="0.35">
      <c r="A1188" s="1">
        <v>45778</v>
      </c>
      <c r="B1188" t="s">
        <v>98</v>
      </c>
      <c r="C1188" t="s">
        <v>99</v>
      </c>
      <c r="D1188" t="s">
        <v>100</v>
      </c>
      <c r="E1188">
        <v>178</v>
      </c>
      <c r="F1188">
        <v>6</v>
      </c>
      <c r="G1188">
        <f t="shared" si="54"/>
        <v>1068</v>
      </c>
      <c r="H1188">
        <v>4</v>
      </c>
      <c r="I1188">
        <f t="shared" si="55"/>
        <v>712</v>
      </c>
      <c r="J1188">
        <f t="shared" si="56"/>
        <v>356</v>
      </c>
      <c r="K1188" t="s">
        <v>24</v>
      </c>
      <c r="L1188" t="s">
        <v>36</v>
      </c>
      <c r="M1188" t="s">
        <v>61</v>
      </c>
      <c r="N1188" t="s">
        <v>27</v>
      </c>
      <c r="O1188">
        <v>648</v>
      </c>
      <c r="P1188">
        <v>178</v>
      </c>
      <c r="Q1188" t="s">
        <v>90</v>
      </c>
      <c r="R1188" t="s">
        <v>55</v>
      </c>
      <c r="S1188" t="s">
        <v>85</v>
      </c>
      <c r="T1188">
        <v>2021</v>
      </c>
      <c r="U1188" t="s">
        <v>86</v>
      </c>
    </row>
    <row r="1189" spans="1:21" x14ac:dyDescent="0.35">
      <c r="A1189" s="1">
        <v>45779</v>
      </c>
      <c r="B1189" t="s">
        <v>98</v>
      </c>
      <c r="C1189" t="s">
        <v>99</v>
      </c>
      <c r="D1189" t="s">
        <v>100</v>
      </c>
      <c r="E1189">
        <v>452</v>
      </c>
      <c r="F1189">
        <v>6</v>
      </c>
      <c r="G1189">
        <f t="shared" si="54"/>
        <v>2712</v>
      </c>
      <c r="H1189">
        <v>4</v>
      </c>
      <c r="I1189">
        <f t="shared" si="55"/>
        <v>1808</v>
      </c>
      <c r="J1189">
        <f t="shared" si="56"/>
        <v>904</v>
      </c>
      <c r="K1189" t="s">
        <v>24</v>
      </c>
      <c r="L1189" t="s">
        <v>63</v>
      </c>
      <c r="M1189" t="s">
        <v>61</v>
      </c>
      <c r="N1189" t="s">
        <v>38</v>
      </c>
      <c r="O1189">
        <v>690</v>
      </c>
      <c r="P1189">
        <v>452</v>
      </c>
      <c r="Q1189" t="s">
        <v>101</v>
      </c>
      <c r="R1189" t="s">
        <v>101</v>
      </c>
      <c r="S1189" t="s">
        <v>102</v>
      </c>
      <c r="T1189">
        <v>2022</v>
      </c>
      <c r="U1189" t="s">
        <v>31</v>
      </c>
    </row>
    <row r="1190" spans="1:21" x14ac:dyDescent="0.35">
      <c r="A1190" s="1">
        <v>45780</v>
      </c>
      <c r="B1190" t="s">
        <v>98</v>
      </c>
      <c r="C1190" t="s">
        <v>99</v>
      </c>
      <c r="D1190" t="s">
        <v>100</v>
      </c>
      <c r="E1190">
        <v>421</v>
      </c>
      <c r="F1190">
        <v>6</v>
      </c>
      <c r="G1190">
        <f t="shared" si="54"/>
        <v>2526</v>
      </c>
      <c r="H1190">
        <v>4</v>
      </c>
      <c r="I1190">
        <f t="shared" si="55"/>
        <v>1684</v>
      </c>
      <c r="J1190">
        <f t="shared" si="56"/>
        <v>842</v>
      </c>
      <c r="K1190" t="s">
        <v>24</v>
      </c>
      <c r="L1190" t="s">
        <v>36</v>
      </c>
      <c r="M1190" t="s">
        <v>37</v>
      </c>
      <c r="N1190" t="s">
        <v>43</v>
      </c>
      <c r="O1190">
        <v>906</v>
      </c>
      <c r="P1190">
        <v>421</v>
      </c>
      <c r="Q1190" t="s">
        <v>64</v>
      </c>
      <c r="R1190" t="s">
        <v>29</v>
      </c>
      <c r="S1190" t="s">
        <v>65</v>
      </c>
      <c r="T1190">
        <v>2024</v>
      </c>
      <c r="U1190" t="s">
        <v>109</v>
      </c>
    </row>
    <row r="1191" spans="1:21" x14ac:dyDescent="0.35">
      <c r="A1191" s="1">
        <v>45781</v>
      </c>
      <c r="B1191" t="s">
        <v>32</v>
      </c>
      <c r="C1191" t="s">
        <v>33</v>
      </c>
      <c r="D1191" t="s">
        <v>34</v>
      </c>
      <c r="E1191">
        <v>219</v>
      </c>
      <c r="F1191">
        <v>20</v>
      </c>
      <c r="G1191">
        <f t="shared" si="54"/>
        <v>4380</v>
      </c>
      <c r="H1191">
        <v>12</v>
      </c>
      <c r="I1191">
        <f t="shared" si="55"/>
        <v>2628</v>
      </c>
      <c r="J1191">
        <f t="shared" si="56"/>
        <v>1752</v>
      </c>
      <c r="K1191" t="s">
        <v>42</v>
      </c>
      <c r="L1191" t="s">
        <v>63</v>
      </c>
      <c r="M1191" t="s">
        <v>26</v>
      </c>
      <c r="N1191" t="s">
        <v>27</v>
      </c>
      <c r="O1191">
        <v>967</v>
      </c>
      <c r="P1191">
        <v>219</v>
      </c>
      <c r="Q1191" t="s">
        <v>67</v>
      </c>
      <c r="R1191" t="s">
        <v>68</v>
      </c>
      <c r="S1191" t="s">
        <v>69</v>
      </c>
      <c r="T1191">
        <v>2023</v>
      </c>
      <c r="U1191" t="s">
        <v>31</v>
      </c>
    </row>
    <row r="1192" spans="1:21" x14ac:dyDescent="0.35">
      <c r="A1192" s="1">
        <v>45782</v>
      </c>
      <c r="B1192" t="s">
        <v>32</v>
      </c>
      <c r="C1192" t="s">
        <v>33</v>
      </c>
      <c r="D1192" t="s">
        <v>34</v>
      </c>
      <c r="E1192">
        <v>489</v>
      </c>
      <c r="F1192">
        <v>20</v>
      </c>
      <c r="G1192">
        <f t="shared" si="54"/>
        <v>9780</v>
      </c>
      <c r="H1192">
        <v>12</v>
      </c>
      <c r="I1192">
        <f t="shared" si="55"/>
        <v>5868</v>
      </c>
      <c r="J1192">
        <f t="shared" si="56"/>
        <v>3912</v>
      </c>
      <c r="K1192" t="s">
        <v>42</v>
      </c>
      <c r="L1192" t="s">
        <v>36</v>
      </c>
      <c r="M1192" t="s">
        <v>61</v>
      </c>
      <c r="N1192" t="s">
        <v>38</v>
      </c>
      <c r="O1192">
        <v>851</v>
      </c>
      <c r="P1192">
        <v>489</v>
      </c>
      <c r="Q1192" t="s">
        <v>92</v>
      </c>
      <c r="R1192" t="s">
        <v>45</v>
      </c>
      <c r="S1192" t="s">
        <v>93</v>
      </c>
      <c r="T1192">
        <v>2020</v>
      </c>
      <c r="U1192" t="s">
        <v>97</v>
      </c>
    </row>
    <row r="1193" spans="1:21" x14ac:dyDescent="0.35">
      <c r="A1193" s="1">
        <v>45783</v>
      </c>
      <c r="B1193" t="s">
        <v>58</v>
      </c>
      <c r="C1193" t="s">
        <v>59</v>
      </c>
      <c r="D1193" t="s">
        <v>60</v>
      </c>
      <c r="E1193">
        <v>165</v>
      </c>
      <c r="F1193">
        <v>5</v>
      </c>
      <c r="G1193">
        <f t="shared" si="54"/>
        <v>825</v>
      </c>
      <c r="H1193">
        <v>3</v>
      </c>
      <c r="I1193">
        <f t="shared" si="55"/>
        <v>495</v>
      </c>
      <c r="J1193">
        <f t="shared" si="56"/>
        <v>330</v>
      </c>
      <c r="K1193" t="s">
        <v>42</v>
      </c>
      <c r="L1193" t="s">
        <v>63</v>
      </c>
      <c r="M1193" t="s">
        <v>61</v>
      </c>
      <c r="N1193" t="s">
        <v>43</v>
      </c>
      <c r="O1193">
        <v>641</v>
      </c>
      <c r="P1193">
        <v>165</v>
      </c>
      <c r="Q1193" t="s">
        <v>74</v>
      </c>
      <c r="R1193" t="s">
        <v>75</v>
      </c>
      <c r="S1193" t="s">
        <v>76</v>
      </c>
      <c r="T1193">
        <v>2020</v>
      </c>
      <c r="U1193" t="s">
        <v>97</v>
      </c>
    </row>
    <row r="1194" spans="1:21" x14ac:dyDescent="0.35">
      <c r="A1194" s="1">
        <v>45784</v>
      </c>
      <c r="B1194" t="s">
        <v>58</v>
      </c>
      <c r="C1194" t="s">
        <v>59</v>
      </c>
      <c r="D1194" t="s">
        <v>60</v>
      </c>
      <c r="E1194">
        <v>295</v>
      </c>
      <c r="F1194">
        <v>5</v>
      </c>
      <c r="G1194">
        <f t="shared" si="54"/>
        <v>1475</v>
      </c>
      <c r="H1194">
        <v>3</v>
      </c>
      <c r="I1194">
        <f t="shared" si="55"/>
        <v>885</v>
      </c>
      <c r="J1194">
        <f t="shared" si="56"/>
        <v>590</v>
      </c>
      <c r="K1194" t="s">
        <v>42</v>
      </c>
      <c r="L1194" t="s">
        <v>63</v>
      </c>
      <c r="M1194" t="s">
        <v>26</v>
      </c>
      <c r="N1194" t="s">
        <v>43</v>
      </c>
      <c r="O1194">
        <v>676</v>
      </c>
      <c r="P1194">
        <v>295</v>
      </c>
      <c r="Q1194" t="s">
        <v>83</v>
      </c>
      <c r="R1194" t="s">
        <v>84</v>
      </c>
      <c r="S1194" t="s">
        <v>85</v>
      </c>
      <c r="T1194">
        <v>2024</v>
      </c>
      <c r="U1194" t="s">
        <v>31</v>
      </c>
    </row>
    <row r="1195" spans="1:21" x14ac:dyDescent="0.35">
      <c r="A1195" s="1">
        <v>45785</v>
      </c>
      <c r="B1195" t="s">
        <v>32</v>
      </c>
      <c r="C1195" t="s">
        <v>33</v>
      </c>
      <c r="D1195" t="s">
        <v>34</v>
      </c>
      <c r="E1195">
        <v>121</v>
      </c>
      <c r="F1195">
        <v>20</v>
      </c>
      <c r="G1195">
        <f t="shared" si="54"/>
        <v>2420</v>
      </c>
      <c r="H1195">
        <v>12</v>
      </c>
      <c r="I1195">
        <f t="shared" si="55"/>
        <v>1452</v>
      </c>
      <c r="J1195">
        <f t="shared" si="56"/>
        <v>968</v>
      </c>
      <c r="K1195" t="s">
        <v>24</v>
      </c>
      <c r="L1195" t="s">
        <v>25</v>
      </c>
      <c r="M1195" t="s">
        <v>26</v>
      </c>
      <c r="N1195" t="s">
        <v>38</v>
      </c>
      <c r="O1195">
        <v>904</v>
      </c>
      <c r="P1195">
        <v>121</v>
      </c>
      <c r="Q1195" t="s">
        <v>67</v>
      </c>
      <c r="R1195" t="s">
        <v>68</v>
      </c>
      <c r="S1195" t="s">
        <v>69</v>
      </c>
      <c r="T1195">
        <v>2020</v>
      </c>
      <c r="U1195" t="s">
        <v>31</v>
      </c>
    </row>
    <row r="1196" spans="1:21" x14ac:dyDescent="0.35">
      <c r="A1196" s="1">
        <v>45786</v>
      </c>
      <c r="B1196" t="s">
        <v>32</v>
      </c>
      <c r="C1196" t="s">
        <v>33</v>
      </c>
      <c r="D1196" t="s">
        <v>34</v>
      </c>
      <c r="E1196">
        <v>274</v>
      </c>
      <c r="F1196">
        <v>20</v>
      </c>
      <c r="G1196">
        <f t="shared" si="54"/>
        <v>5480</v>
      </c>
      <c r="H1196">
        <v>12</v>
      </c>
      <c r="I1196">
        <f t="shared" si="55"/>
        <v>3288</v>
      </c>
      <c r="J1196">
        <f t="shared" si="56"/>
        <v>2192</v>
      </c>
      <c r="K1196" t="s">
        <v>35</v>
      </c>
      <c r="L1196" t="s">
        <v>36</v>
      </c>
      <c r="M1196" t="s">
        <v>61</v>
      </c>
      <c r="N1196" t="s">
        <v>27</v>
      </c>
      <c r="O1196">
        <v>709</v>
      </c>
      <c r="P1196">
        <v>274</v>
      </c>
      <c r="Q1196" t="s">
        <v>103</v>
      </c>
      <c r="R1196" t="s">
        <v>68</v>
      </c>
      <c r="S1196" t="s">
        <v>104</v>
      </c>
      <c r="T1196">
        <v>2021</v>
      </c>
      <c r="U1196" t="s">
        <v>53</v>
      </c>
    </row>
    <row r="1197" spans="1:21" x14ac:dyDescent="0.35">
      <c r="A1197" s="1">
        <v>45787</v>
      </c>
      <c r="B1197" t="s">
        <v>48</v>
      </c>
      <c r="C1197" t="s">
        <v>49</v>
      </c>
      <c r="D1197" t="s">
        <v>50</v>
      </c>
      <c r="E1197">
        <v>179</v>
      </c>
      <c r="F1197">
        <v>150</v>
      </c>
      <c r="G1197">
        <f t="shared" si="54"/>
        <v>26850</v>
      </c>
      <c r="H1197">
        <v>100</v>
      </c>
      <c r="I1197">
        <f t="shared" si="55"/>
        <v>17900</v>
      </c>
      <c r="J1197">
        <f t="shared" si="56"/>
        <v>8950</v>
      </c>
      <c r="K1197" t="s">
        <v>24</v>
      </c>
      <c r="L1197" t="s">
        <v>73</v>
      </c>
      <c r="M1197" t="s">
        <v>26</v>
      </c>
      <c r="N1197" t="s">
        <v>27</v>
      </c>
      <c r="O1197">
        <v>778</v>
      </c>
      <c r="P1197">
        <v>179</v>
      </c>
      <c r="Q1197" t="s">
        <v>74</v>
      </c>
      <c r="R1197" t="s">
        <v>75</v>
      </c>
      <c r="S1197" t="s">
        <v>76</v>
      </c>
      <c r="T1197">
        <v>2022</v>
      </c>
      <c r="U1197" t="s">
        <v>96</v>
      </c>
    </row>
    <row r="1198" spans="1:21" x14ac:dyDescent="0.35">
      <c r="A1198" s="1">
        <v>45788</v>
      </c>
      <c r="B1198" t="s">
        <v>58</v>
      </c>
      <c r="C1198" t="s">
        <v>59</v>
      </c>
      <c r="D1198" t="s">
        <v>60</v>
      </c>
      <c r="E1198">
        <v>225</v>
      </c>
      <c r="F1198">
        <v>5</v>
      </c>
      <c r="G1198">
        <f t="shared" si="54"/>
        <v>1125</v>
      </c>
      <c r="H1198">
        <v>3</v>
      </c>
      <c r="I1198">
        <f t="shared" si="55"/>
        <v>675</v>
      </c>
      <c r="J1198">
        <f t="shared" si="56"/>
        <v>450</v>
      </c>
      <c r="K1198" t="s">
        <v>24</v>
      </c>
      <c r="L1198" t="s">
        <v>36</v>
      </c>
      <c r="M1198" t="s">
        <v>61</v>
      </c>
      <c r="N1198" t="s">
        <v>38</v>
      </c>
      <c r="O1198">
        <v>563</v>
      </c>
      <c r="P1198">
        <v>225</v>
      </c>
      <c r="Q1198" t="s">
        <v>44</v>
      </c>
      <c r="R1198" t="s">
        <v>45</v>
      </c>
      <c r="S1198" t="s">
        <v>46</v>
      </c>
      <c r="T1198">
        <v>2024</v>
      </c>
      <c r="U1198" t="s">
        <v>62</v>
      </c>
    </row>
    <row r="1199" spans="1:21" x14ac:dyDescent="0.35">
      <c r="A1199" s="1">
        <v>45789</v>
      </c>
      <c r="B1199" t="s">
        <v>98</v>
      </c>
      <c r="C1199" t="s">
        <v>99</v>
      </c>
      <c r="D1199" t="s">
        <v>100</v>
      </c>
      <c r="E1199">
        <v>267</v>
      </c>
      <c r="F1199">
        <v>6</v>
      </c>
      <c r="G1199">
        <f t="shared" si="54"/>
        <v>1602</v>
      </c>
      <c r="H1199">
        <v>4</v>
      </c>
      <c r="I1199">
        <f t="shared" si="55"/>
        <v>1068</v>
      </c>
      <c r="J1199">
        <f t="shared" si="56"/>
        <v>534</v>
      </c>
      <c r="K1199" t="s">
        <v>35</v>
      </c>
      <c r="L1199" t="s">
        <v>36</v>
      </c>
      <c r="M1199" t="s">
        <v>26</v>
      </c>
      <c r="N1199" t="s">
        <v>27</v>
      </c>
      <c r="O1199">
        <v>627</v>
      </c>
      <c r="P1199">
        <v>267</v>
      </c>
      <c r="Q1199" t="s">
        <v>54</v>
      </c>
      <c r="R1199" t="s">
        <v>55</v>
      </c>
      <c r="S1199" t="s">
        <v>56</v>
      </c>
      <c r="T1199">
        <v>2021</v>
      </c>
      <c r="U1199" t="s">
        <v>47</v>
      </c>
    </row>
    <row r="1200" spans="1:21" x14ac:dyDescent="0.35">
      <c r="A1200" s="1">
        <v>45790</v>
      </c>
      <c r="B1200" t="s">
        <v>80</v>
      </c>
      <c r="C1200" t="s">
        <v>81</v>
      </c>
      <c r="D1200" t="s">
        <v>82</v>
      </c>
      <c r="E1200">
        <v>10</v>
      </c>
      <c r="F1200">
        <v>2.5</v>
      </c>
      <c r="G1200">
        <f t="shared" si="54"/>
        <v>25</v>
      </c>
      <c r="H1200">
        <v>1.5</v>
      </c>
      <c r="I1200">
        <f t="shared" si="55"/>
        <v>15</v>
      </c>
      <c r="J1200">
        <f t="shared" si="56"/>
        <v>10</v>
      </c>
      <c r="K1200" t="s">
        <v>35</v>
      </c>
      <c r="L1200" t="s">
        <v>36</v>
      </c>
      <c r="M1200" t="s">
        <v>26</v>
      </c>
      <c r="N1200" t="s">
        <v>38</v>
      </c>
      <c r="O1200">
        <v>777</v>
      </c>
      <c r="P1200">
        <v>10</v>
      </c>
      <c r="Q1200" t="s">
        <v>70</v>
      </c>
      <c r="R1200" t="s">
        <v>71</v>
      </c>
      <c r="S1200" t="s">
        <v>72</v>
      </c>
      <c r="T1200">
        <v>2023</v>
      </c>
      <c r="U1200" t="s">
        <v>62</v>
      </c>
    </row>
    <row r="1201" spans="1:21" x14ac:dyDescent="0.35">
      <c r="A1201" s="1">
        <v>45791</v>
      </c>
      <c r="B1201" t="s">
        <v>58</v>
      </c>
      <c r="C1201" t="s">
        <v>59</v>
      </c>
      <c r="D1201" t="s">
        <v>60</v>
      </c>
      <c r="E1201">
        <v>284</v>
      </c>
      <c r="F1201">
        <v>5</v>
      </c>
      <c r="G1201">
        <f t="shared" si="54"/>
        <v>1420</v>
      </c>
      <c r="H1201">
        <v>3</v>
      </c>
      <c r="I1201">
        <f t="shared" si="55"/>
        <v>852</v>
      </c>
      <c r="J1201">
        <f t="shared" si="56"/>
        <v>568</v>
      </c>
      <c r="K1201" t="s">
        <v>24</v>
      </c>
      <c r="L1201" t="s">
        <v>63</v>
      </c>
      <c r="M1201" t="s">
        <v>26</v>
      </c>
      <c r="N1201" t="s">
        <v>38</v>
      </c>
      <c r="O1201">
        <v>919</v>
      </c>
      <c r="P1201">
        <v>284</v>
      </c>
      <c r="Q1201" t="s">
        <v>51</v>
      </c>
      <c r="R1201" t="s">
        <v>45</v>
      </c>
      <c r="S1201" t="s">
        <v>52</v>
      </c>
      <c r="T1201">
        <v>2020</v>
      </c>
      <c r="U1201" t="s">
        <v>96</v>
      </c>
    </row>
    <row r="1202" spans="1:21" x14ac:dyDescent="0.35">
      <c r="A1202" s="1">
        <v>45792</v>
      </c>
      <c r="B1202" t="s">
        <v>58</v>
      </c>
      <c r="C1202" t="s">
        <v>59</v>
      </c>
      <c r="D1202" t="s">
        <v>60</v>
      </c>
      <c r="E1202">
        <v>242</v>
      </c>
      <c r="F1202">
        <v>5</v>
      </c>
      <c r="G1202">
        <f t="shared" si="54"/>
        <v>1210</v>
      </c>
      <c r="H1202">
        <v>3</v>
      </c>
      <c r="I1202">
        <f t="shared" si="55"/>
        <v>726</v>
      </c>
      <c r="J1202">
        <f t="shared" si="56"/>
        <v>484</v>
      </c>
      <c r="K1202" t="s">
        <v>42</v>
      </c>
      <c r="L1202" t="s">
        <v>63</v>
      </c>
      <c r="M1202" t="s">
        <v>61</v>
      </c>
      <c r="N1202" t="s">
        <v>27</v>
      </c>
      <c r="O1202">
        <v>556</v>
      </c>
      <c r="P1202">
        <v>242</v>
      </c>
      <c r="Q1202" t="s">
        <v>103</v>
      </c>
      <c r="R1202" t="s">
        <v>68</v>
      </c>
      <c r="S1202" t="s">
        <v>104</v>
      </c>
      <c r="T1202">
        <v>2022</v>
      </c>
      <c r="U1202" t="s">
        <v>47</v>
      </c>
    </row>
    <row r="1203" spans="1:21" x14ac:dyDescent="0.35">
      <c r="A1203" s="1">
        <v>45793</v>
      </c>
      <c r="B1203" t="s">
        <v>80</v>
      </c>
      <c r="C1203" t="s">
        <v>81</v>
      </c>
      <c r="D1203" t="s">
        <v>82</v>
      </c>
      <c r="E1203">
        <v>396</v>
      </c>
      <c r="F1203">
        <v>2.5</v>
      </c>
      <c r="G1203">
        <f t="shared" si="54"/>
        <v>990</v>
      </c>
      <c r="H1203">
        <v>1.5</v>
      </c>
      <c r="I1203">
        <f t="shared" si="55"/>
        <v>594</v>
      </c>
      <c r="J1203">
        <f t="shared" si="56"/>
        <v>396</v>
      </c>
      <c r="K1203" t="s">
        <v>42</v>
      </c>
      <c r="L1203" t="s">
        <v>63</v>
      </c>
      <c r="M1203" t="s">
        <v>61</v>
      </c>
      <c r="N1203" t="s">
        <v>38</v>
      </c>
      <c r="O1203">
        <v>558</v>
      </c>
      <c r="P1203">
        <v>396</v>
      </c>
      <c r="Q1203" t="s">
        <v>94</v>
      </c>
      <c r="R1203" t="s">
        <v>75</v>
      </c>
      <c r="S1203" t="s">
        <v>95</v>
      </c>
      <c r="T1203">
        <v>2021</v>
      </c>
      <c r="U1203" t="s">
        <v>97</v>
      </c>
    </row>
    <row r="1204" spans="1:21" x14ac:dyDescent="0.35">
      <c r="A1204" s="1">
        <v>45794</v>
      </c>
      <c r="B1204" t="s">
        <v>80</v>
      </c>
      <c r="C1204" t="s">
        <v>81</v>
      </c>
      <c r="D1204" t="s">
        <v>82</v>
      </c>
      <c r="E1204">
        <v>31</v>
      </c>
      <c r="F1204">
        <v>2.5</v>
      </c>
      <c r="G1204">
        <f t="shared" si="54"/>
        <v>77.5</v>
      </c>
      <c r="H1204">
        <v>1.5</v>
      </c>
      <c r="I1204">
        <f t="shared" si="55"/>
        <v>46.5</v>
      </c>
      <c r="J1204">
        <f t="shared" si="56"/>
        <v>31</v>
      </c>
      <c r="K1204" t="s">
        <v>35</v>
      </c>
      <c r="L1204" t="s">
        <v>25</v>
      </c>
      <c r="M1204" t="s">
        <v>37</v>
      </c>
      <c r="N1204" t="s">
        <v>27</v>
      </c>
      <c r="O1204">
        <v>515</v>
      </c>
      <c r="P1204">
        <v>31</v>
      </c>
      <c r="Q1204" t="s">
        <v>103</v>
      </c>
      <c r="R1204" t="s">
        <v>68</v>
      </c>
      <c r="S1204" t="s">
        <v>104</v>
      </c>
      <c r="T1204">
        <v>2020</v>
      </c>
      <c r="U1204" t="s">
        <v>66</v>
      </c>
    </row>
    <row r="1205" spans="1:21" x14ac:dyDescent="0.35">
      <c r="A1205" s="1">
        <v>45795</v>
      </c>
      <c r="B1205" t="s">
        <v>21</v>
      </c>
      <c r="C1205" t="s">
        <v>22</v>
      </c>
      <c r="D1205" t="s">
        <v>23</v>
      </c>
      <c r="E1205">
        <v>188</v>
      </c>
      <c r="F1205">
        <v>8</v>
      </c>
      <c r="G1205">
        <f t="shared" si="54"/>
        <v>1504</v>
      </c>
      <c r="H1205">
        <v>5</v>
      </c>
      <c r="I1205">
        <f t="shared" si="55"/>
        <v>940</v>
      </c>
      <c r="J1205">
        <f t="shared" si="56"/>
        <v>564</v>
      </c>
      <c r="K1205" t="s">
        <v>42</v>
      </c>
      <c r="L1205" t="s">
        <v>25</v>
      </c>
      <c r="M1205" t="s">
        <v>26</v>
      </c>
      <c r="N1205" t="s">
        <v>43</v>
      </c>
      <c r="O1205">
        <v>951</v>
      </c>
      <c r="P1205">
        <v>188</v>
      </c>
      <c r="Q1205" t="s">
        <v>92</v>
      </c>
      <c r="R1205" t="s">
        <v>45</v>
      </c>
      <c r="S1205" t="s">
        <v>93</v>
      </c>
      <c r="T1205">
        <v>2022</v>
      </c>
      <c r="U1205" t="s">
        <v>53</v>
      </c>
    </row>
    <row r="1206" spans="1:21" x14ac:dyDescent="0.35">
      <c r="A1206" s="1">
        <v>45796</v>
      </c>
      <c r="B1206" t="s">
        <v>80</v>
      </c>
      <c r="C1206" t="s">
        <v>81</v>
      </c>
      <c r="D1206" t="s">
        <v>82</v>
      </c>
      <c r="E1206">
        <v>209</v>
      </c>
      <c r="F1206">
        <v>2.5</v>
      </c>
      <c r="G1206">
        <f t="shared" si="54"/>
        <v>522.5</v>
      </c>
      <c r="H1206">
        <v>1.5</v>
      </c>
      <c r="I1206">
        <f t="shared" si="55"/>
        <v>313.5</v>
      </c>
      <c r="J1206">
        <f t="shared" si="56"/>
        <v>209</v>
      </c>
      <c r="K1206" t="s">
        <v>42</v>
      </c>
      <c r="L1206" t="s">
        <v>25</v>
      </c>
      <c r="M1206" t="s">
        <v>37</v>
      </c>
      <c r="N1206" t="s">
        <v>43</v>
      </c>
      <c r="O1206">
        <v>965</v>
      </c>
      <c r="P1206">
        <v>209</v>
      </c>
      <c r="Q1206" t="s">
        <v>110</v>
      </c>
      <c r="R1206" t="s">
        <v>111</v>
      </c>
      <c r="S1206" t="s">
        <v>112</v>
      </c>
      <c r="T1206">
        <v>2024</v>
      </c>
      <c r="U1206" t="s">
        <v>31</v>
      </c>
    </row>
    <row r="1207" spans="1:21" x14ac:dyDescent="0.35">
      <c r="A1207" s="1">
        <v>45797</v>
      </c>
      <c r="B1207" t="s">
        <v>80</v>
      </c>
      <c r="C1207" t="s">
        <v>81</v>
      </c>
      <c r="D1207" t="s">
        <v>82</v>
      </c>
      <c r="E1207">
        <v>179</v>
      </c>
      <c r="F1207">
        <v>2.5</v>
      </c>
      <c r="G1207">
        <f t="shared" si="54"/>
        <v>447.5</v>
      </c>
      <c r="H1207">
        <v>1.5</v>
      </c>
      <c r="I1207">
        <f t="shared" si="55"/>
        <v>268.5</v>
      </c>
      <c r="J1207">
        <f t="shared" si="56"/>
        <v>179</v>
      </c>
      <c r="K1207" t="s">
        <v>24</v>
      </c>
      <c r="L1207" t="s">
        <v>36</v>
      </c>
      <c r="M1207" t="s">
        <v>61</v>
      </c>
      <c r="N1207" t="s">
        <v>43</v>
      </c>
      <c r="O1207">
        <v>967</v>
      </c>
      <c r="P1207">
        <v>179</v>
      </c>
      <c r="Q1207" t="s">
        <v>67</v>
      </c>
      <c r="R1207" t="s">
        <v>68</v>
      </c>
      <c r="S1207" t="s">
        <v>69</v>
      </c>
      <c r="T1207">
        <v>2022</v>
      </c>
      <c r="U1207" t="s">
        <v>57</v>
      </c>
    </row>
    <row r="1208" spans="1:21" x14ac:dyDescent="0.35">
      <c r="A1208" s="1">
        <v>45798</v>
      </c>
      <c r="B1208" t="s">
        <v>98</v>
      </c>
      <c r="C1208" t="s">
        <v>99</v>
      </c>
      <c r="D1208" t="s">
        <v>100</v>
      </c>
      <c r="E1208">
        <v>330</v>
      </c>
      <c r="F1208">
        <v>6</v>
      </c>
      <c r="G1208">
        <f t="shared" si="54"/>
        <v>1980</v>
      </c>
      <c r="H1208">
        <v>4</v>
      </c>
      <c r="I1208">
        <f t="shared" si="55"/>
        <v>1320</v>
      </c>
      <c r="J1208">
        <f t="shared" si="56"/>
        <v>660</v>
      </c>
      <c r="K1208" t="s">
        <v>42</v>
      </c>
      <c r="L1208" t="s">
        <v>25</v>
      </c>
      <c r="M1208" t="s">
        <v>26</v>
      </c>
      <c r="N1208" t="s">
        <v>27</v>
      </c>
      <c r="O1208">
        <v>910</v>
      </c>
      <c r="P1208">
        <v>330</v>
      </c>
      <c r="Q1208" t="s">
        <v>110</v>
      </c>
      <c r="R1208" t="s">
        <v>111</v>
      </c>
      <c r="S1208" t="s">
        <v>112</v>
      </c>
      <c r="T1208">
        <v>2021</v>
      </c>
      <c r="U1208" t="s">
        <v>96</v>
      </c>
    </row>
    <row r="1209" spans="1:21" x14ac:dyDescent="0.35">
      <c r="A1209" s="1">
        <v>45799</v>
      </c>
      <c r="B1209" t="s">
        <v>48</v>
      </c>
      <c r="C1209" t="s">
        <v>49</v>
      </c>
      <c r="D1209" t="s">
        <v>50</v>
      </c>
      <c r="E1209">
        <v>17</v>
      </c>
      <c r="F1209">
        <v>150</v>
      </c>
      <c r="G1209">
        <f t="shared" si="54"/>
        <v>2550</v>
      </c>
      <c r="H1209">
        <v>100</v>
      </c>
      <c r="I1209">
        <f t="shared" si="55"/>
        <v>1700</v>
      </c>
      <c r="J1209">
        <f t="shared" si="56"/>
        <v>850</v>
      </c>
      <c r="K1209" t="s">
        <v>35</v>
      </c>
      <c r="L1209" t="s">
        <v>36</v>
      </c>
      <c r="M1209" t="s">
        <v>26</v>
      </c>
      <c r="N1209" t="s">
        <v>43</v>
      </c>
      <c r="O1209">
        <v>616</v>
      </c>
      <c r="P1209">
        <v>17</v>
      </c>
      <c r="Q1209" t="s">
        <v>54</v>
      </c>
      <c r="R1209" t="s">
        <v>55</v>
      </c>
      <c r="S1209" t="s">
        <v>56</v>
      </c>
      <c r="T1209">
        <v>2020</v>
      </c>
      <c r="U1209" t="s">
        <v>57</v>
      </c>
    </row>
    <row r="1210" spans="1:21" x14ac:dyDescent="0.35">
      <c r="A1210" s="1">
        <v>45800</v>
      </c>
      <c r="B1210" t="s">
        <v>32</v>
      </c>
      <c r="C1210" t="s">
        <v>33</v>
      </c>
      <c r="D1210" t="s">
        <v>34</v>
      </c>
      <c r="E1210">
        <v>469</v>
      </c>
      <c r="F1210">
        <v>20</v>
      </c>
      <c r="G1210">
        <f t="shared" si="54"/>
        <v>9380</v>
      </c>
      <c r="H1210">
        <v>12</v>
      </c>
      <c r="I1210">
        <f t="shared" si="55"/>
        <v>5628</v>
      </c>
      <c r="J1210">
        <f t="shared" si="56"/>
        <v>3752</v>
      </c>
      <c r="K1210" t="s">
        <v>42</v>
      </c>
      <c r="L1210" t="s">
        <v>63</v>
      </c>
      <c r="M1210" t="s">
        <v>61</v>
      </c>
      <c r="N1210" t="s">
        <v>38</v>
      </c>
      <c r="O1210">
        <v>972</v>
      </c>
      <c r="P1210">
        <v>469</v>
      </c>
      <c r="Q1210" t="s">
        <v>92</v>
      </c>
      <c r="R1210" t="s">
        <v>45</v>
      </c>
      <c r="S1210" t="s">
        <v>93</v>
      </c>
      <c r="T1210">
        <v>2020</v>
      </c>
      <c r="U1210" t="s">
        <v>47</v>
      </c>
    </row>
    <row r="1211" spans="1:21" x14ac:dyDescent="0.35">
      <c r="A1211" s="1">
        <v>45801</v>
      </c>
      <c r="B1211" t="s">
        <v>21</v>
      </c>
      <c r="C1211" t="s">
        <v>22</v>
      </c>
      <c r="D1211" t="s">
        <v>23</v>
      </c>
      <c r="E1211">
        <v>253</v>
      </c>
      <c r="F1211">
        <v>8</v>
      </c>
      <c r="G1211">
        <f t="shared" si="54"/>
        <v>2024</v>
      </c>
      <c r="H1211">
        <v>5</v>
      </c>
      <c r="I1211">
        <f t="shared" si="55"/>
        <v>1265</v>
      </c>
      <c r="J1211">
        <f t="shared" si="56"/>
        <v>759</v>
      </c>
      <c r="K1211" t="s">
        <v>35</v>
      </c>
      <c r="L1211" t="s">
        <v>63</v>
      </c>
      <c r="M1211" t="s">
        <v>26</v>
      </c>
      <c r="N1211" t="s">
        <v>38</v>
      </c>
      <c r="O1211">
        <v>984</v>
      </c>
      <c r="P1211">
        <v>253</v>
      </c>
      <c r="Q1211" t="s">
        <v>90</v>
      </c>
      <c r="R1211" t="s">
        <v>55</v>
      </c>
      <c r="S1211" t="s">
        <v>85</v>
      </c>
      <c r="T1211">
        <v>2024</v>
      </c>
      <c r="U1211" t="s">
        <v>86</v>
      </c>
    </row>
    <row r="1212" spans="1:21" x14ac:dyDescent="0.35">
      <c r="A1212" s="1">
        <v>45802</v>
      </c>
      <c r="B1212" t="s">
        <v>98</v>
      </c>
      <c r="C1212" t="s">
        <v>99</v>
      </c>
      <c r="D1212" t="s">
        <v>100</v>
      </c>
      <c r="E1212">
        <v>257</v>
      </c>
      <c r="F1212">
        <v>6</v>
      </c>
      <c r="G1212">
        <f t="shared" si="54"/>
        <v>1542</v>
      </c>
      <c r="H1212">
        <v>4</v>
      </c>
      <c r="I1212">
        <f t="shared" si="55"/>
        <v>1028</v>
      </c>
      <c r="J1212">
        <f t="shared" si="56"/>
        <v>514</v>
      </c>
      <c r="K1212" t="s">
        <v>35</v>
      </c>
      <c r="L1212" t="s">
        <v>25</v>
      </c>
      <c r="M1212" t="s">
        <v>26</v>
      </c>
      <c r="N1212" t="s">
        <v>43</v>
      </c>
      <c r="O1212">
        <v>963</v>
      </c>
      <c r="P1212">
        <v>257</v>
      </c>
      <c r="Q1212" t="s">
        <v>64</v>
      </c>
      <c r="R1212" t="s">
        <v>29</v>
      </c>
      <c r="S1212" t="s">
        <v>65</v>
      </c>
      <c r="T1212">
        <v>2023</v>
      </c>
      <c r="U1212" t="s">
        <v>97</v>
      </c>
    </row>
    <row r="1213" spans="1:21" x14ac:dyDescent="0.35">
      <c r="A1213" s="1">
        <v>45803</v>
      </c>
      <c r="B1213" t="s">
        <v>48</v>
      </c>
      <c r="C1213" t="s">
        <v>49</v>
      </c>
      <c r="D1213" t="s">
        <v>50</v>
      </c>
      <c r="E1213">
        <v>341</v>
      </c>
      <c r="F1213">
        <v>150</v>
      </c>
      <c r="G1213">
        <f t="shared" si="54"/>
        <v>51150</v>
      </c>
      <c r="H1213">
        <v>100</v>
      </c>
      <c r="I1213">
        <f t="shared" si="55"/>
        <v>34100</v>
      </c>
      <c r="J1213">
        <f t="shared" si="56"/>
        <v>17050</v>
      </c>
      <c r="K1213" t="s">
        <v>24</v>
      </c>
      <c r="L1213" t="s">
        <v>63</v>
      </c>
      <c r="M1213" t="s">
        <v>61</v>
      </c>
      <c r="N1213" t="s">
        <v>27</v>
      </c>
      <c r="O1213">
        <v>924</v>
      </c>
      <c r="P1213">
        <v>341</v>
      </c>
      <c r="Q1213" t="s">
        <v>39</v>
      </c>
      <c r="R1213" t="s">
        <v>40</v>
      </c>
      <c r="S1213" t="s">
        <v>41</v>
      </c>
      <c r="T1213">
        <v>2024</v>
      </c>
      <c r="U1213" t="s">
        <v>31</v>
      </c>
    </row>
    <row r="1214" spans="1:21" x14ac:dyDescent="0.35">
      <c r="A1214" s="1">
        <v>45804</v>
      </c>
      <c r="B1214" t="s">
        <v>98</v>
      </c>
      <c r="C1214" t="s">
        <v>99</v>
      </c>
      <c r="D1214" t="s">
        <v>100</v>
      </c>
      <c r="E1214">
        <v>383</v>
      </c>
      <c r="F1214">
        <v>6</v>
      </c>
      <c r="G1214">
        <f t="shared" si="54"/>
        <v>2298</v>
      </c>
      <c r="H1214">
        <v>4</v>
      </c>
      <c r="I1214">
        <f t="shared" si="55"/>
        <v>1532</v>
      </c>
      <c r="J1214">
        <f t="shared" si="56"/>
        <v>766</v>
      </c>
      <c r="K1214" t="s">
        <v>35</v>
      </c>
      <c r="L1214" t="s">
        <v>63</v>
      </c>
      <c r="M1214" t="s">
        <v>26</v>
      </c>
      <c r="N1214" t="s">
        <v>27</v>
      </c>
      <c r="O1214">
        <v>741</v>
      </c>
      <c r="P1214">
        <v>383</v>
      </c>
      <c r="Q1214" t="s">
        <v>39</v>
      </c>
      <c r="R1214" t="s">
        <v>40</v>
      </c>
      <c r="S1214" t="s">
        <v>41</v>
      </c>
      <c r="T1214">
        <v>2020</v>
      </c>
      <c r="U1214" t="s">
        <v>31</v>
      </c>
    </row>
    <row r="1215" spans="1:21" x14ac:dyDescent="0.35">
      <c r="A1215" s="1">
        <v>45805</v>
      </c>
      <c r="B1215" t="s">
        <v>58</v>
      </c>
      <c r="C1215" t="s">
        <v>59</v>
      </c>
      <c r="D1215" t="s">
        <v>60</v>
      </c>
      <c r="E1215">
        <v>271</v>
      </c>
      <c r="F1215">
        <v>5</v>
      </c>
      <c r="G1215">
        <f t="shared" si="54"/>
        <v>1355</v>
      </c>
      <c r="H1215">
        <v>3</v>
      </c>
      <c r="I1215">
        <f t="shared" si="55"/>
        <v>813</v>
      </c>
      <c r="J1215">
        <f t="shared" si="56"/>
        <v>542</v>
      </c>
      <c r="K1215" t="s">
        <v>35</v>
      </c>
      <c r="L1215" t="s">
        <v>36</v>
      </c>
      <c r="M1215" t="s">
        <v>61</v>
      </c>
      <c r="N1215" t="s">
        <v>43</v>
      </c>
      <c r="O1215">
        <v>997</v>
      </c>
      <c r="P1215">
        <v>271</v>
      </c>
      <c r="Q1215" t="s">
        <v>64</v>
      </c>
      <c r="R1215" t="s">
        <v>29</v>
      </c>
      <c r="S1215" t="s">
        <v>65</v>
      </c>
      <c r="T1215">
        <v>2023</v>
      </c>
      <c r="U1215" t="s">
        <v>97</v>
      </c>
    </row>
    <row r="1216" spans="1:21" x14ac:dyDescent="0.35">
      <c r="A1216" s="1">
        <v>45806</v>
      </c>
      <c r="B1216" t="s">
        <v>98</v>
      </c>
      <c r="C1216" t="s">
        <v>99</v>
      </c>
      <c r="D1216" t="s">
        <v>100</v>
      </c>
      <c r="E1216">
        <v>368</v>
      </c>
      <c r="F1216">
        <v>6</v>
      </c>
      <c r="G1216">
        <f t="shared" si="54"/>
        <v>2208</v>
      </c>
      <c r="H1216">
        <v>4</v>
      </c>
      <c r="I1216">
        <f t="shared" si="55"/>
        <v>1472</v>
      </c>
      <c r="J1216">
        <f t="shared" si="56"/>
        <v>736</v>
      </c>
      <c r="K1216" t="s">
        <v>42</v>
      </c>
      <c r="L1216" t="s">
        <v>36</v>
      </c>
      <c r="M1216" t="s">
        <v>61</v>
      </c>
      <c r="N1216" t="s">
        <v>27</v>
      </c>
      <c r="O1216">
        <v>909</v>
      </c>
      <c r="P1216">
        <v>368</v>
      </c>
      <c r="Q1216" t="s">
        <v>90</v>
      </c>
      <c r="R1216" t="s">
        <v>55</v>
      </c>
      <c r="S1216" t="s">
        <v>85</v>
      </c>
      <c r="T1216">
        <v>2021</v>
      </c>
      <c r="U1216" t="s">
        <v>105</v>
      </c>
    </row>
    <row r="1217" spans="1:21" x14ac:dyDescent="0.35">
      <c r="A1217" s="1">
        <v>45807</v>
      </c>
      <c r="B1217" t="s">
        <v>32</v>
      </c>
      <c r="C1217" t="s">
        <v>33</v>
      </c>
      <c r="D1217" t="s">
        <v>34</v>
      </c>
      <c r="E1217">
        <v>148</v>
      </c>
      <c r="F1217">
        <v>20</v>
      </c>
      <c r="G1217">
        <f t="shared" si="54"/>
        <v>2960</v>
      </c>
      <c r="H1217">
        <v>12</v>
      </c>
      <c r="I1217">
        <f t="shared" si="55"/>
        <v>1776</v>
      </c>
      <c r="J1217">
        <f t="shared" si="56"/>
        <v>1184</v>
      </c>
      <c r="K1217" t="s">
        <v>35</v>
      </c>
      <c r="L1217" t="s">
        <v>25</v>
      </c>
      <c r="M1217" t="s">
        <v>37</v>
      </c>
      <c r="N1217" t="s">
        <v>43</v>
      </c>
      <c r="O1217">
        <v>692</v>
      </c>
      <c r="P1217">
        <v>148</v>
      </c>
      <c r="Q1217" t="s">
        <v>103</v>
      </c>
      <c r="R1217" t="s">
        <v>68</v>
      </c>
      <c r="S1217" t="s">
        <v>104</v>
      </c>
      <c r="T1217">
        <v>2021</v>
      </c>
      <c r="U1217" t="s">
        <v>105</v>
      </c>
    </row>
    <row r="1218" spans="1:21" x14ac:dyDescent="0.35">
      <c r="A1218" s="1">
        <v>45808</v>
      </c>
      <c r="B1218" t="s">
        <v>21</v>
      </c>
      <c r="C1218" t="s">
        <v>22</v>
      </c>
      <c r="D1218" t="s">
        <v>23</v>
      </c>
      <c r="E1218">
        <v>499</v>
      </c>
      <c r="F1218">
        <v>8</v>
      </c>
      <c r="G1218">
        <f t="shared" si="54"/>
        <v>3992</v>
      </c>
      <c r="H1218">
        <v>5</v>
      </c>
      <c r="I1218">
        <f t="shared" si="55"/>
        <v>2495</v>
      </c>
      <c r="J1218">
        <f t="shared" si="56"/>
        <v>1497</v>
      </c>
      <c r="K1218" t="s">
        <v>42</v>
      </c>
      <c r="L1218" t="s">
        <v>25</v>
      </c>
      <c r="M1218" t="s">
        <v>26</v>
      </c>
      <c r="N1218" t="s">
        <v>27</v>
      </c>
      <c r="O1218">
        <v>613</v>
      </c>
      <c r="P1218">
        <v>499</v>
      </c>
      <c r="Q1218" t="s">
        <v>64</v>
      </c>
      <c r="R1218" t="s">
        <v>29</v>
      </c>
      <c r="S1218" t="s">
        <v>65</v>
      </c>
      <c r="T1218">
        <v>2021</v>
      </c>
      <c r="U1218" t="s">
        <v>57</v>
      </c>
    </row>
    <row r="1219" spans="1:21" x14ac:dyDescent="0.35">
      <c r="A1219" s="1">
        <v>45809</v>
      </c>
      <c r="B1219" t="s">
        <v>48</v>
      </c>
      <c r="C1219" t="s">
        <v>49</v>
      </c>
      <c r="D1219" t="s">
        <v>50</v>
      </c>
      <c r="E1219">
        <v>253</v>
      </c>
      <c r="F1219">
        <v>150</v>
      </c>
      <c r="G1219">
        <f t="shared" ref="G1219:G1282" si="57">E1219*F1219</f>
        <v>37950</v>
      </c>
      <c r="H1219">
        <v>100</v>
      </c>
      <c r="I1219">
        <f t="shared" ref="I1219:I1282" si="58">E1219*H1219</f>
        <v>25300</v>
      </c>
      <c r="J1219">
        <f t="shared" ref="J1219:J1282" si="59">G1219-I1219</f>
        <v>12650</v>
      </c>
      <c r="K1219" t="s">
        <v>35</v>
      </c>
      <c r="L1219" t="s">
        <v>36</v>
      </c>
      <c r="M1219" t="s">
        <v>37</v>
      </c>
      <c r="N1219" t="s">
        <v>27</v>
      </c>
      <c r="O1219">
        <v>784</v>
      </c>
      <c r="P1219">
        <v>253</v>
      </c>
      <c r="Q1219" t="s">
        <v>74</v>
      </c>
      <c r="R1219" t="s">
        <v>75</v>
      </c>
      <c r="S1219" t="s">
        <v>76</v>
      </c>
      <c r="T1219">
        <v>2022</v>
      </c>
      <c r="U1219" t="s">
        <v>105</v>
      </c>
    </row>
    <row r="1220" spans="1:21" x14ac:dyDescent="0.35">
      <c r="A1220" s="1">
        <v>45810</v>
      </c>
      <c r="B1220" t="s">
        <v>48</v>
      </c>
      <c r="C1220" t="s">
        <v>49</v>
      </c>
      <c r="D1220" t="s">
        <v>50</v>
      </c>
      <c r="E1220">
        <v>422</v>
      </c>
      <c r="F1220">
        <v>150</v>
      </c>
      <c r="G1220">
        <f t="shared" si="57"/>
        <v>63300</v>
      </c>
      <c r="H1220">
        <v>100</v>
      </c>
      <c r="I1220">
        <f t="shared" si="58"/>
        <v>42200</v>
      </c>
      <c r="J1220">
        <f t="shared" si="59"/>
        <v>21100</v>
      </c>
      <c r="K1220" t="s">
        <v>24</v>
      </c>
      <c r="L1220" t="s">
        <v>63</v>
      </c>
      <c r="M1220" t="s">
        <v>26</v>
      </c>
      <c r="N1220" t="s">
        <v>43</v>
      </c>
      <c r="O1220">
        <v>862</v>
      </c>
      <c r="P1220">
        <v>422</v>
      </c>
      <c r="Q1220" t="s">
        <v>67</v>
      </c>
      <c r="R1220" t="s">
        <v>68</v>
      </c>
      <c r="S1220" t="s">
        <v>69</v>
      </c>
      <c r="T1220">
        <v>2023</v>
      </c>
      <c r="U1220" t="s">
        <v>53</v>
      </c>
    </row>
    <row r="1221" spans="1:21" x14ac:dyDescent="0.35">
      <c r="A1221" s="1">
        <v>45811</v>
      </c>
      <c r="B1221" t="s">
        <v>98</v>
      </c>
      <c r="C1221" t="s">
        <v>99</v>
      </c>
      <c r="D1221" t="s">
        <v>100</v>
      </c>
      <c r="E1221">
        <v>389</v>
      </c>
      <c r="F1221">
        <v>6</v>
      </c>
      <c r="G1221">
        <f t="shared" si="57"/>
        <v>2334</v>
      </c>
      <c r="H1221">
        <v>4</v>
      </c>
      <c r="I1221">
        <f t="shared" si="58"/>
        <v>1556</v>
      </c>
      <c r="J1221">
        <f t="shared" si="59"/>
        <v>778</v>
      </c>
      <c r="K1221" t="s">
        <v>35</v>
      </c>
      <c r="L1221" t="s">
        <v>25</v>
      </c>
      <c r="M1221" t="s">
        <v>37</v>
      </c>
      <c r="N1221" t="s">
        <v>38</v>
      </c>
      <c r="O1221">
        <v>735</v>
      </c>
      <c r="P1221">
        <v>389</v>
      </c>
      <c r="Q1221" t="s">
        <v>67</v>
      </c>
      <c r="R1221" t="s">
        <v>68</v>
      </c>
      <c r="S1221" t="s">
        <v>69</v>
      </c>
      <c r="T1221">
        <v>2020</v>
      </c>
      <c r="U1221" t="s">
        <v>57</v>
      </c>
    </row>
    <row r="1222" spans="1:21" x14ac:dyDescent="0.35">
      <c r="A1222" s="1">
        <v>45812</v>
      </c>
      <c r="B1222" t="s">
        <v>98</v>
      </c>
      <c r="C1222" t="s">
        <v>99</v>
      </c>
      <c r="D1222" t="s">
        <v>100</v>
      </c>
      <c r="E1222">
        <v>29</v>
      </c>
      <c r="F1222">
        <v>6</v>
      </c>
      <c r="G1222">
        <f t="shared" si="57"/>
        <v>174</v>
      </c>
      <c r="H1222">
        <v>4</v>
      </c>
      <c r="I1222">
        <f t="shared" si="58"/>
        <v>116</v>
      </c>
      <c r="J1222">
        <f t="shared" si="59"/>
        <v>58</v>
      </c>
      <c r="K1222" t="s">
        <v>35</v>
      </c>
      <c r="L1222" t="s">
        <v>25</v>
      </c>
      <c r="M1222" t="s">
        <v>37</v>
      </c>
      <c r="N1222" t="s">
        <v>38</v>
      </c>
      <c r="O1222">
        <v>528</v>
      </c>
      <c r="P1222">
        <v>29</v>
      </c>
      <c r="Q1222" t="s">
        <v>70</v>
      </c>
      <c r="R1222" t="s">
        <v>71</v>
      </c>
      <c r="S1222" t="s">
        <v>72</v>
      </c>
      <c r="T1222">
        <v>2021</v>
      </c>
      <c r="U1222" t="s">
        <v>62</v>
      </c>
    </row>
    <row r="1223" spans="1:21" x14ac:dyDescent="0.35">
      <c r="A1223" s="1">
        <v>45813</v>
      </c>
      <c r="B1223" t="s">
        <v>21</v>
      </c>
      <c r="C1223" t="s">
        <v>22</v>
      </c>
      <c r="D1223" t="s">
        <v>23</v>
      </c>
      <c r="E1223">
        <v>126</v>
      </c>
      <c r="F1223">
        <v>8</v>
      </c>
      <c r="G1223">
        <f t="shared" si="57"/>
        <v>1008</v>
      </c>
      <c r="H1223">
        <v>5</v>
      </c>
      <c r="I1223">
        <f t="shared" si="58"/>
        <v>630</v>
      </c>
      <c r="J1223">
        <f t="shared" si="59"/>
        <v>378</v>
      </c>
      <c r="K1223" t="s">
        <v>24</v>
      </c>
      <c r="L1223" t="s">
        <v>25</v>
      </c>
      <c r="M1223" t="s">
        <v>37</v>
      </c>
      <c r="N1223" t="s">
        <v>38</v>
      </c>
      <c r="O1223">
        <v>582</v>
      </c>
      <c r="P1223">
        <v>126</v>
      </c>
      <c r="Q1223" t="s">
        <v>90</v>
      </c>
      <c r="R1223" t="s">
        <v>55</v>
      </c>
      <c r="S1223" t="s">
        <v>85</v>
      </c>
      <c r="T1223">
        <v>2020</v>
      </c>
      <c r="U1223" t="s">
        <v>105</v>
      </c>
    </row>
    <row r="1224" spans="1:21" x14ac:dyDescent="0.35">
      <c r="A1224" s="1">
        <v>45814</v>
      </c>
      <c r="B1224" t="s">
        <v>21</v>
      </c>
      <c r="C1224" t="s">
        <v>22</v>
      </c>
      <c r="D1224" t="s">
        <v>23</v>
      </c>
      <c r="E1224">
        <v>362</v>
      </c>
      <c r="F1224">
        <v>8</v>
      </c>
      <c r="G1224">
        <f t="shared" si="57"/>
        <v>2896</v>
      </c>
      <c r="H1224">
        <v>5</v>
      </c>
      <c r="I1224">
        <f t="shared" si="58"/>
        <v>1810</v>
      </c>
      <c r="J1224">
        <f t="shared" si="59"/>
        <v>1086</v>
      </c>
      <c r="K1224" t="s">
        <v>24</v>
      </c>
      <c r="L1224" t="s">
        <v>25</v>
      </c>
      <c r="M1224" t="s">
        <v>61</v>
      </c>
      <c r="N1224" t="s">
        <v>38</v>
      </c>
      <c r="O1224">
        <v>608</v>
      </c>
      <c r="P1224">
        <v>362</v>
      </c>
      <c r="Q1224" t="s">
        <v>106</v>
      </c>
      <c r="R1224" t="s">
        <v>107</v>
      </c>
      <c r="S1224" t="s">
        <v>108</v>
      </c>
      <c r="T1224">
        <v>2021</v>
      </c>
      <c r="U1224" t="s">
        <v>86</v>
      </c>
    </row>
    <row r="1225" spans="1:21" x14ac:dyDescent="0.35">
      <c r="A1225" s="1">
        <v>45815</v>
      </c>
      <c r="B1225" t="s">
        <v>80</v>
      </c>
      <c r="C1225" t="s">
        <v>81</v>
      </c>
      <c r="D1225" t="s">
        <v>82</v>
      </c>
      <c r="E1225">
        <v>414</v>
      </c>
      <c r="F1225">
        <v>2.5</v>
      </c>
      <c r="G1225">
        <f t="shared" si="57"/>
        <v>1035</v>
      </c>
      <c r="H1225">
        <v>1.5</v>
      </c>
      <c r="I1225">
        <f t="shared" si="58"/>
        <v>621</v>
      </c>
      <c r="J1225">
        <f t="shared" si="59"/>
        <v>414</v>
      </c>
      <c r="K1225" t="s">
        <v>42</v>
      </c>
      <c r="L1225" t="s">
        <v>36</v>
      </c>
      <c r="M1225" t="s">
        <v>26</v>
      </c>
      <c r="N1225" t="s">
        <v>43</v>
      </c>
      <c r="O1225">
        <v>845</v>
      </c>
      <c r="P1225">
        <v>414</v>
      </c>
      <c r="Q1225" t="s">
        <v>77</v>
      </c>
      <c r="R1225" t="s">
        <v>78</v>
      </c>
      <c r="S1225" t="s">
        <v>79</v>
      </c>
      <c r="T1225">
        <v>2022</v>
      </c>
      <c r="U1225" t="s">
        <v>86</v>
      </c>
    </row>
    <row r="1226" spans="1:21" x14ac:dyDescent="0.35">
      <c r="A1226" s="1">
        <v>45816</v>
      </c>
      <c r="B1226" t="s">
        <v>32</v>
      </c>
      <c r="C1226" t="s">
        <v>33</v>
      </c>
      <c r="D1226" t="s">
        <v>34</v>
      </c>
      <c r="E1226">
        <v>282</v>
      </c>
      <c r="F1226">
        <v>20</v>
      </c>
      <c r="G1226">
        <f t="shared" si="57"/>
        <v>5640</v>
      </c>
      <c r="H1226">
        <v>12</v>
      </c>
      <c r="I1226">
        <f t="shared" si="58"/>
        <v>3384</v>
      </c>
      <c r="J1226">
        <f t="shared" si="59"/>
        <v>2256</v>
      </c>
      <c r="K1226" t="s">
        <v>24</v>
      </c>
      <c r="L1226" t="s">
        <v>73</v>
      </c>
      <c r="M1226" t="s">
        <v>37</v>
      </c>
      <c r="N1226" t="s">
        <v>43</v>
      </c>
      <c r="O1226">
        <v>999</v>
      </c>
      <c r="P1226">
        <v>282</v>
      </c>
      <c r="Q1226" t="s">
        <v>110</v>
      </c>
      <c r="R1226" t="s">
        <v>111</v>
      </c>
      <c r="S1226" t="s">
        <v>112</v>
      </c>
      <c r="T1226">
        <v>2024</v>
      </c>
      <c r="U1226" t="s">
        <v>57</v>
      </c>
    </row>
    <row r="1227" spans="1:21" x14ac:dyDescent="0.35">
      <c r="A1227" s="1">
        <v>45817</v>
      </c>
      <c r="B1227" t="s">
        <v>21</v>
      </c>
      <c r="C1227" t="s">
        <v>22</v>
      </c>
      <c r="D1227" t="s">
        <v>23</v>
      </c>
      <c r="E1227">
        <v>212</v>
      </c>
      <c r="F1227">
        <v>8</v>
      </c>
      <c r="G1227">
        <f t="shared" si="57"/>
        <v>1696</v>
      </c>
      <c r="H1227">
        <v>5</v>
      </c>
      <c r="I1227">
        <f t="shared" si="58"/>
        <v>1060</v>
      </c>
      <c r="J1227">
        <f t="shared" si="59"/>
        <v>636</v>
      </c>
      <c r="K1227" t="s">
        <v>35</v>
      </c>
      <c r="L1227" t="s">
        <v>25</v>
      </c>
      <c r="M1227" t="s">
        <v>26</v>
      </c>
      <c r="N1227" t="s">
        <v>27</v>
      </c>
      <c r="O1227">
        <v>894</v>
      </c>
      <c r="P1227">
        <v>212</v>
      </c>
      <c r="Q1227" t="s">
        <v>101</v>
      </c>
      <c r="R1227" t="s">
        <v>101</v>
      </c>
      <c r="S1227" t="s">
        <v>102</v>
      </c>
      <c r="T1227">
        <v>2021</v>
      </c>
      <c r="U1227" t="s">
        <v>86</v>
      </c>
    </row>
    <row r="1228" spans="1:21" x14ac:dyDescent="0.35">
      <c r="A1228" s="1">
        <v>45818</v>
      </c>
      <c r="B1228" t="s">
        <v>48</v>
      </c>
      <c r="C1228" t="s">
        <v>49</v>
      </c>
      <c r="D1228" t="s">
        <v>50</v>
      </c>
      <c r="E1228">
        <v>376</v>
      </c>
      <c r="F1228">
        <v>150</v>
      </c>
      <c r="G1228">
        <f t="shared" si="57"/>
        <v>56400</v>
      </c>
      <c r="H1228">
        <v>100</v>
      </c>
      <c r="I1228">
        <f t="shared" si="58"/>
        <v>37600</v>
      </c>
      <c r="J1228">
        <f t="shared" si="59"/>
        <v>18800</v>
      </c>
      <c r="K1228" t="s">
        <v>35</v>
      </c>
      <c r="L1228" t="s">
        <v>36</v>
      </c>
      <c r="M1228" t="s">
        <v>26</v>
      </c>
      <c r="N1228" t="s">
        <v>38</v>
      </c>
      <c r="O1228">
        <v>702</v>
      </c>
      <c r="P1228">
        <v>376</v>
      </c>
      <c r="Q1228" t="s">
        <v>101</v>
      </c>
      <c r="R1228" t="s">
        <v>101</v>
      </c>
      <c r="S1228" t="s">
        <v>102</v>
      </c>
      <c r="T1228">
        <v>2023</v>
      </c>
      <c r="U1228" t="s">
        <v>97</v>
      </c>
    </row>
    <row r="1229" spans="1:21" x14ac:dyDescent="0.35">
      <c r="A1229" s="1">
        <v>45819</v>
      </c>
      <c r="B1229" t="s">
        <v>48</v>
      </c>
      <c r="C1229" t="s">
        <v>49</v>
      </c>
      <c r="D1229" t="s">
        <v>50</v>
      </c>
      <c r="E1229">
        <v>272</v>
      </c>
      <c r="F1229">
        <v>150</v>
      </c>
      <c r="G1229">
        <f t="shared" si="57"/>
        <v>40800</v>
      </c>
      <c r="H1229">
        <v>100</v>
      </c>
      <c r="I1229">
        <f t="shared" si="58"/>
        <v>27200</v>
      </c>
      <c r="J1229">
        <f t="shared" si="59"/>
        <v>13600</v>
      </c>
      <c r="K1229" t="s">
        <v>35</v>
      </c>
      <c r="L1229" t="s">
        <v>73</v>
      </c>
      <c r="M1229" t="s">
        <v>61</v>
      </c>
      <c r="N1229" t="s">
        <v>38</v>
      </c>
      <c r="O1229">
        <v>719</v>
      </c>
      <c r="P1229">
        <v>272</v>
      </c>
      <c r="Q1229" t="s">
        <v>51</v>
      </c>
      <c r="R1229" t="s">
        <v>45</v>
      </c>
      <c r="S1229" t="s">
        <v>52</v>
      </c>
      <c r="T1229">
        <v>2022</v>
      </c>
      <c r="U1229" t="s">
        <v>96</v>
      </c>
    </row>
    <row r="1230" spans="1:21" x14ac:dyDescent="0.35">
      <c r="A1230" s="1">
        <v>45820</v>
      </c>
      <c r="B1230" t="s">
        <v>58</v>
      </c>
      <c r="C1230" t="s">
        <v>59</v>
      </c>
      <c r="D1230" t="s">
        <v>60</v>
      </c>
      <c r="E1230">
        <v>472</v>
      </c>
      <c r="F1230">
        <v>5</v>
      </c>
      <c r="G1230">
        <f t="shared" si="57"/>
        <v>2360</v>
      </c>
      <c r="H1230">
        <v>3</v>
      </c>
      <c r="I1230">
        <f t="shared" si="58"/>
        <v>1416</v>
      </c>
      <c r="J1230">
        <f t="shared" si="59"/>
        <v>944</v>
      </c>
      <c r="K1230" t="s">
        <v>42</v>
      </c>
      <c r="L1230" t="s">
        <v>36</v>
      </c>
      <c r="M1230" t="s">
        <v>26</v>
      </c>
      <c r="N1230" t="s">
        <v>38</v>
      </c>
      <c r="O1230">
        <v>703</v>
      </c>
      <c r="P1230">
        <v>472</v>
      </c>
      <c r="Q1230" t="s">
        <v>92</v>
      </c>
      <c r="R1230" t="s">
        <v>45</v>
      </c>
      <c r="S1230" t="s">
        <v>93</v>
      </c>
      <c r="T1230">
        <v>2023</v>
      </c>
      <c r="U1230" t="s">
        <v>97</v>
      </c>
    </row>
    <row r="1231" spans="1:21" x14ac:dyDescent="0.35">
      <c r="A1231" s="1">
        <v>45821</v>
      </c>
      <c r="B1231" t="s">
        <v>58</v>
      </c>
      <c r="C1231" t="s">
        <v>59</v>
      </c>
      <c r="D1231" t="s">
        <v>60</v>
      </c>
      <c r="E1231">
        <v>434</v>
      </c>
      <c r="F1231">
        <v>5</v>
      </c>
      <c r="G1231">
        <f t="shared" si="57"/>
        <v>2170</v>
      </c>
      <c r="H1231">
        <v>3</v>
      </c>
      <c r="I1231">
        <f t="shared" si="58"/>
        <v>1302</v>
      </c>
      <c r="J1231">
        <f t="shared" si="59"/>
        <v>868</v>
      </c>
      <c r="K1231" t="s">
        <v>35</v>
      </c>
      <c r="L1231" t="s">
        <v>73</v>
      </c>
      <c r="M1231" t="s">
        <v>26</v>
      </c>
      <c r="N1231" t="s">
        <v>27</v>
      </c>
      <c r="O1231">
        <v>952</v>
      </c>
      <c r="P1231">
        <v>434</v>
      </c>
      <c r="Q1231" t="s">
        <v>67</v>
      </c>
      <c r="R1231" t="s">
        <v>68</v>
      </c>
      <c r="S1231" t="s">
        <v>69</v>
      </c>
      <c r="T1231">
        <v>2024</v>
      </c>
      <c r="U1231" t="s">
        <v>86</v>
      </c>
    </row>
    <row r="1232" spans="1:21" x14ac:dyDescent="0.35">
      <c r="A1232" s="1">
        <v>45822</v>
      </c>
      <c r="B1232" t="s">
        <v>32</v>
      </c>
      <c r="C1232" t="s">
        <v>33</v>
      </c>
      <c r="D1232" t="s">
        <v>34</v>
      </c>
      <c r="E1232">
        <v>463</v>
      </c>
      <c r="F1232">
        <v>20</v>
      </c>
      <c r="G1232">
        <f t="shared" si="57"/>
        <v>9260</v>
      </c>
      <c r="H1232">
        <v>12</v>
      </c>
      <c r="I1232">
        <f t="shared" si="58"/>
        <v>5556</v>
      </c>
      <c r="J1232">
        <f t="shared" si="59"/>
        <v>3704</v>
      </c>
      <c r="K1232" t="s">
        <v>24</v>
      </c>
      <c r="L1232" t="s">
        <v>25</v>
      </c>
      <c r="M1232" t="s">
        <v>26</v>
      </c>
      <c r="N1232" t="s">
        <v>38</v>
      </c>
      <c r="O1232">
        <v>854</v>
      </c>
      <c r="P1232">
        <v>463</v>
      </c>
      <c r="Q1232" t="s">
        <v>44</v>
      </c>
      <c r="R1232" t="s">
        <v>45</v>
      </c>
      <c r="S1232" t="s">
        <v>46</v>
      </c>
      <c r="T1232">
        <v>2024</v>
      </c>
      <c r="U1232" t="s">
        <v>97</v>
      </c>
    </row>
    <row r="1233" spans="1:21" x14ac:dyDescent="0.35">
      <c r="A1233" s="1">
        <v>45823</v>
      </c>
      <c r="B1233" t="s">
        <v>48</v>
      </c>
      <c r="C1233" t="s">
        <v>49</v>
      </c>
      <c r="D1233" t="s">
        <v>50</v>
      </c>
      <c r="E1233">
        <v>234</v>
      </c>
      <c r="F1233">
        <v>150</v>
      </c>
      <c r="G1233">
        <f t="shared" si="57"/>
        <v>35100</v>
      </c>
      <c r="H1233">
        <v>100</v>
      </c>
      <c r="I1233">
        <f t="shared" si="58"/>
        <v>23400</v>
      </c>
      <c r="J1233">
        <f t="shared" si="59"/>
        <v>11700</v>
      </c>
      <c r="K1233" t="s">
        <v>24</v>
      </c>
      <c r="L1233" t="s">
        <v>25</v>
      </c>
      <c r="M1233" t="s">
        <v>26</v>
      </c>
      <c r="N1233" t="s">
        <v>38</v>
      </c>
      <c r="O1233">
        <v>718</v>
      </c>
      <c r="P1233">
        <v>234</v>
      </c>
      <c r="Q1233" t="s">
        <v>92</v>
      </c>
      <c r="R1233" t="s">
        <v>45</v>
      </c>
      <c r="S1233" t="s">
        <v>93</v>
      </c>
      <c r="T1233">
        <v>2024</v>
      </c>
      <c r="U1233" t="s">
        <v>66</v>
      </c>
    </row>
    <row r="1234" spans="1:21" x14ac:dyDescent="0.35">
      <c r="A1234" s="1">
        <v>45824</v>
      </c>
      <c r="B1234" t="s">
        <v>32</v>
      </c>
      <c r="C1234" t="s">
        <v>33</v>
      </c>
      <c r="D1234" t="s">
        <v>34</v>
      </c>
      <c r="E1234">
        <v>488</v>
      </c>
      <c r="F1234">
        <v>20</v>
      </c>
      <c r="G1234">
        <f t="shared" si="57"/>
        <v>9760</v>
      </c>
      <c r="H1234">
        <v>12</v>
      </c>
      <c r="I1234">
        <f t="shared" si="58"/>
        <v>5856</v>
      </c>
      <c r="J1234">
        <f t="shared" si="59"/>
        <v>3904</v>
      </c>
      <c r="K1234" t="s">
        <v>35</v>
      </c>
      <c r="L1234" t="s">
        <v>25</v>
      </c>
      <c r="M1234" t="s">
        <v>37</v>
      </c>
      <c r="N1234" t="s">
        <v>27</v>
      </c>
      <c r="O1234">
        <v>863</v>
      </c>
      <c r="P1234">
        <v>488</v>
      </c>
      <c r="Q1234" t="s">
        <v>74</v>
      </c>
      <c r="R1234" t="s">
        <v>75</v>
      </c>
      <c r="S1234" t="s">
        <v>76</v>
      </c>
      <c r="T1234">
        <v>2024</v>
      </c>
      <c r="U1234" t="s">
        <v>86</v>
      </c>
    </row>
    <row r="1235" spans="1:21" x14ac:dyDescent="0.35">
      <c r="A1235" s="1">
        <v>45825</v>
      </c>
      <c r="B1235" t="s">
        <v>80</v>
      </c>
      <c r="C1235" t="s">
        <v>81</v>
      </c>
      <c r="D1235" t="s">
        <v>82</v>
      </c>
      <c r="E1235">
        <v>29</v>
      </c>
      <c r="F1235">
        <v>2.5</v>
      </c>
      <c r="G1235">
        <f t="shared" si="57"/>
        <v>72.5</v>
      </c>
      <c r="H1235">
        <v>1.5</v>
      </c>
      <c r="I1235">
        <f t="shared" si="58"/>
        <v>43.5</v>
      </c>
      <c r="J1235">
        <f t="shared" si="59"/>
        <v>29</v>
      </c>
      <c r="K1235" t="s">
        <v>35</v>
      </c>
      <c r="L1235" t="s">
        <v>73</v>
      </c>
      <c r="M1235" t="s">
        <v>61</v>
      </c>
      <c r="N1235" t="s">
        <v>43</v>
      </c>
      <c r="O1235">
        <v>592</v>
      </c>
      <c r="P1235">
        <v>29</v>
      </c>
      <c r="Q1235" t="s">
        <v>92</v>
      </c>
      <c r="R1235" t="s">
        <v>45</v>
      </c>
      <c r="S1235" t="s">
        <v>93</v>
      </c>
      <c r="T1235">
        <v>2021</v>
      </c>
      <c r="U1235" t="s">
        <v>31</v>
      </c>
    </row>
    <row r="1236" spans="1:21" x14ac:dyDescent="0.35">
      <c r="A1236" s="1">
        <v>45826</v>
      </c>
      <c r="B1236" t="s">
        <v>80</v>
      </c>
      <c r="C1236" t="s">
        <v>81</v>
      </c>
      <c r="D1236" t="s">
        <v>82</v>
      </c>
      <c r="E1236">
        <v>20</v>
      </c>
      <c r="F1236">
        <v>2.5</v>
      </c>
      <c r="G1236">
        <f t="shared" si="57"/>
        <v>50</v>
      </c>
      <c r="H1236">
        <v>1.5</v>
      </c>
      <c r="I1236">
        <f t="shared" si="58"/>
        <v>30</v>
      </c>
      <c r="J1236">
        <f t="shared" si="59"/>
        <v>20</v>
      </c>
      <c r="K1236" t="s">
        <v>35</v>
      </c>
      <c r="L1236" t="s">
        <v>36</v>
      </c>
      <c r="M1236" t="s">
        <v>37</v>
      </c>
      <c r="N1236" t="s">
        <v>43</v>
      </c>
      <c r="O1236">
        <v>580</v>
      </c>
      <c r="P1236">
        <v>20</v>
      </c>
      <c r="Q1236" t="s">
        <v>44</v>
      </c>
      <c r="R1236" t="s">
        <v>45</v>
      </c>
      <c r="S1236" t="s">
        <v>46</v>
      </c>
      <c r="T1236">
        <v>2021</v>
      </c>
      <c r="U1236" t="s">
        <v>105</v>
      </c>
    </row>
    <row r="1237" spans="1:21" x14ac:dyDescent="0.35">
      <c r="A1237" s="1">
        <v>45827</v>
      </c>
      <c r="B1237" t="s">
        <v>32</v>
      </c>
      <c r="C1237" t="s">
        <v>33</v>
      </c>
      <c r="D1237" t="s">
        <v>34</v>
      </c>
      <c r="E1237">
        <v>116</v>
      </c>
      <c r="F1237">
        <v>20</v>
      </c>
      <c r="G1237">
        <f t="shared" si="57"/>
        <v>2320</v>
      </c>
      <c r="H1237">
        <v>12</v>
      </c>
      <c r="I1237">
        <f t="shared" si="58"/>
        <v>1392</v>
      </c>
      <c r="J1237">
        <f t="shared" si="59"/>
        <v>928</v>
      </c>
      <c r="K1237" t="s">
        <v>42</v>
      </c>
      <c r="L1237" t="s">
        <v>73</v>
      </c>
      <c r="M1237" t="s">
        <v>37</v>
      </c>
      <c r="N1237" t="s">
        <v>43</v>
      </c>
      <c r="O1237">
        <v>874</v>
      </c>
      <c r="P1237">
        <v>116</v>
      </c>
      <c r="Q1237" t="s">
        <v>101</v>
      </c>
      <c r="R1237" t="s">
        <v>101</v>
      </c>
      <c r="S1237" t="s">
        <v>102</v>
      </c>
      <c r="T1237">
        <v>2023</v>
      </c>
      <c r="U1237" t="s">
        <v>86</v>
      </c>
    </row>
    <row r="1238" spans="1:21" x14ac:dyDescent="0.35">
      <c r="A1238" s="1">
        <v>45828</v>
      </c>
      <c r="B1238" t="s">
        <v>98</v>
      </c>
      <c r="C1238" t="s">
        <v>99</v>
      </c>
      <c r="D1238" t="s">
        <v>100</v>
      </c>
      <c r="E1238">
        <v>69</v>
      </c>
      <c r="F1238">
        <v>6</v>
      </c>
      <c r="G1238">
        <f t="shared" si="57"/>
        <v>414</v>
      </c>
      <c r="H1238">
        <v>4</v>
      </c>
      <c r="I1238">
        <f t="shared" si="58"/>
        <v>276</v>
      </c>
      <c r="J1238">
        <f t="shared" si="59"/>
        <v>138</v>
      </c>
      <c r="K1238" t="s">
        <v>24</v>
      </c>
      <c r="L1238" t="s">
        <v>73</v>
      </c>
      <c r="M1238" t="s">
        <v>26</v>
      </c>
      <c r="N1238" t="s">
        <v>43</v>
      </c>
      <c r="O1238">
        <v>986</v>
      </c>
      <c r="P1238">
        <v>69</v>
      </c>
      <c r="Q1238" t="s">
        <v>103</v>
      </c>
      <c r="R1238" t="s">
        <v>68</v>
      </c>
      <c r="S1238" t="s">
        <v>104</v>
      </c>
      <c r="T1238">
        <v>2024</v>
      </c>
      <c r="U1238" t="s">
        <v>62</v>
      </c>
    </row>
    <row r="1239" spans="1:21" x14ac:dyDescent="0.35">
      <c r="A1239" s="1">
        <v>45829</v>
      </c>
      <c r="B1239" t="s">
        <v>32</v>
      </c>
      <c r="C1239" t="s">
        <v>33</v>
      </c>
      <c r="D1239" t="s">
        <v>34</v>
      </c>
      <c r="E1239">
        <v>13</v>
      </c>
      <c r="F1239">
        <v>20</v>
      </c>
      <c r="G1239">
        <f t="shared" si="57"/>
        <v>260</v>
      </c>
      <c r="H1239">
        <v>12</v>
      </c>
      <c r="I1239">
        <f t="shared" si="58"/>
        <v>156</v>
      </c>
      <c r="J1239">
        <f t="shared" si="59"/>
        <v>104</v>
      </c>
      <c r="K1239" t="s">
        <v>35</v>
      </c>
      <c r="L1239" t="s">
        <v>25</v>
      </c>
      <c r="M1239" t="s">
        <v>61</v>
      </c>
      <c r="N1239" t="s">
        <v>38</v>
      </c>
      <c r="O1239">
        <v>614</v>
      </c>
      <c r="P1239">
        <v>13</v>
      </c>
      <c r="Q1239" t="s">
        <v>28</v>
      </c>
      <c r="R1239" t="s">
        <v>29</v>
      </c>
      <c r="S1239" t="s">
        <v>30</v>
      </c>
      <c r="T1239">
        <v>2024</v>
      </c>
      <c r="U1239" t="s">
        <v>31</v>
      </c>
    </row>
    <row r="1240" spans="1:21" x14ac:dyDescent="0.35">
      <c r="A1240" s="1">
        <v>45830</v>
      </c>
      <c r="B1240" t="s">
        <v>21</v>
      </c>
      <c r="C1240" t="s">
        <v>22</v>
      </c>
      <c r="D1240" t="s">
        <v>23</v>
      </c>
      <c r="E1240">
        <v>225</v>
      </c>
      <c r="F1240">
        <v>8</v>
      </c>
      <c r="G1240">
        <f t="shared" si="57"/>
        <v>1800</v>
      </c>
      <c r="H1240">
        <v>5</v>
      </c>
      <c r="I1240">
        <f t="shared" si="58"/>
        <v>1125</v>
      </c>
      <c r="J1240">
        <f t="shared" si="59"/>
        <v>675</v>
      </c>
      <c r="K1240" t="s">
        <v>42</v>
      </c>
      <c r="L1240" t="s">
        <v>25</v>
      </c>
      <c r="M1240" t="s">
        <v>37</v>
      </c>
      <c r="N1240" t="s">
        <v>38</v>
      </c>
      <c r="O1240">
        <v>698</v>
      </c>
      <c r="P1240">
        <v>225</v>
      </c>
      <c r="Q1240" t="s">
        <v>113</v>
      </c>
      <c r="R1240" t="s">
        <v>114</v>
      </c>
      <c r="S1240" t="s">
        <v>115</v>
      </c>
      <c r="T1240">
        <v>2024</v>
      </c>
      <c r="U1240" t="s">
        <v>97</v>
      </c>
    </row>
    <row r="1241" spans="1:21" x14ac:dyDescent="0.35">
      <c r="A1241" s="1">
        <v>45831</v>
      </c>
      <c r="B1241" t="s">
        <v>98</v>
      </c>
      <c r="C1241" t="s">
        <v>99</v>
      </c>
      <c r="D1241" t="s">
        <v>100</v>
      </c>
      <c r="E1241">
        <v>30</v>
      </c>
      <c r="F1241">
        <v>6</v>
      </c>
      <c r="G1241">
        <f t="shared" si="57"/>
        <v>180</v>
      </c>
      <c r="H1241">
        <v>4</v>
      </c>
      <c r="I1241">
        <f t="shared" si="58"/>
        <v>120</v>
      </c>
      <c r="J1241">
        <f t="shared" si="59"/>
        <v>60</v>
      </c>
      <c r="K1241" t="s">
        <v>35</v>
      </c>
      <c r="L1241" t="s">
        <v>36</v>
      </c>
      <c r="M1241" t="s">
        <v>26</v>
      </c>
      <c r="N1241" t="s">
        <v>38</v>
      </c>
      <c r="O1241">
        <v>557</v>
      </c>
      <c r="P1241">
        <v>30</v>
      </c>
      <c r="Q1241" t="s">
        <v>51</v>
      </c>
      <c r="R1241" t="s">
        <v>45</v>
      </c>
      <c r="S1241" t="s">
        <v>52</v>
      </c>
      <c r="T1241">
        <v>2023</v>
      </c>
      <c r="U1241" t="s">
        <v>66</v>
      </c>
    </row>
    <row r="1242" spans="1:21" x14ac:dyDescent="0.35">
      <c r="A1242" s="1">
        <v>45832</v>
      </c>
      <c r="B1242" t="s">
        <v>98</v>
      </c>
      <c r="C1242" t="s">
        <v>99</v>
      </c>
      <c r="D1242" t="s">
        <v>100</v>
      </c>
      <c r="E1242">
        <v>58</v>
      </c>
      <c r="F1242">
        <v>6</v>
      </c>
      <c r="G1242">
        <f t="shared" si="57"/>
        <v>348</v>
      </c>
      <c r="H1242">
        <v>4</v>
      </c>
      <c r="I1242">
        <f t="shared" si="58"/>
        <v>232</v>
      </c>
      <c r="J1242">
        <f t="shared" si="59"/>
        <v>116</v>
      </c>
      <c r="K1242" t="s">
        <v>35</v>
      </c>
      <c r="L1242" t="s">
        <v>25</v>
      </c>
      <c r="M1242" t="s">
        <v>61</v>
      </c>
      <c r="N1242" t="s">
        <v>27</v>
      </c>
      <c r="O1242">
        <v>531</v>
      </c>
      <c r="P1242">
        <v>58</v>
      </c>
      <c r="Q1242" t="s">
        <v>28</v>
      </c>
      <c r="R1242" t="s">
        <v>29</v>
      </c>
      <c r="S1242" t="s">
        <v>30</v>
      </c>
      <c r="T1242">
        <v>2023</v>
      </c>
      <c r="U1242" t="s">
        <v>62</v>
      </c>
    </row>
    <row r="1243" spans="1:21" x14ac:dyDescent="0.35">
      <c r="A1243" s="1">
        <v>45833</v>
      </c>
      <c r="B1243" t="s">
        <v>58</v>
      </c>
      <c r="C1243" t="s">
        <v>59</v>
      </c>
      <c r="D1243" t="s">
        <v>60</v>
      </c>
      <c r="E1243">
        <v>260</v>
      </c>
      <c r="F1243">
        <v>5</v>
      </c>
      <c r="G1243">
        <f t="shared" si="57"/>
        <v>1300</v>
      </c>
      <c r="H1243">
        <v>3</v>
      </c>
      <c r="I1243">
        <f t="shared" si="58"/>
        <v>780</v>
      </c>
      <c r="J1243">
        <f t="shared" si="59"/>
        <v>520</v>
      </c>
      <c r="K1243" t="s">
        <v>42</v>
      </c>
      <c r="L1243" t="s">
        <v>36</v>
      </c>
      <c r="M1243" t="s">
        <v>61</v>
      </c>
      <c r="N1243" t="s">
        <v>43</v>
      </c>
      <c r="O1243">
        <v>942</v>
      </c>
      <c r="P1243">
        <v>260</v>
      </c>
      <c r="Q1243" t="s">
        <v>44</v>
      </c>
      <c r="R1243" t="s">
        <v>45</v>
      </c>
      <c r="S1243" t="s">
        <v>46</v>
      </c>
      <c r="T1243">
        <v>2023</v>
      </c>
      <c r="U1243" t="s">
        <v>66</v>
      </c>
    </row>
    <row r="1244" spans="1:21" x14ac:dyDescent="0.35">
      <c r="A1244" s="1">
        <v>45834</v>
      </c>
      <c r="B1244" t="s">
        <v>32</v>
      </c>
      <c r="C1244" t="s">
        <v>33</v>
      </c>
      <c r="D1244" t="s">
        <v>34</v>
      </c>
      <c r="E1244">
        <v>213</v>
      </c>
      <c r="F1244">
        <v>20</v>
      </c>
      <c r="G1244">
        <f t="shared" si="57"/>
        <v>4260</v>
      </c>
      <c r="H1244">
        <v>12</v>
      </c>
      <c r="I1244">
        <f t="shared" si="58"/>
        <v>2556</v>
      </c>
      <c r="J1244">
        <f t="shared" si="59"/>
        <v>1704</v>
      </c>
      <c r="K1244" t="s">
        <v>42</v>
      </c>
      <c r="L1244" t="s">
        <v>63</v>
      </c>
      <c r="M1244" t="s">
        <v>26</v>
      </c>
      <c r="N1244" t="s">
        <v>38</v>
      </c>
      <c r="O1244">
        <v>812</v>
      </c>
      <c r="P1244">
        <v>213</v>
      </c>
      <c r="Q1244" t="s">
        <v>94</v>
      </c>
      <c r="R1244" t="s">
        <v>75</v>
      </c>
      <c r="S1244" t="s">
        <v>95</v>
      </c>
      <c r="T1244">
        <v>2020</v>
      </c>
      <c r="U1244" t="s">
        <v>91</v>
      </c>
    </row>
    <row r="1245" spans="1:21" x14ac:dyDescent="0.35">
      <c r="A1245" s="1">
        <v>45835</v>
      </c>
      <c r="B1245" t="s">
        <v>58</v>
      </c>
      <c r="C1245" t="s">
        <v>59</v>
      </c>
      <c r="D1245" t="s">
        <v>60</v>
      </c>
      <c r="E1245">
        <v>123</v>
      </c>
      <c r="F1245">
        <v>5</v>
      </c>
      <c r="G1245">
        <f t="shared" si="57"/>
        <v>615</v>
      </c>
      <c r="H1245">
        <v>3</v>
      </c>
      <c r="I1245">
        <f t="shared" si="58"/>
        <v>369</v>
      </c>
      <c r="J1245">
        <f t="shared" si="59"/>
        <v>246</v>
      </c>
      <c r="K1245" t="s">
        <v>35</v>
      </c>
      <c r="L1245" t="s">
        <v>73</v>
      </c>
      <c r="M1245" t="s">
        <v>61</v>
      </c>
      <c r="N1245" t="s">
        <v>43</v>
      </c>
      <c r="O1245">
        <v>557</v>
      </c>
      <c r="P1245">
        <v>123</v>
      </c>
      <c r="Q1245" t="s">
        <v>83</v>
      </c>
      <c r="R1245" t="s">
        <v>84</v>
      </c>
      <c r="S1245" t="s">
        <v>85</v>
      </c>
      <c r="T1245">
        <v>2022</v>
      </c>
      <c r="U1245" t="s">
        <v>57</v>
      </c>
    </row>
    <row r="1246" spans="1:21" x14ac:dyDescent="0.35">
      <c r="A1246" s="1">
        <v>45836</v>
      </c>
      <c r="B1246" t="s">
        <v>48</v>
      </c>
      <c r="C1246" t="s">
        <v>49</v>
      </c>
      <c r="D1246" t="s">
        <v>50</v>
      </c>
      <c r="E1246">
        <v>323</v>
      </c>
      <c r="F1246">
        <v>150</v>
      </c>
      <c r="G1246">
        <f t="shared" si="57"/>
        <v>48450</v>
      </c>
      <c r="H1246">
        <v>100</v>
      </c>
      <c r="I1246">
        <f t="shared" si="58"/>
        <v>32300</v>
      </c>
      <c r="J1246">
        <f t="shared" si="59"/>
        <v>16150</v>
      </c>
      <c r="K1246" t="s">
        <v>24</v>
      </c>
      <c r="L1246" t="s">
        <v>63</v>
      </c>
      <c r="M1246" t="s">
        <v>37</v>
      </c>
      <c r="N1246" t="s">
        <v>43</v>
      </c>
      <c r="O1246">
        <v>690</v>
      </c>
      <c r="P1246">
        <v>323</v>
      </c>
      <c r="Q1246" t="s">
        <v>28</v>
      </c>
      <c r="R1246" t="s">
        <v>29</v>
      </c>
      <c r="S1246" t="s">
        <v>30</v>
      </c>
      <c r="T1246">
        <v>2022</v>
      </c>
      <c r="U1246" t="s">
        <v>91</v>
      </c>
    </row>
    <row r="1247" spans="1:21" x14ac:dyDescent="0.35">
      <c r="A1247" s="1">
        <v>45837</v>
      </c>
      <c r="B1247" t="s">
        <v>58</v>
      </c>
      <c r="C1247" t="s">
        <v>59</v>
      </c>
      <c r="D1247" t="s">
        <v>60</v>
      </c>
      <c r="E1247">
        <v>340</v>
      </c>
      <c r="F1247">
        <v>5</v>
      </c>
      <c r="G1247">
        <f t="shared" si="57"/>
        <v>1700</v>
      </c>
      <c r="H1247">
        <v>3</v>
      </c>
      <c r="I1247">
        <f t="shared" si="58"/>
        <v>1020</v>
      </c>
      <c r="J1247">
        <f t="shared" si="59"/>
        <v>680</v>
      </c>
      <c r="K1247" t="s">
        <v>42</v>
      </c>
      <c r="L1247" t="s">
        <v>73</v>
      </c>
      <c r="M1247" t="s">
        <v>61</v>
      </c>
      <c r="N1247" t="s">
        <v>27</v>
      </c>
      <c r="O1247">
        <v>907</v>
      </c>
      <c r="P1247">
        <v>340</v>
      </c>
      <c r="Q1247" t="s">
        <v>101</v>
      </c>
      <c r="R1247" t="s">
        <v>101</v>
      </c>
      <c r="S1247" t="s">
        <v>102</v>
      </c>
      <c r="T1247">
        <v>2021</v>
      </c>
      <c r="U1247" t="s">
        <v>62</v>
      </c>
    </row>
    <row r="1248" spans="1:21" x14ac:dyDescent="0.35">
      <c r="A1248" s="1">
        <v>45838</v>
      </c>
      <c r="B1248" t="s">
        <v>58</v>
      </c>
      <c r="C1248" t="s">
        <v>59</v>
      </c>
      <c r="D1248" t="s">
        <v>60</v>
      </c>
      <c r="E1248">
        <v>183</v>
      </c>
      <c r="F1248">
        <v>5</v>
      </c>
      <c r="G1248">
        <f t="shared" si="57"/>
        <v>915</v>
      </c>
      <c r="H1248">
        <v>3</v>
      </c>
      <c r="I1248">
        <f t="shared" si="58"/>
        <v>549</v>
      </c>
      <c r="J1248">
        <f t="shared" si="59"/>
        <v>366</v>
      </c>
      <c r="K1248" t="s">
        <v>35</v>
      </c>
      <c r="L1248" t="s">
        <v>63</v>
      </c>
      <c r="M1248" t="s">
        <v>37</v>
      </c>
      <c r="N1248" t="s">
        <v>27</v>
      </c>
      <c r="O1248">
        <v>811</v>
      </c>
      <c r="P1248">
        <v>183</v>
      </c>
      <c r="Q1248" t="s">
        <v>39</v>
      </c>
      <c r="R1248" t="s">
        <v>40</v>
      </c>
      <c r="S1248" t="s">
        <v>41</v>
      </c>
      <c r="T1248">
        <v>2024</v>
      </c>
      <c r="U1248" t="s">
        <v>62</v>
      </c>
    </row>
    <row r="1249" spans="1:21" x14ac:dyDescent="0.35">
      <c r="A1249" s="1">
        <v>45839</v>
      </c>
      <c r="B1249" t="s">
        <v>48</v>
      </c>
      <c r="C1249" t="s">
        <v>49</v>
      </c>
      <c r="D1249" t="s">
        <v>50</v>
      </c>
      <c r="E1249">
        <v>205</v>
      </c>
      <c r="F1249">
        <v>150</v>
      </c>
      <c r="G1249">
        <f t="shared" si="57"/>
        <v>30750</v>
      </c>
      <c r="H1249">
        <v>100</v>
      </c>
      <c r="I1249">
        <f t="shared" si="58"/>
        <v>20500</v>
      </c>
      <c r="J1249">
        <f t="shared" si="59"/>
        <v>10250</v>
      </c>
      <c r="K1249" t="s">
        <v>42</v>
      </c>
      <c r="L1249" t="s">
        <v>63</v>
      </c>
      <c r="M1249" t="s">
        <v>61</v>
      </c>
      <c r="N1249" t="s">
        <v>27</v>
      </c>
      <c r="O1249">
        <v>716</v>
      </c>
      <c r="P1249">
        <v>205</v>
      </c>
      <c r="Q1249" t="s">
        <v>64</v>
      </c>
      <c r="R1249" t="s">
        <v>29</v>
      </c>
      <c r="S1249" t="s">
        <v>65</v>
      </c>
      <c r="T1249">
        <v>2023</v>
      </c>
      <c r="U1249" t="s">
        <v>31</v>
      </c>
    </row>
    <row r="1250" spans="1:21" x14ac:dyDescent="0.35">
      <c r="A1250" s="1">
        <v>45840</v>
      </c>
      <c r="B1250" t="s">
        <v>32</v>
      </c>
      <c r="C1250" t="s">
        <v>33</v>
      </c>
      <c r="D1250" t="s">
        <v>34</v>
      </c>
      <c r="E1250">
        <v>23</v>
      </c>
      <c r="F1250">
        <v>20</v>
      </c>
      <c r="G1250">
        <f t="shared" si="57"/>
        <v>460</v>
      </c>
      <c r="H1250">
        <v>12</v>
      </c>
      <c r="I1250">
        <f t="shared" si="58"/>
        <v>276</v>
      </c>
      <c r="J1250">
        <f t="shared" si="59"/>
        <v>184</v>
      </c>
      <c r="K1250" t="s">
        <v>24</v>
      </c>
      <c r="L1250" t="s">
        <v>63</v>
      </c>
      <c r="M1250" t="s">
        <v>37</v>
      </c>
      <c r="N1250" t="s">
        <v>27</v>
      </c>
      <c r="O1250">
        <v>538</v>
      </c>
      <c r="P1250">
        <v>23</v>
      </c>
      <c r="Q1250" t="s">
        <v>113</v>
      </c>
      <c r="R1250" t="s">
        <v>114</v>
      </c>
      <c r="S1250" t="s">
        <v>115</v>
      </c>
      <c r="T1250">
        <v>2024</v>
      </c>
      <c r="U1250" t="s">
        <v>105</v>
      </c>
    </row>
    <row r="1251" spans="1:21" x14ac:dyDescent="0.35">
      <c r="A1251" s="1">
        <v>45841</v>
      </c>
      <c r="B1251" t="s">
        <v>80</v>
      </c>
      <c r="C1251" t="s">
        <v>81</v>
      </c>
      <c r="D1251" t="s">
        <v>82</v>
      </c>
      <c r="E1251">
        <v>499</v>
      </c>
      <c r="F1251">
        <v>2.5</v>
      </c>
      <c r="G1251">
        <f t="shared" si="57"/>
        <v>1247.5</v>
      </c>
      <c r="H1251">
        <v>1.5</v>
      </c>
      <c r="I1251">
        <f t="shared" si="58"/>
        <v>748.5</v>
      </c>
      <c r="J1251">
        <f t="shared" si="59"/>
        <v>499</v>
      </c>
      <c r="K1251" t="s">
        <v>24</v>
      </c>
      <c r="L1251" t="s">
        <v>25</v>
      </c>
      <c r="M1251" t="s">
        <v>37</v>
      </c>
      <c r="N1251" t="s">
        <v>43</v>
      </c>
      <c r="O1251">
        <v>537</v>
      </c>
      <c r="P1251">
        <v>499</v>
      </c>
      <c r="Q1251" t="s">
        <v>87</v>
      </c>
      <c r="R1251" t="s">
        <v>88</v>
      </c>
      <c r="S1251" t="s">
        <v>89</v>
      </c>
      <c r="T1251">
        <v>2024</v>
      </c>
      <c r="U1251" t="s">
        <v>86</v>
      </c>
    </row>
    <row r="1252" spans="1:21" x14ac:dyDescent="0.35">
      <c r="A1252" s="1">
        <v>45842</v>
      </c>
      <c r="B1252" t="s">
        <v>32</v>
      </c>
      <c r="C1252" t="s">
        <v>33</v>
      </c>
      <c r="D1252" t="s">
        <v>34</v>
      </c>
      <c r="E1252">
        <v>425</v>
      </c>
      <c r="F1252">
        <v>20</v>
      </c>
      <c r="G1252">
        <f t="shared" si="57"/>
        <v>8500</v>
      </c>
      <c r="H1252">
        <v>12</v>
      </c>
      <c r="I1252">
        <f t="shared" si="58"/>
        <v>5100</v>
      </c>
      <c r="J1252">
        <f t="shared" si="59"/>
        <v>3400</v>
      </c>
      <c r="K1252" t="s">
        <v>35</v>
      </c>
      <c r="L1252" t="s">
        <v>73</v>
      </c>
      <c r="M1252" t="s">
        <v>26</v>
      </c>
      <c r="N1252" t="s">
        <v>38</v>
      </c>
      <c r="O1252">
        <v>543</v>
      </c>
      <c r="P1252">
        <v>425</v>
      </c>
      <c r="Q1252" t="s">
        <v>67</v>
      </c>
      <c r="R1252" t="s">
        <v>68</v>
      </c>
      <c r="S1252" t="s">
        <v>69</v>
      </c>
      <c r="T1252">
        <v>2020</v>
      </c>
      <c r="U1252" t="s">
        <v>105</v>
      </c>
    </row>
    <row r="1253" spans="1:21" x14ac:dyDescent="0.35">
      <c r="A1253" s="1">
        <v>45843</v>
      </c>
      <c r="B1253" t="s">
        <v>80</v>
      </c>
      <c r="C1253" t="s">
        <v>81</v>
      </c>
      <c r="D1253" t="s">
        <v>82</v>
      </c>
      <c r="E1253">
        <v>395</v>
      </c>
      <c r="F1253">
        <v>2.5</v>
      </c>
      <c r="G1253">
        <f t="shared" si="57"/>
        <v>987.5</v>
      </c>
      <c r="H1253">
        <v>1.5</v>
      </c>
      <c r="I1253">
        <f t="shared" si="58"/>
        <v>592.5</v>
      </c>
      <c r="J1253">
        <f t="shared" si="59"/>
        <v>395</v>
      </c>
      <c r="K1253" t="s">
        <v>24</v>
      </c>
      <c r="L1253" t="s">
        <v>63</v>
      </c>
      <c r="M1253" t="s">
        <v>26</v>
      </c>
      <c r="N1253" t="s">
        <v>38</v>
      </c>
      <c r="O1253">
        <v>852</v>
      </c>
      <c r="P1253">
        <v>395</v>
      </c>
      <c r="Q1253" t="s">
        <v>51</v>
      </c>
      <c r="R1253" t="s">
        <v>45</v>
      </c>
      <c r="S1253" t="s">
        <v>52</v>
      </c>
      <c r="T1253">
        <v>2024</v>
      </c>
      <c r="U1253" t="s">
        <v>47</v>
      </c>
    </row>
    <row r="1254" spans="1:21" x14ac:dyDescent="0.35">
      <c r="A1254" s="1">
        <v>45844</v>
      </c>
      <c r="B1254" t="s">
        <v>80</v>
      </c>
      <c r="C1254" t="s">
        <v>81</v>
      </c>
      <c r="D1254" t="s">
        <v>82</v>
      </c>
      <c r="E1254">
        <v>229</v>
      </c>
      <c r="F1254">
        <v>2.5</v>
      </c>
      <c r="G1254">
        <f t="shared" si="57"/>
        <v>572.5</v>
      </c>
      <c r="H1254">
        <v>1.5</v>
      </c>
      <c r="I1254">
        <f t="shared" si="58"/>
        <v>343.5</v>
      </c>
      <c r="J1254">
        <f t="shared" si="59"/>
        <v>229</v>
      </c>
      <c r="K1254" t="s">
        <v>35</v>
      </c>
      <c r="L1254" t="s">
        <v>73</v>
      </c>
      <c r="M1254" t="s">
        <v>26</v>
      </c>
      <c r="N1254" t="s">
        <v>38</v>
      </c>
      <c r="O1254">
        <v>967</v>
      </c>
      <c r="P1254">
        <v>229</v>
      </c>
      <c r="Q1254" t="s">
        <v>44</v>
      </c>
      <c r="R1254" t="s">
        <v>45</v>
      </c>
      <c r="S1254" t="s">
        <v>46</v>
      </c>
      <c r="T1254">
        <v>2021</v>
      </c>
      <c r="U1254" t="s">
        <v>96</v>
      </c>
    </row>
    <row r="1255" spans="1:21" x14ac:dyDescent="0.35">
      <c r="A1255" s="1">
        <v>45845</v>
      </c>
      <c r="B1255" t="s">
        <v>21</v>
      </c>
      <c r="C1255" t="s">
        <v>22</v>
      </c>
      <c r="D1255" t="s">
        <v>23</v>
      </c>
      <c r="E1255">
        <v>79</v>
      </c>
      <c r="F1255">
        <v>8</v>
      </c>
      <c r="G1255">
        <f t="shared" si="57"/>
        <v>632</v>
      </c>
      <c r="H1255">
        <v>5</v>
      </c>
      <c r="I1255">
        <f t="shared" si="58"/>
        <v>395</v>
      </c>
      <c r="J1255">
        <f t="shared" si="59"/>
        <v>237</v>
      </c>
      <c r="K1255" t="s">
        <v>35</v>
      </c>
      <c r="L1255" t="s">
        <v>73</v>
      </c>
      <c r="M1255" t="s">
        <v>61</v>
      </c>
      <c r="N1255" t="s">
        <v>27</v>
      </c>
      <c r="O1255">
        <v>536</v>
      </c>
      <c r="P1255">
        <v>79</v>
      </c>
      <c r="Q1255" t="s">
        <v>51</v>
      </c>
      <c r="R1255" t="s">
        <v>45</v>
      </c>
      <c r="S1255" t="s">
        <v>52</v>
      </c>
      <c r="T1255">
        <v>2022</v>
      </c>
      <c r="U1255" t="s">
        <v>66</v>
      </c>
    </row>
    <row r="1256" spans="1:21" x14ac:dyDescent="0.35">
      <c r="A1256" s="1">
        <v>45846</v>
      </c>
      <c r="B1256" t="s">
        <v>98</v>
      </c>
      <c r="C1256" t="s">
        <v>99</v>
      </c>
      <c r="D1256" t="s">
        <v>100</v>
      </c>
      <c r="E1256">
        <v>311</v>
      </c>
      <c r="F1256">
        <v>6</v>
      </c>
      <c r="G1256">
        <f t="shared" si="57"/>
        <v>1866</v>
      </c>
      <c r="H1256">
        <v>4</v>
      </c>
      <c r="I1256">
        <f t="shared" si="58"/>
        <v>1244</v>
      </c>
      <c r="J1256">
        <f t="shared" si="59"/>
        <v>622</v>
      </c>
      <c r="K1256" t="s">
        <v>35</v>
      </c>
      <c r="L1256" t="s">
        <v>25</v>
      </c>
      <c r="M1256" t="s">
        <v>26</v>
      </c>
      <c r="N1256" t="s">
        <v>43</v>
      </c>
      <c r="O1256">
        <v>969</v>
      </c>
      <c r="P1256">
        <v>311</v>
      </c>
      <c r="Q1256" t="s">
        <v>28</v>
      </c>
      <c r="R1256" t="s">
        <v>29</v>
      </c>
      <c r="S1256" t="s">
        <v>30</v>
      </c>
      <c r="T1256">
        <v>2021</v>
      </c>
      <c r="U1256" t="s">
        <v>57</v>
      </c>
    </row>
    <row r="1257" spans="1:21" x14ac:dyDescent="0.35">
      <c r="A1257" s="1">
        <v>45847</v>
      </c>
      <c r="B1257" t="s">
        <v>21</v>
      </c>
      <c r="C1257" t="s">
        <v>22</v>
      </c>
      <c r="D1257" t="s">
        <v>23</v>
      </c>
      <c r="E1257">
        <v>255</v>
      </c>
      <c r="F1257">
        <v>8</v>
      </c>
      <c r="G1257">
        <f t="shared" si="57"/>
        <v>2040</v>
      </c>
      <c r="H1257">
        <v>5</v>
      </c>
      <c r="I1257">
        <f t="shared" si="58"/>
        <v>1275</v>
      </c>
      <c r="J1257">
        <f t="shared" si="59"/>
        <v>765</v>
      </c>
      <c r="K1257" t="s">
        <v>24</v>
      </c>
      <c r="L1257" t="s">
        <v>25</v>
      </c>
      <c r="M1257" t="s">
        <v>61</v>
      </c>
      <c r="N1257" t="s">
        <v>38</v>
      </c>
      <c r="O1257">
        <v>793</v>
      </c>
      <c r="P1257">
        <v>255</v>
      </c>
      <c r="Q1257" t="s">
        <v>67</v>
      </c>
      <c r="R1257" t="s">
        <v>68</v>
      </c>
      <c r="S1257" t="s">
        <v>69</v>
      </c>
      <c r="T1257">
        <v>2024</v>
      </c>
      <c r="U1257" t="s">
        <v>66</v>
      </c>
    </row>
    <row r="1258" spans="1:21" x14ac:dyDescent="0.35">
      <c r="A1258" s="1">
        <v>45848</v>
      </c>
      <c r="B1258" t="s">
        <v>58</v>
      </c>
      <c r="C1258" t="s">
        <v>59</v>
      </c>
      <c r="D1258" t="s">
        <v>60</v>
      </c>
      <c r="E1258">
        <v>14</v>
      </c>
      <c r="F1258">
        <v>5</v>
      </c>
      <c r="G1258">
        <f t="shared" si="57"/>
        <v>70</v>
      </c>
      <c r="H1258">
        <v>3</v>
      </c>
      <c r="I1258">
        <f t="shared" si="58"/>
        <v>42</v>
      </c>
      <c r="J1258">
        <f t="shared" si="59"/>
        <v>28</v>
      </c>
      <c r="K1258" t="s">
        <v>24</v>
      </c>
      <c r="L1258" t="s">
        <v>63</v>
      </c>
      <c r="M1258" t="s">
        <v>37</v>
      </c>
      <c r="N1258" t="s">
        <v>27</v>
      </c>
      <c r="O1258">
        <v>873</v>
      </c>
      <c r="P1258">
        <v>14</v>
      </c>
      <c r="Q1258" t="s">
        <v>103</v>
      </c>
      <c r="R1258" t="s">
        <v>68</v>
      </c>
      <c r="S1258" t="s">
        <v>104</v>
      </c>
      <c r="T1258">
        <v>2021</v>
      </c>
      <c r="U1258" t="s">
        <v>105</v>
      </c>
    </row>
    <row r="1259" spans="1:21" x14ac:dyDescent="0.35">
      <c r="A1259" s="1">
        <v>45849</v>
      </c>
      <c r="B1259" t="s">
        <v>32</v>
      </c>
      <c r="C1259" t="s">
        <v>33</v>
      </c>
      <c r="D1259" t="s">
        <v>34</v>
      </c>
      <c r="E1259">
        <v>122</v>
      </c>
      <c r="F1259">
        <v>20</v>
      </c>
      <c r="G1259">
        <f t="shared" si="57"/>
        <v>2440</v>
      </c>
      <c r="H1259">
        <v>12</v>
      </c>
      <c r="I1259">
        <f t="shared" si="58"/>
        <v>1464</v>
      </c>
      <c r="J1259">
        <f t="shared" si="59"/>
        <v>976</v>
      </c>
      <c r="K1259" t="s">
        <v>42</v>
      </c>
      <c r="L1259" t="s">
        <v>73</v>
      </c>
      <c r="M1259" t="s">
        <v>26</v>
      </c>
      <c r="N1259" t="s">
        <v>43</v>
      </c>
      <c r="O1259">
        <v>969</v>
      </c>
      <c r="P1259">
        <v>122</v>
      </c>
      <c r="Q1259" t="s">
        <v>101</v>
      </c>
      <c r="R1259" t="s">
        <v>101</v>
      </c>
      <c r="S1259" t="s">
        <v>102</v>
      </c>
      <c r="T1259">
        <v>2023</v>
      </c>
      <c r="U1259" t="s">
        <v>86</v>
      </c>
    </row>
    <row r="1260" spans="1:21" x14ac:dyDescent="0.35">
      <c r="A1260" s="1">
        <v>45850</v>
      </c>
      <c r="B1260" t="s">
        <v>32</v>
      </c>
      <c r="C1260" t="s">
        <v>33</v>
      </c>
      <c r="D1260" t="s">
        <v>34</v>
      </c>
      <c r="E1260">
        <v>471</v>
      </c>
      <c r="F1260">
        <v>20</v>
      </c>
      <c r="G1260">
        <f t="shared" si="57"/>
        <v>9420</v>
      </c>
      <c r="H1260">
        <v>12</v>
      </c>
      <c r="I1260">
        <f t="shared" si="58"/>
        <v>5652</v>
      </c>
      <c r="J1260">
        <f t="shared" si="59"/>
        <v>3768</v>
      </c>
      <c r="K1260" t="s">
        <v>42</v>
      </c>
      <c r="L1260" t="s">
        <v>25</v>
      </c>
      <c r="M1260" t="s">
        <v>37</v>
      </c>
      <c r="N1260" t="s">
        <v>38</v>
      </c>
      <c r="O1260">
        <v>518</v>
      </c>
      <c r="P1260">
        <v>471</v>
      </c>
      <c r="Q1260" t="s">
        <v>90</v>
      </c>
      <c r="R1260" t="s">
        <v>55</v>
      </c>
      <c r="S1260" t="s">
        <v>85</v>
      </c>
      <c r="T1260">
        <v>2020</v>
      </c>
      <c r="U1260" t="s">
        <v>47</v>
      </c>
    </row>
    <row r="1261" spans="1:21" x14ac:dyDescent="0.35">
      <c r="A1261" s="1">
        <v>45851</v>
      </c>
      <c r="B1261" t="s">
        <v>58</v>
      </c>
      <c r="C1261" t="s">
        <v>59</v>
      </c>
      <c r="D1261" t="s">
        <v>60</v>
      </c>
      <c r="E1261">
        <v>318</v>
      </c>
      <c r="F1261">
        <v>5</v>
      </c>
      <c r="G1261">
        <f t="shared" si="57"/>
        <v>1590</v>
      </c>
      <c r="H1261">
        <v>3</v>
      </c>
      <c r="I1261">
        <f t="shared" si="58"/>
        <v>954</v>
      </c>
      <c r="J1261">
        <f t="shared" si="59"/>
        <v>636</v>
      </c>
      <c r="K1261" t="s">
        <v>42</v>
      </c>
      <c r="L1261" t="s">
        <v>25</v>
      </c>
      <c r="M1261" t="s">
        <v>26</v>
      </c>
      <c r="N1261" t="s">
        <v>38</v>
      </c>
      <c r="O1261">
        <v>590</v>
      </c>
      <c r="P1261">
        <v>318</v>
      </c>
      <c r="Q1261" t="s">
        <v>94</v>
      </c>
      <c r="R1261" t="s">
        <v>75</v>
      </c>
      <c r="S1261" t="s">
        <v>95</v>
      </c>
      <c r="T1261">
        <v>2020</v>
      </c>
      <c r="U1261" t="s">
        <v>31</v>
      </c>
    </row>
    <row r="1262" spans="1:21" x14ac:dyDescent="0.35">
      <c r="A1262" s="1">
        <v>45852</v>
      </c>
      <c r="B1262" t="s">
        <v>21</v>
      </c>
      <c r="C1262" t="s">
        <v>22</v>
      </c>
      <c r="D1262" t="s">
        <v>23</v>
      </c>
      <c r="E1262">
        <v>339</v>
      </c>
      <c r="F1262">
        <v>8</v>
      </c>
      <c r="G1262">
        <f t="shared" si="57"/>
        <v>2712</v>
      </c>
      <c r="H1262">
        <v>5</v>
      </c>
      <c r="I1262">
        <f t="shared" si="58"/>
        <v>1695</v>
      </c>
      <c r="J1262">
        <f t="shared" si="59"/>
        <v>1017</v>
      </c>
      <c r="K1262" t="s">
        <v>35</v>
      </c>
      <c r="L1262" t="s">
        <v>25</v>
      </c>
      <c r="M1262" t="s">
        <v>61</v>
      </c>
      <c r="N1262" t="s">
        <v>43</v>
      </c>
      <c r="O1262">
        <v>774</v>
      </c>
      <c r="P1262">
        <v>339</v>
      </c>
      <c r="Q1262" t="s">
        <v>44</v>
      </c>
      <c r="R1262" t="s">
        <v>45</v>
      </c>
      <c r="S1262" t="s">
        <v>46</v>
      </c>
      <c r="T1262">
        <v>2020</v>
      </c>
      <c r="U1262" t="s">
        <v>91</v>
      </c>
    </row>
    <row r="1263" spans="1:21" x14ac:dyDescent="0.35">
      <c r="A1263" s="1">
        <v>45853</v>
      </c>
      <c r="B1263" t="s">
        <v>21</v>
      </c>
      <c r="C1263" t="s">
        <v>22</v>
      </c>
      <c r="D1263" t="s">
        <v>23</v>
      </c>
      <c r="E1263">
        <v>143</v>
      </c>
      <c r="F1263">
        <v>8</v>
      </c>
      <c r="G1263">
        <f t="shared" si="57"/>
        <v>1144</v>
      </c>
      <c r="H1263">
        <v>5</v>
      </c>
      <c r="I1263">
        <f t="shared" si="58"/>
        <v>715</v>
      </c>
      <c r="J1263">
        <f t="shared" si="59"/>
        <v>429</v>
      </c>
      <c r="K1263" t="s">
        <v>42</v>
      </c>
      <c r="L1263" t="s">
        <v>63</v>
      </c>
      <c r="M1263" t="s">
        <v>37</v>
      </c>
      <c r="N1263" t="s">
        <v>38</v>
      </c>
      <c r="O1263">
        <v>949</v>
      </c>
      <c r="P1263">
        <v>143</v>
      </c>
      <c r="Q1263" t="s">
        <v>90</v>
      </c>
      <c r="R1263" t="s">
        <v>55</v>
      </c>
      <c r="S1263" t="s">
        <v>85</v>
      </c>
      <c r="T1263">
        <v>2021</v>
      </c>
      <c r="U1263" t="s">
        <v>53</v>
      </c>
    </row>
    <row r="1264" spans="1:21" x14ac:dyDescent="0.35">
      <c r="A1264" s="1">
        <v>45854</v>
      </c>
      <c r="B1264" t="s">
        <v>80</v>
      </c>
      <c r="C1264" t="s">
        <v>81</v>
      </c>
      <c r="D1264" t="s">
        <v>82</v>
      </c>
      <c r="E1264">
        <v>456</v>
      </c>
      <c r="F1264">
        <v>2.5</v>
      </c>
      <c r="G1264">
        <f t="shared" si="57"/>
        <v>1140</v>
      </c>
      <c r="H1264">
        <v>1.5</v>
      </c>
      <c r="I1264">
        <f t="shared" si="58"/>
        <v>684</v>
      </c>
      <c r="J1264">
        <f t="shared" si="59"/>
        <v>456</v>
      </c>
      <c r="K1264" t="s">
        <v>42</v>
      </c>
      <c r="L1264" t="s">
        <v>63</v>
      </c>
      <c r="M1264" t="s">
        <v>37</v>
      </c>
      <c r="N1264" t="s">
        <v>27</v>
      </c>
      <c r="O1264">
        <v>791</v>
      </c>
      <c r="P1264">
        <v>456</v>
      </c>
      <c r="Q1264" t="s">
        <v>83</v>
      </c>
      <c r="R1264" t="s">
        <v>84</v>
      </c>
      <c r="S1264" t="s">
        <v>85</v>
      </c>
      <c r="T1264">
        <v>2020</v>
      </c>
      <c r="U1264" t="s">
        <v>105</v>
      </c>
    </row>
    <row r="1265" spans="1:21" x14ac:dyDescent="0.35">
      <c r="A1265" s="1">
        <v>45855</v>
      </c>
      <c r="B1265" t="s">
        <v>48</v>
      </c>
      <c r="C1265" t="s">
        <v>49</v>
      </c>
      <c r="D1265" t="s">
        <v>50</v>
      </c>
      <c r="E1265">
        <v>197</v>
      </c>
      <c r="F1265">
        <v>150</v>
      </c>
      <c r="G1265">
        <f t="shared" si="57"/>
        <v>29550</v>
      </c>
      <c r="H1265">
        <v>100</v>
      </c>
      <c r="I1265">
        <f t="shared" si="58"/>
        <v>19700</v>
      </c>
      <c r="J1265">
        <f t="shared" si="59"/>
        <v>9850</v>
      </c>
      <c r="K1265" t="s">
        <v>35</v>
      </c>
      <c r="L1265" t="s">
        <v>25</v>
      </c>
      <c r="M1265" t="s">
        <v>37</v>
      </c>
      <c r="N1265" t="s">
        <v>27</v>
      </c>
      <c r="O1265">
        <v>990</v>
      </c>
      <c r="P1265">
        <v>197</v>
      </c>
      <c r="Q1265" t="s">
        <v>67</v>
      </c>
      <c r="R1265" t="s">
        <v>68</v>
      </c>
      <c r="S1265" t="s">
        <v>69</v>
      </c>
      <c r="T1265">
        <v>2020</v>
      </c>
      <c r="U1265" t="s">
        <v>47</v>
      </c>
    </row>
    <row r="1266" spans="1:21" x14ac:dyDescent="0.35">
      <c r="A1266" s="1">
        <v>45856</v>
      </c>
      <c r="B1266" t="s">
        <v>98</v>
      </c>
      <c r="C1266" t="s">
        <v>99</v>
      </c>
      <c r="D1266" t="s">
        <v>100</v>
      </c>
      <c r="E1266">
        <v>326</v>
      </c>
      <c r="F1266">
        <v>6</v>
      </c>
      <c r="G1266">
        <f t="shared" si="57"/>
        <v>1956</v>
      </c>
      <c r="H1266">
        <v>4</v>
      </c>
      <c r="I1266">
        <f t="shared" si="58"/>
        <v>1304</v>
      </c>
      <c r="J1266">
        <f t="shared" si="59"/>
        <v>652</v>
      </c>
      <c r="K1266" t="s">
        <v>42</v>
      </c>
      <c r="L1266" t="s">
        <v>25</v>
      </c>
      <c r="M1266" t="s">
        <v>37</v>
      </c>
      <c r="N1266" t="s">
        <v>43</v>
      </c>
      <c r="O1266">
        <v>952</v>
      </c>
      <c r="P1266">
        <v>326</v>
      </c>
      <c r="Q1266" t="s">
        <v>51</v>
      </c>
      <c r="R1266" t="s">
        <v>45</v>
      </c>
      <c r="S1266" t="s">
        <v>52</v>
      </c>
      <c r="T1266">
        <v>2020</v>
      </c>
      <c r="U1266" t="s">
        <v>47</v>
      </c>
    </row>
    <row r="1267" spans="1:21" x14ac:dyDescent="0.35">
      <c r="A1267" s="1">
        <v>45857</v>
      </c>
      <c r="B1267" t="s">
        <v>32</v>
      </c>
      <c r="C1267" t="s">
        <v>33</v>
      </c>
      <c r="D1267" t="s">
        <v>34</v>
      </c>
      <c r="E1267">
        <v>470</v>
      </c>
      <c r="F1267">
        <v>20</v>
      </c>
      <c r="G1267">
        <f t="shared" si="57"/>
        <v>9400</v>
      </c>
      <c r="H1267">
        <v>12</v>
      </c>
      <c r="I1267">
        <f t="shared" si="58"/>
        <v>5640</v>
      </c>
      <c r="J1267">
        <f t="shared" si="59"/>
        <v>3760</v>
      </c>
      <c r="K1267" t="s">
        <v>42</v>
      </c>
      <c r="L1267" t="s">
        <v>25</v>
      </c>
      <c r="M1267" t="s">
        <v>37</v>
      </c>
      <c r="N1267" t="s">
        <v>38</v>
      </c>
      <c r="O1267">
        <v>588</v>
      </c>
      <c r="P1267">
        <v>470</v>
      </c>
      <c r="Q1267" t="s">
        <v>64</v>
      </c>
      <c r="R1267" t="s">
        <v>29</v>
      </c>
      <c r="S1267" t="s">
        <v>65</v>
      </c>
      <c r="T1267">
        <v>2022</v>
      </c>
      <c r="U1267" t="s">
        <v>31</v>
      </c>
    </row>
    <row r="1268" spans="1:21" x14ac:dyDescent="0.35">
      <c r="A1268" s="1">
        <v>45858</v>
      </c>
      <c r="B1268" t="s">
        <v>58</v>
      </c>
      <c r="C1268" t="s">
        <v>59</v>
      </c>
      <c r="D1268" t="s">
        <v>60</v>
      </c>
      <c r="E1268">
        <v>49</v>
      </c>
      <c r="F1268">
        <v>5</v>
      </c>
      <c r="G1268">
        <f t="shared" si="57"/>
        <v>245</v>
      </c>
      <c r="H1268">
        <v>3</v>
      </c>
      <c r="I1268">
        <f t="shared" si="58"/>
        <v>147</v>
      </c>
      <c r="J1268">
        <f t="shared" si="59"/>
        <v>98</v>
      </c>
      <c r="K1268" t="s">
        <v>42</v>
      </c>
      <c r="L1268" t="s">
        <v>25</v>
      </c>
      <c r="M1268" t="s">
        <v>26</v>
      </c>
      <c r="N1268" t="s">
        <v>27</v>
      </c>
      <c r="O1268">
        <v>908</v>
      </c>
      <c r="P1268">
        <v>49</v>
      </c>
      <c r="Q1268" t="s">
        <v>28</v>
      </c>
      <c r="R1268" t="s">
        <v>29</v>
      </c>
      <c r="S1268" t="s">
        <v>30</v>
      </c>
      <c r="T1268">
        <v>2020</v>
      </c>
      <c r="U1268" t="s">
        <v>62</v>
      </c>
    </row>
    <row r="1269" spans="1:21" x14ac:dyDescent="0.35">
      <c r="A1269" s="1">
        <v>45859</v>
      </c>
      <c r="B1269" t="s">
        <v>98</v>
      </c>
      <c r="C1269" t="s">
        <v>99</v>
      </c>
      <c r="D1269" t="s">
        <v>100</v>
      </c>
      <c r="E1269">
        <v>326</v>
      </c>
      <c r="F1269">
        <v>6</v>
      </c>
      <c r="G1269">
        <f t="shared" si="57"/>
        <v>1956</v>
      </c>
      <c r="H1269">
        <v>4</v>
      </c>
      <c r="I1269">
        <f t="shared" si="58"/>
        <v>1304</v>
      </c>
      <c r="J1269">
        <f t="shared" si="59"/>
        <v>652</v>
      </c>
      <c r="K1269" t="s">
        <v>35</v>
      </c>
      <c r="L1269" t="s">
        <v>25</v>
      </c>
      <c r="M1269" t="s">
        <v>26</v>
      </c>
      <c r="N1269" t="s">
        <v>27</v>
      </c>
      <c r="O1269">
        <v>648</v>
      </c>
      <c r="P1269">
        <v>326</v>
      </c>
      <c r="Q1269" t="s">
        <v>110</v>
      </c>
      <c r="R1269" t="s">
        <v>111</v>
      </c>
      <c r="S1269" t="s">
        <v>112</v>
      </c>
      <c r="T1269">
        <v>2023</v>
      </c>
      <c r="U1269" t="s">
        <v>31</v>
      </c>
    </row>
    <row r="1270" spans="1:21" x14ac:dyDescent="0.35">
      <c r="A1270" s="1">
        <v>45860</v>
      </c>
      <c r="B1270" t="s">
        <v>80</v>
      </c>
      <c r="C1270" t="s">
        <v>81</v>
      </c>
      <c r="D1270" t="s">
        <v>82</v>
      </c>
      <c r="E1270">
        <v>128</v>
      </c>
      <c r="F1270">
        <v>2.5</v>
      </c>
      <c r="G1270">
        <f t="shared" si="57"/>
        <v>320</v>
      </c>
      <c r="H1270">
        <v>1.5</v>
      </c>
      <c r="I1270">
        <f t="shared" si="58"/>
        <v>192</v>
      </c>
      <c r="J1270">
        <f t="shared" si="59"/>
        <v>128</v>
      </c>
      <c r="K1270" t="s">
        <v>42</v>
      </c>
      <c r="L1270" t="s">
        <v>73</v>
      </c>
      <c r="M1270" t="s">
        <v>37</v>
      </c>
      <c r="N1270" t="s">
        <v>27</v>
      </c>
      <c r="O1270">
        <v>846</v>
      </c>
      <c r="P1270">
        <v>128</v>
      </c>
      <c r="Q1270" t="s">
        <v>101</v>
      </c>
      <c r="R1270" t="s">
        <v>101</v>
      </c>
      <c r="S1270" t="s">
        <v>102</v>
      </c>
      <c r="T1270">
        <v>2020</v>
      </c>
      <c r="U1270" t="s">
        <v>97</v>
      </c>
    </row>
    <row r="1271" spans="1:21" x14ac:dyDescent="0.35">
      <c r="A1271" s="1">
        <v>45861</v>
      </c>
      <c r="B1271" t="s">
        <v>32</v>
      </c>
      <c r="C1271" t="s">
        <v>33</v>
      </c>
      <c r="D1271" t="s">
        <v>34</v>
      </c>
      <c r="E1271">
        <v>93</v>
      </c>
      <c r="F1271">
        <v>20</v>
      </c>
      <c r="G1271">
        <f t="shared" si="57"/>
        <v>1860</v>
      </c>
      <c r="H1271">
        <v>12</v>
      </c>
      <c r="I1271">
        <f t="shared" si="58"/>
        <v>1116</v>
      </c>
      <c r="J1271">
        <f t="shared" si="59"/>
        <v>744</v>
      </c>
      <c r="K1271" t="s">
        <v>24</v>
      </c>
      <c r="L1271" t="s">
        <v>25</v>
      </c>
      <c r="M1271" t="s">
        <v>26</v>
      </c>
      <c r="N1271" t="s">
        <v>38</v>
      </c>
      <c r="O1271">
        <v>616</v>
      </c>
      <c r="P1271">
        <v>93</v>
      </c>
      <c r="Q1271" t="s">
        <v>64</v>
      </c>
      <c r="R1271" t="s">
        <v>29</v>
      </c>
      <c r="S1271" t="s">
        <v>65</v>
      </c>
      <c r="T1271">
        <v>2023</v>
      </c>
      <c r="U1271" t="s">
        <v>105</v>
      </c>
    </row>
    <row r="1272" spans="1:21" x14ac:dyDescent="0.35">
      <c r="A1272" s="1">
        <v>45862</v>
      </c>
      <c r="B1272" t="s">
        <v>58</v>
      </c>
      <c r="C1272" t="s">
        <v>59</v>
      </c>
      <c r="D1272" t="s">
        <v>60</v>
      </c>
      <c r="E1272">
        <v>311</v>
      </c>
      <c r="F1272">
        <v>5</v>
      </c>
      <c r="G1272">
        <f t="shared" si="57"/>
        <v>1555</v>
      </c>
      <c r="H1272">
        <v>3</v>
      </c>
      <c r="I1272">
        <f t="shared" si="58"/>
        <v>933</v>
      </c>
      <c r="J1272">
        <f t="shared" si="59"/>
        <v>622</v>
      </c>
      <c r="K1272" t="s">
        <v>42</v>
      </c>
      <c r="L1272" t="s">
        <v>36</v>
      </c>
      <c r="M1272" t="s">
        <v>26</v>
      </c>
      <c r="N1272" t="s">
        <v>27</v>
      </c>
      <c r="O1272">
        <v>601</v>
      </c>
      <c r="P1272">
        <v>311</v>
      </c>
      <c r="Q1272" t="s">
        <v>94</v>
      </c>
      <c r="R1272" t="s">
        <v>75</v>
      </c>
      <c r="S1272" t="s">
        <v>95</v>
      </c>
      <c r="T1272">
        <v>2022</v>
      </c>
      <c r="U1272" t="s">
        <v>57</v>
      </c>
    </row>
    <row r="1273" spans="1:21" x14ac:dyDescent="0.35">
      <c r="A1273" s="1">
        <v>45863</v>
      </c>
      <c r="B1273" t="s">
        <v>58</v>
      </c>
      <c r="C1273" t="s">
        <v>59</v>
      </c>
      <c r="D1273" t="s">
        <v>60</v>
      </c>
      <c r="E1273">
        <v>156</v>
      </c>
      <c r="F1273">
        <v>5</v>
      </c>
      <c r="G1273">
        <f t="shared" si="57"/>
        <v>780</v>
      </c>
      <c r="H1273">
        <v>3</v>
      </c>
      <c r="I1273">
        <f t="shared" si="58"/>
        <v>468</v>
      </c>
      <c r="J1273">
        <f t="shared" si="59"/>
        <v>312</v>
      </c>
      <c r="K1273" t="s">
        <v>35</v>
      </c>
      <c r="L1273" t="s">
        <v>63</v>
      </c>
      <c r="M1273" t="s">
        <v>61</v>
      </c>
      <c r="N1273" t="s">
        <v>27</v>
      </c>
      <c r="O1273">
        <v>942</v>
      </c>
      <c r="P1273">
        <v>156</v>
      </c>
      <c r="Q1273" t="s">
        <v>106</v>
      </c>
      <c r="R1273" t="s">
        <v>107</v>
      </c>
      <c r="S1273" t="s">
        <v>108</v>
      </c>
      <c r="T1273">
        <v>2021</v>
      </c>
      <c r="U1273" t="s">
        <v>31</v>
      </c>
    </row>
    <row r="1274" spans="1:21" x14ac:dyDescent="0.35">
      <c r="A1274" s="1">
        <v>45864</v>
      </c>
      <c r="B1274" t="s">
        <v>58</v>
      </c>
      <c r="C1274" t="s">
        <v>59</v>
      </c>
      <c r="D1274" t="s">
        <v>60</v>
      </c>
      <c r="E1274">
        <v>184</v>
      </c>
      <c r="F1274">
        <v>5</v>
      </c>
      <c r="G1274">
        <f t="shared" si="57"/>
        <v>920</v>
      </c>
      <c r="H1274">
        <v>3</v>
      </c>
      <c r="I1274">
        <f t="shared" si="58"/>
        <v>552</v>
      </c>
      <c r="J1274">
        <f t="shared" si="59"/>
        <v>368</v>
      </c>
      <c r="K1274" t="s">
        <v>35</v>
      </c>
      <c r="L1274" t="s">
        <v>73</v>
      </c>
      <c r="M1274" t="s">
        <v>26</v>
      </c>
      <c r="N1274" t="s">
        <v>38</v>
      </c>
      <c r="O1274">
        <v>857</v>
      </c>
      <c r="P1274">
        <v>184</v>
      </c>
      <c r="Q1274" t="s">
        <v>67</v>
      </c>
      <c r="R1274" t="s">
        <v>68</v>
      </c>
      <c r="S1274" t="s">
        <v>69</v>
      </c>
      <c r="T1274">
        <v>2023</v>
      </c>
      <c r="U1274" t="s">
        <v>62</v>
      </c>
    </row>
    <row r="1275" spans="1:21" x14ac:dyDescent="0.35">
      <c r="A1275" s="1">
        <v>45865</v>
      </c>
      <c r="B1275" t="s">
        <v>32</v>
      </c>
      <c r="C1275" t="s">
        <v>33</v>
      </c>
      <c r="D1275" t="s">
        <v>34</v>
      </c>
      <c r="E1275">
        <v>39</v>
      </c>
      <c r="F1275">
        <v>20</v>
      </c>
      <c r="G1275">
        <f t="shared" si="57"/>
        <v>780</v>
      </c>
      <c r="H1275">
        <v>12</v>
      </c>
      <c r="I1275">
        <f t="shared" si="58"/>
        <v>468</v>
      </c>
      <c r="J1275">
        <f t="shared" si="59"/>
        <v>312</v>
      </c>
      <c r="K1275" t="s">
        <v>24</v>
      </c>
      <c r="L1275" t="s">
        <v>25</v>
      </c>
      <c r="M1275" t="s">
        <v>37</v>
      </c>
      <c r="N1275" t="s">
        <v>43</v>
      </c>
      <c r="O1275">
        <v>505</v>
      </c>
      <c r="P1275">
        <v>39</v>
      </c>
      <c r="Q1275" t="s">
        <v>64</v>
      </c>
      <c r="R1275" t="s">
        <v>29</v>
      </c>
      <c r="S1275" t="s">
        <v>65</v>
      </c>
      <c r="T1275">
        <v>2024</v>
      </c>
      <c r="U1275" t="s">
        <v>53</v>
      </c>
    </row>
    <row r="1276" spans="1:21" x14ac:dyDescent="0.35">
      <c r="A1276" s="1">
        <v>45866</v>
      </c>
      <c r="B1276" t="s">
        <v>80</v>
      </c>
      <c r="C1276" t="s">
        <v>81</v>
      </c>
      <c r="D1276" t="s">
        <v>82</v>
      </c>
      <c r="E1276">
        <v>107</v>
      </c>
      <c r="F1276">
        <v>2.5</v>
      </c>
      <c r="G1276">
        <f t="shared" si="57"/>
        <v>267.5</v>
      </c>
      <c r="H1276">
        <v>1.5</v>
      </c>
      <c r="I1276">
        <f t="shared" si="58"/>
        <v>160.5</v>
      </c>
      <c r="J1276">
        <f t="shared" si="59"/>
        <v>107</v>
      </c>
      <c r="K1276" t="s">
        <v>35</v>
      </c>
      <c r="L1276" t="s">
        <v>73</v>
      </c>
      <c r="M1276" t="s">
        <v>61</v>
      </c>
      <c r="N1276" t="s">
        <v>27</v>
      </c>
      <c r="O1276">
        <v>825</v>
      </c>
      <c r="P1276">
        <v>107</v>
      </c>
      <c r="Q1276" t="s">
        <v>39</v>
      </c>
      <c r="R1276" t="s">
        <v>40</v>
      </c>
      <c r="S1276" t="s">
        <v>41</v>
      </c>
      <c r="T1276">
        <v>2023</v>
      </c>
      <c r="U1276" t="s">
        <v>31</v>
      </c>
    </row>
    <row r="1277" spans="1:21" x14ac:dyDescent="0.35">
      <c r="A1277" s="1">
        <v>45867</v>
      </c>
      <c r="B1277" t="s">
        <v>80</v>
      </c>
      <c r="C1277" t="s">
        <v>81</v>
      </c>
      <c r="D1277" t="s">
        <v>82</v>
      </c>
      <c r="E1277">
        <v>321</v>
      </c>
      <c r="F1277">
        <v>2.5</v>
      </c>
      <c r="G1277">
        <f t="shared" si="57"/>
        <v>802.5</v>
      </c>
      <c r="H1277">
        <v>1.5</v>
      </c>
      <c r="I1277">
        <f t="shared" si="58"/>
        <v>481.5</v>
      </c>
      <c r="J1277">
        <f t="shared" si="59"/>
        <v>321</v>
      </c>
      <c r="K1277" t="s">
        <v>35</v>
      </c>
      <c r="L1277" t="s">
        <v>25</v>
      </c>
      <c r="M1277" t="s">
        <v>37</v>
      </c>
      <c r="N1277" t="s">
        <v>38</v>
      </c>
      <c r="O1277">
        <v>918</v>
      </c>
      <c r="P1277">
        <v>321</v>
      </c>
      <c r="Q1277" t="s">
        <v>113</v>
      </c>
      <c r="R1277" t="s">
        <v>114</v>
      </c>
      <c r="S1277" t="s">
        <v>115</v>
      </c>
      <c r="T1277">
        <v>2020</v>
      </c>
      <c r="U1277" t="s">
        <v>91</v>
      </c>
    </row>
    <row r="1278" spans="1:21" x14ac:dyDescent="0.35">
      <c r="A1278" s="1">
        <v>45868</v>
      </c>
      <c r="B1278" t="s">
        <v>80</v>
      </c>
      <c r="C1278" t="s">
        <v>81</v>
      </c>
      <c r="D1278" t="s">
        <v>82</v>
      </c>
      <c r="E1278">
        <v>69</v>
      </c>
      <c r="F1278">
        <v>2.5</v>
      </c>
      <c r="G1278">
        <f t="shared" si="57"/>
        <v>172.5</v>
      </c>
      <c r="H1278">
        <v>1.5</v>
      </c>
      <c r="I1278">
        <f t="shared" si="58"/>
        <v>103.5</v>
      </c>
      <c r="J1278">
        <f t="shared" si="59"/>
        <v>69</v>
      </c>
      <c r="K1278" t="s">
        <v>24</v>
      </c>
      <c r="L1278" t="s">
        <v>73</v>
      </c>
      <c r="M1278" t="s">
        <v>26</v>
      </c>
      <c r="N1278" t="s">
        <v>43</v>
      </c>
      <c r="O1278">
        <v>780</v>
      </c>
      <c r="P1278">
        <v>69</v>
      </c>
      <c r="Q1278" t="s">
        <v>106</v>
      </c>
      <c r="R1278" t="s">
        <v>107</v>
      </c>
      <c r="S1278" t="s">
        <v>108</v>
      </c>
      <c r="T1278">
        <v>2021</v>
      </c>
      <c r="U1278" t="s">
        <v>57</v>
      </c>
    </row>
    <row r="1279" spans="1:21" x14ac:dyDescent="0.35">
      <c r="A1279" s="1">
        <v>45869</v>
      </c>
      <c r="B1279" t="s">
        <v>98</v>
      </c>
      <c r="C1279" t="s">
        <v>99</v>
      </c>
      <c r="D1279" t="s">
        <v>100</v>
      </c>
      <c r="E1279">
        <v>84</v>
      </c>
      <c r="F1279">
        <v>6</v>
      </c>
      <c r="G1279">
        <f t="shared" si="57"/>
        <v>504</v>
      </c>
      <c r="H1279">
        <v>4</v>
      </c>
      <c r="I1279">
        <f t="shared" si="58"/>
        <v>336</v>
      </c>
      <c r="J1279">
        <f t="shared" si="59"/>
        <v>168</v>
      </c>
      <c r="K1279" t="s">
        <v>42</v>
      </c>
      <c r="L1279" t="s">
        <v>73</v>
      </c>
      <c r="M1279" t="s">
        <v>26</v>
      </c>
      <c r="N1279" t="s">
        <v>38</v>
      </c>
      <c r="O1279">
        <v>844</v>
      </c>
      <c r="P1279">
        <v>84</v>
      </c>
      <c r="Q1279" t="s">
        <v>87</v>
      </c>
      <c r="R1279" t="s">
        <v>88</v>
      </c>
      <c r="S1279" t="s">
        <v>89</v>
      </c>
      <c r="T1279">
        <v>2021</v>
      </c>
      <c r="U1279" t="s">
        <v>53</v>
      </c>
    </row>
    <row r="1280" spans="1:21" x14ac:dyDescent="0.35">
      <c r="A1280" s="1">
        <v>45870</v>
      </c>
      <c r="B1280" t="s">
        <v>98</v>
      </c>
      <c r="C1280" t="s">
        <v>99</v>
      </c>
      <c r="D1280" t="s">
        <v>100</v>
      </c>
      <c r="E1280">
        <v>164</v>
      </c>
      <c r="F1280">
        <v>6</v>
      </c>
      <c r="G1280">
        <f t="shared" si="57"/>
        <v>984</v>
      </c>
      <c r="H1280">
        <v>4</v>
      </c>
      <c r="I1280">
        <f t="shared" si="58"/>
        <v>656</v>
      </c>
      <c r="J1280">
        <f t="shared" si="59"/>
        <v>328</v>
      </c>
      <c r="K1280" t="s">
        <v>24</v>
      </c>
      <c r="L1280" t="s">
        <v>25</v>
      </c>
      <c r="M1280" t="s">
        <v>61</v>
      </c>
      <c r="N1280" t="s">
        <v>27</v>
      </c>
      <c r="O1280">
        <v>732</v>
      </c>
      <c r="P1280">
        <v>164</v>
      </c>
      <c r="Q1280" t="s">
        <v>94</v>
      </c>
      <c r="R1280" t="s">
        <v>75</v>
      </c>
      <c r="S1280" t="s">
        <v>95</v>
      </c>
      <c r="T1280">
        <v>2020</v>
      </c>
      <c r="U1280" t="s">
        <v>57</v>
      </c>
    </row>
    <row r="1281" spans="1:21" x14ac:dyDescent="0.35">
      <c r="A1281" s="1">
        <v>45871</v>
      </c>
      <c r="B1281" t="s">
        <v>32</v>
      </c>
      <c r="C1281" t="s">
        <v>33</v>
      </c>
      <c r="D1281" t="s">
        <v>34</v>
      </c>
      <c r="E1281">
        <v>301</v>
      </c>
      <c r="F1281">
        <v>20</v>
      </c>
      <c r="G1281">
        <f t="shared" si="57"/>
        <v>6020</v>
      </c>
      <c r="H1281">
        <v>12</v>
      </c>
      <c r="I1281">
        <f t="shared" si="58"/>
        <v>3612</v>
      </c>
      <c r="J1281">
        <f t="shared" si="59"/>
        <v>2408</v>
      </c>
      <c r="K1281" t="s">
        <v>24</v>
      </c>
      <c r="L1281" t="s">
        <v>73</v>
      </c>
      <c r="M1281" t="s">
        <v>37</v>
      </c>
      <c r="N1281" t="s">
        <v>27</v>
      </c>
      <c r="O1281">
        <v>796</v>
      </c>
      <c r="P1281">
        <v>301</v>
      </c>
      <c r="Q1281" t="s">
        <v>103</v>
      </c>
      <c r="R1281" t="s">
        <v>68</v>
      </c>
      <c r="S1281" t="s">
        <v>104</v>
      </c>
      <c r="T1281">
        <v>2023</v>
      </c>
      <c r="U1281" t="s">
        <v>97</v>
      </c>
    </row>
    <row r="1282" spans="1:21" x14ac:dyDescent="0.35">
      <c r="A1282" s="1">
        <v>45872</v>
      </c>
      <c r="B1282" t="s">
        <v>48</v>
      </c>
      <c r="C1282" t="s">
        <v>49</v>
      </c>
      <c r="D1282" t="s">
        <v>50</v>
      </c>
      <c r="E1282">
        <v>246</v>
      </c>
      <c r="F1282">
        <v>150</v>
      </c>
      <c r="G1282">
        <f t="shared" si="57"/>
        <v>36900</v>
      </c>
      <c r="H1282">
        <v>100</v>
      </c>
      <c r="I1282">
        <f t="shared" si="58"/>
        <v>24600</v>
      </c>
      <c r="J1282">
        <f t="shared" si="59"/>
        <v>12300</v>
      </c>
      <c r="K1282" t="s">
        <v>24</v>
      </c>
      <c r="L1282" t="s">
        <v>63</v>
      </c>
      <c r="M1282" t="s">
        <v>26</v>
      </c>
      <c r="N1282" t="s">
        <v>38</v>
      </c>
      <c r="O1282">
        <v>504</v>
      </c>
      <c r="P1282">
        <v>246</v>
      </c>
      <c r="Q1282" t="s">
        <v>83</v>
      </c>
      <c r="R1282" t="s">
        <v>84</v>
      </c>
      <c r="S1282" t="s">
        <v>85</v>
      </c>
      <c r="T1282">
        <v>2022</v>
      </c>
      <c r="U1282" t="s">
        <v>66</v>
      </c>
    </row>
    <row r="1283" spans="1:21" x14ac:dyDescent="0.35">
      <c r="A1283" s="1">
        <v>45873</v>
      </c>
      <c r="B1283" t="s">
        <v>48</v>
      </c>
      <c r="C1283" t="s">
        <v>49</v>
      </c>
      <c r="D1283" t="s">
        <v>50</v>
      </c>
      <c r="E1283">
        <v>434</v>
      </c>
      <c r="F1283">
        <v>150</v>
      </c>
      <c r="G1283">
        <f t="shared" ref="G1283:G1346" si="60">E1283*F1283</f>
        <v>65100</v>
      </c>
      <c r="H1283">
        <v>100</v>
      </c>
      <c r="I1283">
        <f t="shared" ref="I1283:I1346" si="61">E1283*H1283</f>
        <v>43400</v>
      </c>
      <c r="J1283">
        <f t="shared" ref="J1283:J1346" si="62">G1283-I1283</f>
        <v>21700</v>
      </c>
      <c r="K1283" t="s">
        <v>35</v>
      </c>
      <c r="L1283" t="s">
        <v>25</v>
      </c>
      <c r="M1283" t="s">
        <v>37</v>
      </c>
      <c r="N1283" t="s">
        <v>38</v>
      </c>
      <c r="O1283">
        <v>532</v>
      </c>
      <c r="P1283">
        <v>434</v>
      </c>
      <c r="Q1283" t="s">
        <v>70</v>
      </c>
      <c r="R1283" t="s">
        <v>71</v>
      </c>
      <c r="S1283" t="s">
        <v>72</v>
      </c>
      <c r="T1283">
        <v>2022</v>
      </c>
      <c r="U1283" t="s">
        <v>53</v>
      </c>
    </row>
    <row r="1284" spans="1:21" x14ac:dyDescent="0.35">
      <c r="A1284" s="1">
        <v>45874</v>
      </c>
      <c r="B1284" t="s">
        <v>98</v>
      </c>
      <c r="C1284" t="s">
        <v>99</v>
      </c>
      <c r="D1284" t="s">
        <v>100</v>
      </c>
      <c r="E1284">
        <v>498</v>
      </c>
      <c r="F1284">
        <v>6</v>
      </c>
      <c r="G1284">
        <f t="shared" si="60"/>
        <v>2988</v>
      </c>
      <c r="H1284">
        <v>4</v>
      </c>
      <c r="I1284">
        <f t="shared" si="61"/>
        <v>1992</v>
      </c>
      <c r="J1284">
        <f t="shared" si="62"/>
        <v>996</v>
      </c>
      <c r="K1284" t="s">
        <v>35</v>
      </c>
      <c r="L1284" t="s">
        <v>73</v>
      </c>
      <c r="M1284" t="s">
        <v>37</v>
      </c>
      <c r="N1284" t="s">
        <v>43</v>
      </c>
      <c r="O1284">
        <v>513</v>
      </c>
      <c r="P1284">
        <v>498</v>
      </c>
      <c r="Q1284" t="s">
        <v>54</v>
      </c>
      <c r="R1284" t="s">
        <v>55</v>
      </c>
      <c r="S1284" t="s">
        <v>56</v>
      </c>
      <c r="T1284">
        <v>2024</v>
      </c>
      <c r="U1284" t="s">
        <v>53</v>
      </c>
    </row>
    <row r="1285" spans="1:21" x14ac:dyDescent="0.35">
      <c r="A1285" s="1">
        <v>45875</v>
      </c>
      <c r="B1285" t="s">
        <v>32</v>
      </c>
      <c r="C1285" t="s">
        <v>33</v>
      </c>
      <c r="D1285" t="s">
        <v>34</v>
      </c>
      <c r="E1285">
        <v>211</v>
      </c>
      <c r="F1285">
        <v>20</v>
      </c>
      <c r="G1285">
        <f t="shared" si="60"/>
        <v>4220</v>
      </c>
      <c r="H1285">
        <v>12</v>
      </c>
      <c r="I1285">
        <f t="shared" si="61"/>
        <v>2532</v>
      </c>
      <c r="J1285">
        <f t="shared" si="62"/>
        <v>1688</v>
      </c>
      <c r="K1285" t="s">
        <v>24</v>
      </c>
      <c r="L1285" t="s">
        <v>63</v>
      </c>
      <c r="M1285" t="s">
        <v>61</v>
      </c>
      <c r="N1285" t="s">
        <v>38</v>
      </c>
      <c r="O1285">
        <v>847</v>
      </c>
      <c r="P1285">
        <v>211</v>
      </c>
      <c r="Q1285" t="s">
        <v>103</v>
      </c>
      <c r="R1285" t="s">
        <v>68</v>
      </c>
      <c r="S1285" t="s">
        <v>104</v>
      </c>
      <c r="T1285">
        <v>2023</v>
      </c>
      <c r="U1285" t="s">
        <v>57</v>
      </c>
    </row>
    <row r="1286" spans="1:21" x14ac:dyDescent="0.35">
      <c r="A1286" s="1">
        <v>45876</v>
      </c>
      <c r="B1286" t="s">
        <v>98</v>
      </c>
      <c r="C1286" t="s">
        <v>99</v>
      </c>
      <c r="D1286" t="s">
        <v>100</v>
      </c>
      <c r="E1286">
        <v>383</v>
      </c>
      <c r="F1286">
        <v>6</v>
      </c>
      <c r="G1286">
        <f t="shared" si="60"/>
        <v>2298</v>
      </c>
      <c r="H1286">
        <v>4</v>
      </c>
      <c r="I1286">
        <f t="shared" si="61"/>
        <v>1532</v>
      </c>
      <c r="J1286">
        <f t="shared" si="62"/>
        <v>766</v>
      </c>
      <c r="K1286" t="s">
        <v>42</v>
      </c>
      <c r="L1286" t="s">
        <v>73</v>
      </c>
      <c r="M1286" t="s">
        <v>61</v>
      </c>
      <c r="N1286" t="s">
        <v>38</v>
      </c>
      <c r="O1286">
        <v>993</v>
      </c>
      <c r="P1286">
        <v>383</v>
      </c>
      <c r="Q1286" t="s">
        <v>87</v>
      </c>
      <c r="R1286" t="s">
        <v>88</v>
      </c>
      <c r="S1286" t="s">
        <v>89</v>
      </c>
      <c r="T1286">
        <v>2021</v>
      </c>
      <c r="U1286" t="s">
        <v>97</v>
      </c>
    </row>
    <row r="1287" spans="1:21" x14ac:dyDescent="0.35">
      <c r="A1287" s="1">
        <v>45877</v>
      </c>
      <c r="B1287" t="s">
        <v>98</v>
      </c>
      <c r="C1287" t="s">
        <v>99</v>
      </c>
      <c r="D1287" t="s">
        <v>100</v>
      </c>
      <c r="E1287">
        <v>172</v>
      </c>
      <c r="F1287">
        <v>6</v>
      </c>
      <c r="G1287">
        <f t="shared" si="60"/>
        <v>1032</v>
      </c>
      <c r="H1287">
        <v>4</v>
      </c>
      <c r="I1287">
        <f t="shared" si="61"/>
        <v>688</v>
      </c>
      <c r="J1287">
        <f t="shared" si="62"/>
        <v>344</v>
      </c>
      <c r="K1287" t="s">
        <v>24</v>
      </c>
      <c r="L1287" t="s">
        <v>63</v>
      </c>
      <c r="M1287" t="s">
        <v>26</v>
      </c>
      <c r="N1287" t="s">
        <v>43</v>
      </c>
      <c r="O1287">
        <v>747</v>
      </c>
      <c r="P1287">
        <v>172</v>
      </c>
      <c r="Q1287" t="s">
        <v>74</v>
      </c>
      <c r="R1287" t="s">
        <v>75</v>
      </c>
      <c r="S1287" t="s">
        <v>76</v>
      </c>
      <c r="T1287">
        <v>2020</v>
      </c>
      <c r="U1287" t="s">
        <v>97</v>
      </c>
    </row>
    <row r="1288" spans="1:21" x14ac:dyDescent="0.35">
      <c r="A1288" s="1">
        <v>45878</v>
      </c>
      <c r="B1288" t="s">
        <v>98</v>
      </c>
      <c r="C1288" t="s">
        <v>99</v>
      </c>
      <c r="D1288" t="s">
        <v>100</v>
      </c>
      <c r="E1288">
        <v>245</v>
      </c>
      <c r="F1288">
        <v>6</v>
      </c>
      <c r="G1288">
        <f t="shared" si="60"/>
        <v>1470</v>
      </c>
      <c r="H1288">
        <v>4</v>
      </c>
      <c r="I1288">
        <f t="shared" si="61"/>
        <v>980</v>
      </c>
      <c r="J1288">
        <f t="shared" si="62"/>
        <v>490</v>
      </c>
      <c r="K1288" t="s">
        <v>35</v>
      </c>
      <c r="L1288" t="s">
        <v>63</v>
      </c>
      <c r="M1288" t="s">
        <v>37</v>
      </c>
      <c r="N1288" t="s">
        <v>27</v>
      </c>
      <c r="O1288">
        <v>966</v>
      </c>
      <c r="P1288">
        <v>245</v>
      </c>
      <c r="Q1288" t="s">
        <v>77</v>
      </c>
      <c r="R1288" t="s">
        <v>78</v>
      </c>
      <c r="S1288" t="s">
        <v>79</v>
      </c>
      <c r="T1288">
        <v>2024</v>
      </c>
      <c r="U1288" t="s">
        <v>62</v>
      </c>
    </row>
    <row r="1289" spans="1:21" x14ac:dyDescent="0.35">
      <c r="A1289" s="1">
        <v>45879</v>
      </c>
      <c r="B1289" t="s">
        <v>80</v>
      </c>
      <c r="C1289" t="s">
        <v>81</v>
      </c>
      <c r="D1289" t="s">
        <v>82</v>
      </c>
      <c r="E1289">
        <v>281</v>
      </c>
      <c r="F1289">
        <v>2.5</v>
      </c>
      <c r="G1289">
        <f t="shared" si="60"/>
        <v>702.5</v>
      </c>
      <c r="H1289">
        <v>1.5</v>
      </c>
      <c r="I1289">
        <f t="shared" si="61"/>
        <v>421.5</v>
      </c>
      <c r="J1289">
        <f t="shared" si="62"/>
        <v>281</v>
      </c>
      <c r="K1289" t="s">
        <v>24</v>
      </c>
      <c r="L1289" t="s">
        <v>63</v>
      </c>
      <c r="M1289" t="s">
        <v>26</v>
      </c>
      <c r="N1289" t="s">
        <v>43</v>
      </c>
      <c r="O1289">
        <v>589</v>
      </c>
      <c r="P1289">
        <v>281</v>
      </c>
      <c r="Q1289" t="s">
        <v>106</v>
      </c>
      <c r="R1289" t="s">
        <v>107</v>
      </c>
      <c r="S1289" t="s">
        <v>108</v>
      </c>
      <c r="T1289">
        <v>2022</v>
      </c>
      <c r="U1289" t="s">
        <v>105</v>
      </c>
    </row>
    <row r="1290" spans="1:21" x14ac:dyDescent="0.35">
      <c r="A1290" s="1">
        <v>45880</v>
      </c>
      <c r="B1290" t="s">
        <v>21</v>
      </c>
      <c r="C1290" t="s">
        <v>22</v>
      </c>
      <c r="D1290" t="s">
        <v>23</v>
      </c>
      <c r="E1290">
        <v>163</v>
      </c>
      <c r="F1290">
        <v>8</v>
      </c>
      <c r="G1290">
        <f t="shared" si="60"/>
        <v>1304</v>
      </c>
      <c r="H1290">
        <v>5</v>
      </c>
      <c r="I1290">
        <f t="shared" si="61"/>
        <v>815</v>
      </c>
      <c r="J1290">
        <f t="shared" si="62"/>
        <v>489</v>
      </c>
      <c r="K1290" t="s">
        <v>42</v>
      </c>
      <c r="L1290" t="s">
        <v>36</v>
      </c>
      <c r="M1290" t="s">
        <v>26</v>
      </c>
      <c r="N1290" t="s">
        <v>38</v>
      </c>
      <c r="O1290">
        <v>518</v>
      </c>
      <c r="P1290">
        <v>163</v>
      </c>
      <c r="Q1290" t="s">
        <v>44</v>
      </c>
      <c r="R1290" t="s">
        <v>45</v>
      </c>
      <c r="S1290" t="s">
        <v>46</v>
      </c>
      <c r="T1290">
        <v>2022</v>
      </c>
      <c r="U1290" t="s">
        <v>91</v>
      </c>
    </row>
    <row r="1291" spans="1:21" x14ac:dyDescent="0.35">
      <c r="A1291" s="1">
        <v>45881</v>
      </c>
      <c r="B1291" t="s">
        <v>21</v>
      </c>
      <c r="C1291" t="s">
        <v>22</v>
      </c>
      <c r="D1291" t="s">
        <v>23</v>
      </c>
      <c r="E1291">
        <v>81</v>
      </c>
      <c r="F1291">
        <v>8</v>
      </c>
      <c r="G1291">
        <f t="shared" si="60"/>
        <v>648</v>
      </c>
      <c r="H1291">
        <v>5</v>
      </c>
      <c r="I1291">
        <f t="shared" si="61"/>
        <v>405</v>
      </c>
      <c r="J1291">
        <f t="shared" si="62"/>
        <v>243</v>
      </c>
      <c r="K1291" t="s">
        <v>35</v>
      </c>
      <c r="L1291" t="s">
        <v>36</v>
      </c>
      <c r="M1291" t="s">
        <v>37</v>
      </c>
      <c r="N1291" t="s">
        <v>38</v>
      </c>
      <c r="O1291">
        <v>713</v>
      </c>
      <c r="P1291">
        <v>81</v>
      </c>
      <c r="Q1291" t="s">
        <v>83</v>
      </c>
      <c r="R1291" t="s">
        <v>84</v>
      </c>
      <c r="S1291" t="s">
        <v>85</v>
      </c>
      <c r="T1291">
        <v>2022</v>
      </c>
      <c r="U1291" t="s">
        <v>105</v>
      </c>
    </row>
    <row r="1292" spans="1:21" x14ac:dyDescent="0.35">
      <c r="A1292" s="1">
        <v>45882</v>
      </c>
      <c r="B1292" t="s">
        <v>58</v>
      </c>
      <c r="C1292" t="s">
        <v>59</v>
      </c>
      <c r="D1292" t="s">
        <v>60</v>
      </c>
      <c r="E1292">
        <v>436</v>
      </c>
      <c r="F1292">
        <v>5</v>
      </c>
      <c r="G1292">
        <f t="shared" si="60"/>
        <v>2180</v>
      </c>
      <c r="H1292">
        <v>3</v>
      </c>
      <c r="I1292">
        <f t="shared" si="61"/>
        <v>1308</v>
      </c>
      <c r="J1292">
        <f t="shared" si="62"/>
        <v>872</v>
      </c>
      <c r="K1292" t="s">
        <v>35</v>
      </c>
      <c r="L1292" t="s">
        <v>36</v>
      </c>
      <c r="M1292" t="s">
        <v>26</v>
      </c>
      <c r="N1292" t="s">
        <v>38</v>
      </c>
      <c r="O1292">
        <v>843</v>
      </c>
      <c r="P1292">
        <v>436</v>
      </c>
      <c r="Q1292" t="s">
        <v>87</v>
      </c>
      <c r="R1292" t="s">
        <v>88</v>
      </c>
      <c r="S1292" t="s">
        <v>89</v>
      </c>
      <c r="T1292">
        <v>2023</v>
      </c>
      <c r="U1292" t="s">
        <v>86</v>
      </c>
    </row>
    <row r="1293" spans="1:21" x14ac:dyDescent="0.35">
      <c r="A1293" s="1">
        <v>45883</v>
      </c>
      <c r="B1293" t="s">
        <v>32</v>
      </c>
      <c r="C1293" t="s">
        <v>33</v>
      </c>
      <c r="D1293" t="s">
        <v>34</v>
      </c>
      <c r="E1293">
        <v>481</v>
      </c>
      <c r="F1293">
        <v>20</v>
      </c>
      <c r="G1293">
        <f t="shared" si="60"/>
        <v>9620</v>
      </c>
      <c r="H1293">
        <v>12</v>
      </c>
      <c r="I1293">
        <f t="shared" si="61"/>
        <v>5772</v>
      </c>
      <c r="J1293">
        <f t="shared" si="62"/>
        <v>3848</v>
      </c>
      <c r="K1293" t="s">
        <v>35</v>
      </c>
      <c r="L1293" t="s">
        <v>36</v>
      </c>
      <c r="M1293" t="s">
        <v>37</v>
      </c>
      <c r="N1293" t="s">
        <v>27</v>
      </c>
      <c r="O1293">
        <v>808</v>
      </c>
      <c r="P1293">
        <v>481</v>
      </c>
      <c r="Q1293" t="s">
        <v>77</v>
      </c>
      <c r="R1293" t="s">
        <v>78</v>
      </c>
      <c r="S1293" t="s">
        <v>79</v>
      </c>
      <c r="T1293">
        <v>2020</v>
      </c>
      <c r="U1293" t="s">
        <v>31</v>
      </c>
    </row>
    <row r="1294" spans="1:21" x14ac:dyDescent="0.35">
      <c r="A1294" s="1">
        <v>45884</v>
      </c>
      <c r="B1294" t="s">
        <v>21</v>
      </c>
      <c r="C1294" t="s">
        <v>22</v>
      </c>
      <c r="D1294" t="s">
        <v>23</v>
      </c>
      <c r="E1294">
        <v>406</v>
      </c>
      <c r="F1294">
        <v>8</v>
      </c>
      <c r="G1294">
        <f t="shared" si="60"/>
        <v>3248</v>
      </c>
      <c r="H1294">
        <v>5</v>
      </c>
      <c r="I1294">
        <f t="shared" si="61"/>
        <v>2030</v>
      </c>
      <c r="J1294">
        <f t="shared" si="62"/>
        <v>1218</v>
      </c>
      <c r="K1294" t="s">
        <v>35</v>
      </c>
      <c r="L1294" t="s">
        <v>73</v>
      </c>
      <c r="M1294" t="s">
        <v>61</v>
      </c>
      <c r="N1294" t="s">
        <v>38</v>
      </c>
      <c r="O1294">
        <v>995</v>
      </c>
      <c r="P1294">
        <v>406</v>
      </c>
      <c r="Q1294" t="s">
        <v>94</v>
      </c>
      <c r="R1294" t="s">
        <v>75</v>
      </c>
      <c r="S1294" t="s">
        <v>95</v>
      </c>
      <c r="T1294">
        <v>2020</v>
      </c>
      <c r="U1294" t="s">
        <v>53</v>
      </c>
    </row>
    <row r="1295" spans="1:21" x14ac:dyDescent="0.35">
      <c r="A1295" s="1">
        <v>45885</v>
      </c>
      <c r="B1295" t="s">
        <v>58</v>
      </c>
      <c r="C1295" t="s">
        <v>59</v>
      </c>
      <c r="D1295" t="s">
        <v>60</v>
      </c>
      <c r="E1295">
        <v>188</v>
      </c>
      <c r="F1295">
        <v>5</v>
      </c>
      <c r="G1295">
        <f t="shared" si="60"/>
        <v>940</v>
      </c>
      <c r="H1295">
        <v>3</v>
      </c>
      <c r="I1295">
        <f t="shared" si="61"/>
        <v>564</v>
      </c>
      <c r="J1295">
        <f t="shared" si="62"/>
        <v>376</v>
      </c>
      <c r="K1295" t="s">
        <v>35</v>
      </c>
      <c r="L1295" t="s">
        <v>25</v>
      </c>
      <c r="M1295" t="s">
        <v>37</v>
      </c>
      <c r="N1295" t="s">
        <v>43</v>
      </c>
      <c r="O1295">
        <v>677</v>
      </c>
      <c r="P1295">
        <v>188</v>
      </c>
      <c r="Q1295" t="s">
        <v>74</v>
      </c>
      <c r="R1295" t="s">
        <v>75</v>
      </c>
      <c r="S1295" t="s">
        <v>76</v>
      </c>
      <c r="T1295">
        <v>2020</v>
      </c>
      <c r="U1295" t="s">
        <v>31</v>
      </c>
    </row>
    <row r="1296" spans="1:21" x14ac:dyDescent="0.35">
      <c r="A1296" s="1">
        <v>45886</v>
      </c>
      <c r="B1296" t="s">
        <v>98</v>
      </c>
      <c r="C1296" t="s">
        <v>99</v>
      </c>
      <c r="D1296" t="s">
        <v>100</v>
      </c>
      <c r="E1296">
        <v>317</v>
      </c>
      <c r="F1296">
        <v>6</v>
      </c>
      <c r="G1296">
        <f t="shared" si="60"/>
        <v>1902</v>
      </c>
      <c r="H1296">
        <v>4</v>
      </c>
      <c r="I1296">
        <f t="shared" si="61"/>
        <v>1268</v>
      </c>
      <c r="J1296">
        <f t="shared" si="62"/>
        <v>634</v>
      </c>
      <c r="K1296" t="s">
        <v>24</v>
      </c>
      <c r="L1296" t="s">
        <v>36</v>
      </c>
      <c r="M1296" t="s">
        <v>26</v>
      </c>
      <c r="N1296" t="s">
        <v>27</v>
      </c>
      <c r="O1296">
        <v>641</v>
      </c>
      <c r="P1296">
        <v>317</v>
      </c>
      <c r="Q1296" t="s">
        <v>44</v>
      </c>
      <c r="R1296" t="s">
        <v>45</v>
      </c>
      <c r="S1296" t="s">
        <v>46</v>
      </c>
      <c r="T1296">
        <v>2024</v>
      </c>
      <c r="U1296" t="s">
        <v>31</v>
      </c>
    </row>
    <row r="1297" spans="1:21" x14ac:dyDescent="0.35">
      <c r="A1297" s="1">
        <v>45887</v>
      </c>
      <c r="B1297" t="s">
        <v>48</v>
      </c>
      <c r="C1297" t="s">
        <v>49</v>
      </c>
      <c r="D1297" t="s">
        <v>50</v>
      </c>
      <c r="E1297">
        <v>215</v>
      </c>
      <c r="F1297">
        <v>150</v>
      </c>
      <c r="G1297">
        <f t="shared" si="60"/>
        <v>32250</v>
      </c>
      <c r="H1297">
        <v>100</v>
      </c>
      <c r="I1297">
        <f t="shared" si="61"/>
        <v>21500</v>
      </c>
      <c r="J1297">
        <f t="shared" si="62"/>
        <v>10750</v>
      </c>
      <c r="K1297" t="s">
        <v>42</v>
      </c>
      <c r="L1297" t="s">
        <v>36</v>
      </c>
      <c r="M1297" t="s">
        <v>61</v>
      </c>
      <c r="N1297" t="s">
        <v>27</v>
      </c>
      <c r="O1297">
        <v>640</v>
      </c>
      <c r="P1297">
        <v>215</v>
      </c>
      <c r="Q1297" t="s">
        <v>54</v>
      </c>
      <c r="R1297" t="s">
        <v>55</v>
      </c>
      <c r="S1297" t="s">
        <v>56</v>
      </c>
      <c r="T1297">
        <v>2024</v>
      </c>
      <c r="U1297" t="s">
        <v>105</v>
      </c>
    </row>
    <row r="1298" spans="1:21" x14ac:dyDescent="0.35">
      <c r="A1298" s="1">
        <v>45888</v>
      </c>
      <c r="B1298" t="s">
        <v>21</v>
      </c>
      <c r="C1298" t="s">
        <v>22</v>
      </c>
      <c r="D1298" t="s">
        <v>23</v>
      </c>
      <c r="E1298">
        <v>135</v>
      </c>
      <c r="F1298">
        <v>8</v>
      </c>
      <c r="G1298">
        <f t="shared" si="60"/>
        <v>1080</v>
      </c>
      <c r="H1298">
        <v>5</v>
      </c>
      <c r="I1298">
        <f t="shared" si="61"/>
        <v>675</v>
      </c>
      <c r="J1298">
        <f t="shared" si="62"/>
        <v>405</v>
      </c>
      <c r="K1298" t="s">
        <v>42</v>
      </c>
      <c r="L1298" t="s">
        <v>36</v>
      </c>
      <c r="M1298" t="s">
        <v>37</v>
      </c>
      <c r="N1298" t="s">
        <v>43</v>
      </c>
      <c r="O1298">
        <v>548</v>
      </c>
      <c r="P1298">
        <v>135</v>
      </c>
      <c r="Q1298" t="s">
        <v>110</v>
      </c>
      <c r="R1298" t="s">
        <v>111</v>
      </c>
      <c r="S1298" t="s">
        <v>112</v>
      </c>
      <c r="T1298">
        <v>2020</v>
      </c>
      <c r="U1298" t="s">
        <v>62</v>
      </c>
    </row>
    <row r="1299" spans="1:21" x14ac:dyDescent="0.35">
      <c r="A1299" s="1">
        <v>45889</v>
      </c>
      <c r="B1299" t="s">
        <v>58</v>
      </c>
      <c r="C1299" t="s">
        <v>59</v>
      </c>
      <c r="D1299" t="s">
        <v>60</v>
      </c>
      <c r="E1299">
        <v>237</v>
      </c>
      <c r="F1299">
        <v>5</v>
      </c>
      <c r="G1299">
        <f t="shared" si="60"/>
        <v>1185</v>
      </c>
      <c r="H1299">
        <v>3</v>
      </c>
      <c r="I1299">
        <f t="shared" si="61"/>
        <v>711</v>
      </c>
      <c r="J1299">
        <f t="shared" si="62"/>
        <v>474</v>
      </c>
      <c r="K1299" t="s">
        <v>42</v>
      </c>
      <c r="L1299" t="s">
        <v>63</v>
      </c>
      <c r="M1299" t="s">
        <v>37</v>
      </c>
      <c r="N1299" t="s">
        <v>43</v>
      </c>
      <c r="O1299">
        <v>808</v>
      </c>
      <c r="P1299">
        <v>237</v>
      </c>
      <c r="Q1299" t="s">
        <v>74</v>
      </c>
      <c r="R1299" t="s">
        <v>75</v>
      </c>
      <c r="S1299" t="s">
        <v>76</v>
      </c>
      <c r="T1299">
        <v>2021</v>
      </c>
      <c r="U1299" t="s">
        <v>57</v>
      </c>
    </row>
    <row r="1300" spans="1:21" x14ac:dyDescent="0.35">
      <c r="A1300" s="1">
        <v>45890</v>
      </c>
      <c r="B1300" t="s">
        <v>48</v>
      </c>
      <c r="C1300" t="s">
        <v>49</v>
      </c>
      <c r="D1300" t="s">
        <v>50</v>
      </c>
      <c r="E1300">
        <v>413</v>
      </c>
      <c r="F1300">
        <v>150</v>
      </c>
      <c r="G1300">
        <f t="shared" si="60"/>
        <v>61950</v>
      </c>
      <c r="H1300">
        <v>100</v>
      </c>
      <c r="I1300">
        <f t="shared" si="61"/>
        <v>41300</v>
      </c>
      <c r="J1300">
        <f t="shared" si="62"/>
        <v>20650</v>
      </c>
      <c r="K1300" t="s">
        <v>24</v>
      </c>
      <c r="L1300" t="s">
        <v>63</v>
      </c>
      <c r="M1300" t="s">
        <v>37</v>
      </c>
      <c r="N1300" t="s">
        <v>27</v>
      </c>
      <c r="O1300">
        <v>777</v>
      </c>
      <c r="P1300">
        <v>413</v>
      </c>
      <c r="Q1300" t="s">
        <v>87</v>
      </c>
      <c r="R1300" t="s">
        <v>88</v>
      </c>
      <c r="S1300" t="s">
        <v>89</v>
      </c>
      <c r="T1300">
        <v>2023</v>
      </c>
      <c r="U1300" t="s">
        <v>96</v>
      </c>
    </row>
    <row r="1301" spans="1:21" x14ac:dyDescent="0.35">
      <c r="A1301" s="1">
        <v>45891</v>
      </c>
      <c r="B1301" t="s">
        <v>80</v>
      </c>
      <c r="C1301" t="s">
        <v>81</v>
      </c>
      <c r="D1301" t="s">
        <v>82</v>
      </c>
      <c r="E1301">
        <v>183</v>
      </c>
      <c r="F1301">
        <v>2.5</v>
      </c>
      <c r="G1301">
        <f t="shared" si="60"/>
        <v>457.5</v>
      </c>
      <c r="H1301">
        <v>1.5</v>
      </c>
      <c r="I1301">
        <f t="shared" si="61"/>
        <v>274.5</v>
      </c>
      <c r="J1301">
        <f t="shared" si="62"/>
        <v>183</v>
      </c>
      <c r="K1301" t="s">
        <v>24</v>
      </c>
      <c r="L1301" t="s">
        <v>73</v>
      </c>
      <c r="M1301" t="s">
        <v>61</v>
      </c>
      <c r="N1301" t="s">
        <v>38</v>
      </c>
      <c r="O1301">
        <v>694</v>
      </c>
      <c r="P1301">
        <v>183</v>
      </c>
      <c r="Q1301" t="s">
        <v>44</v>
      </c>
      <c r="R1301" t="s">
        <v>45</v>
      </c>
      <c r="S1301" t="s">
        <v>46</v>
      </c>
      <c r="T1301">
        <v>2021</v>
      </c>
      <c r="U1301" t="s">
        <v>96</v>
      </c>
    </row>
    <row r="1302" spans="1:21" x14ac:dyDescent="0.35">
      <c r="A1302" s="1">
        <v>45892</v>
      </c>
      <c r="B1302" t="s">
        <v>58</v>
      </c>
      <c r="C1302" t="s">
        <v>59</v>
      </c>
      <c r="D1302" t="s">
        <v>60</v>
      </c>
      <c r="E1302">
        <v>229</v>
      </c>
      <c r="F1302">
        <v>5</v>
      </c>
      <c r="G1302">
        <f t="shared" si="60"/>
        <v>1145</v>
      </c>
      <c r="H1302">
        <v>3</v>
      </c>
      <c r="I1302">
        <f t="shared" si="61"/>
        <v>687</v>
      </c>
      <c r="J1302">
        <f t="shared" si="62"/>
        <v>458</v>
      </c>
      <c r="K1302" t="s">
        <v>24</v>
      </c>
      <c r="L1302" t="s">
        <v>63</v>
      </c>
      <c r="M1302" t="s">
        <v>26</v>
      </c>
      <c r="N1302" t="s">
        <v>27</v>
      </c>
      <c r="O1302">
        <v>757</v>
      </c>
      <c r="P1302">
        <v>229</v>
      </c>
      <c r="Q1302" t="s">
        <v>83</v>
      </c>
      <c r="R1302" t="s">
        <v>84</v>
      </c>
      <c r="S1302" t="s">
        <v>85</v>
      </c>
      <c r="T1302">
        <v>2023</v>
      </c>
      <c r="U1302" t="s">
        <v>91</v>
      </c>
    </row>
    <row r="1303" spans="1:21" x14ac:dyDescent="0.35">
      <c r="A1303" s="1">
        <v>45893</v>
      </c>
      <c r="B1303" t="s">
        <v>98</v>
      </c>
      <c r="C1303" t="s">
        <v>99</v>
      </c>
      <c r="D1303" t="s">
        <v>100</v>
      </c>
      <c r="E1303">
        <v>402</v>
      </c>
      <c r="F1303">
        <v>6</v>
      </c>
      <c r="G1303">
        <f t="shared" si="60"/>
        <v>2412</v>
      </c>
      <c r="H1303">
        <v>4</v>
      </c>
      <c r="I1303">
        <f t="shared" si="61"/>
        <v>1608</v>
      </c>
      <c r="J1303">
        <f t="shared" si="62"/>
        <v>804</v>
      </c>
      <c r="K1303" t="s">
        <v>42</v>
      </c>
      <c r="L1303" t="s">
        <v>25</v>
      </c>
      <c r="M1303" t="s">
        <v>37</v>
      </c>
      <c r="N1303" t="s">
        <v>38</v>
      </c>
      <c r="O1303">
        <v>760</v>
      </c>
      <c r="P1303">
        <v>402</v>
      </c>
      <c r="Q1303" t="s">
        <v>28</v>
      </c>
      <c r="R1303" t="s">
        <v>29</v>
      </c>
      <c r="S1303" t="s">
        <v>30</v>
      </c>
      <c r="T1303">
        <v>2022</v>
      </c>
      <c r="U1303" t="s">
        <v>86</v>
      </c>
    </row>
    <row r="1304" spans="1:21" x14ac:dyDescent="0.35">
      <c r="A1304" s="1">
        <v>45894</v>
      </c>
      <c r="B1304" t="s">
        <v>32</v>
      </c>
      <c r="C1304" t="s">
        <v>33</v>
      </c>
      <c r="D1304" t="s">
        <v>34</v>
      </c>
      <c r="E1304">
        <v>181</v>
      </c>
      <c r="F1304">
        <v>20</v>
      </c>
      <c r="G1304">
        <f t="shared" si="60"/>
        <v>3620</v>
      </c>
      <c r="H1304">
        <v>12</v>
      </c>
      <c r="I1304">
        <f t="shared" si="61"/>
        <v>2172</v>
      </c>
      <c r="J1304">
        <f t="shared" si="62"/>
        <v>1448</v>
      </c>
      <c r="K1304" t="s">
        <v>24</v>
      </c>
      <c r="L1304" t="s">
        <v>25</v>
      </c>
      <c r="M1304" t="s">
        <v>61</v>
      </c>
      <c r="N1304" t="s">
        <v>43</v>
      </c>
      <c r="O1304">
        <v>755</v>
      </c>
      <c r="P1304">
        <v>181</v>
      </c>
      <c r="Q1304" t="s">
        <v>28</v>
      </c>
      <c r="R1304" t="s">
        <v>29</v>
      </c>
      <c r="S1304" t="s">
        <v>30</v>
      </c>
      <c r="T1304">
        <v>2022</v>
      </c>
      <c r="U1304" t="s">
        <v>53</v>
      </c>
    </row>
    <row r="1305" spans="1:21" x14ac:dyDescent="0.35">
      <c r="A1305" s="1">
        <v>45895</v>
      </c>
      <c r="B1305" t="s">
        <v>80</v>
      </c>
      <c r="C1305" t="s">
        <v>81</v>
      </c>
      <c r="D1305" t="s">
        <v>82</v>
      </c>
      <c r="E1305">
        <v>425</v>
      </c>
      <c r="F1305">
        <v>2.5</v>
      </c>
      <c r="G1305">
        <f t="shared" si="60"/>
        <v>1062.5</v>
      </c>
      <c r="H1305">
        <v>1.5</v>
      </c>
      <c r="I1305">
        <f t="shared" si="61"/>
        <v>637.5</v>
      </c>
      <c r="J1305">
        <f t="shared" si="62"/>
        <v>425</v>
      </c>
      <c r="K1305" t="s">
        <v>24</v>
      </c>
      <c r="L1305" t="s">
        <v>63</v>
      </c>
      <c r="M1305" t="s">
        <v>37</v>
      </c>
      <c r="N1305" t="s">
        <v>38</v>
      </c>
      <c r="O1305">
        <v>972</v>
      </c>
      <c r="P1305">
        <v>425</v>
      </c>
      <c r="Q1305" t="s">
        <v>103</v>
      </c>
      <c r="R1305" t="s">
        <v>68</v>
      </c>
      <c r="S1305" t="s">
        <v>104</v>
      </c>
      <c r="T1305">
        <v>2023</v>
      </c>
      <c r="U1305" t="s">
        <v>66</v>
      </c>
    </row>
    <row r="1306" spans="1:21" x14ac:dyDescent="0.35">
      <c r="A1306" s="1">
        <v>45896</v>
      </c>
      <c r="B1306" t="s">
        <v>48</v>
      </c>
      <c r="C1306" t="s">
        <v>49</v>
      </c>
      <c r="D1306" t="s">
        <v>50</v>
      </c>
      <c r="E1306">
        <v>260</v>
      </c>
      <c r="F1306">
        <v>150</v>
      </c>
      <c r="G1306">
        <f t="shared" si="60"/>
        <v>39000</v>
      </c>
      <c r="H1306">
        <v>100</v>
      </c>
      <c r="I1306">
        <f t="shared" si="61"/>
        <v>26000</v>
      </c>
      <c r="J1306">
        <f t="shared" si="62"/>
        <v>13000</v>
      </c>
      <c r="K1306" t="s">
        <v>35</v>
      </c>
      <c r="L1306" t="s">
        <v>63</v>
      </c>
      <c r="M1306" t="s">
        <v>61</v>
      </c>
      <c r="N1306" t="s">
        <v>43</v>
      </c>
      <c r="O1306">
        <v>929</v>
      </c>
      <c r="P1306">
        <v>260</v>
      </c>
      <c r="Q1306" t="s">
        <v>39</v>
      </c>
      <c r="R1306" t="s">
        <v>40</v>
      </c>
      <c r="S1306" t="s">
        <v>41</v>
      </c>
      <c r="T1306">
        <v>2023</v>
      </c>
      <c r="U1306" t="s">
        <v>53</v>
      </c>
    </row>
    <row r="1307" spans="1:21" x14ac:dyDescent="0.35">
      <c r="A1307" s="1">
        <v>45897</v>
      </c>
      <c r="B1307" t="s">
        <v>21</v>
      </c>
      <c r="C1307" t="s">
        <v>22</v>
      </c>
      <c r="D1307" t="s">
        <v>23</v>
      </c>
      <c r="E1307">
        <v>429</v>
      </c>
      <c r="F1307">
        <v>8</v>
      </c>
      <c r="G1307">
        <f t="shared" si="60"/>
        <v>3432</v>
      </c>
      <c r="H1307">
        <v>5</v>
      </c>
      <c r="I1307">
        <f t="shared" si="61"/>
        <v>2145</v>
      </c>
      <c r="J1307">
        <f t="shared" si="62"/>
        <v>1287</v>
      </c>
      <c r="K1307" t="s">
        <v>35</v>
      </c>
      <c r="L1307" t="s">
        <v>63</v>
      </c>
      <c r="M1307" t="s">
        <v>26</v>
      </c>
      <c r="N1307" t="s">
        <v>43</v>
      </c>
      <c r="O1307">
        <v>747</v>
      </c>
      <c r="P1307">
        <v>429</v>
      </c>
      <c r="Q1307" t="s">
        <v>92</v>
      </c>
      <c r="R1307" t="s">
        <v>45</v>
      </c>
      <c r="S1307" t="s">
        <v>93</v>
      </c>
      <c r="T1307">
        <v>2024</v>
      </c>
      <c r="U1307" t="s">
        <v>53</v>
      </c>
    </row>
    <row r="1308" spans="1:21" x14ac:dyDescent="0.35">
      <c r="A1308" s="1">
        <v>45898</v>
      </c>
      <c r="B1308" t="s">
        <v>32</v>
      </c>
      <c r="C1308" t="s">
        <v>33</v>
      </c>
      <c r="D1308" t="s">
        <v>34</v>
      </c>
      <c r="E1308">
        <v>276</v>
      </c>
      <c r="F1308">
        <v>20</v>
      </c>
      <c r="G1308">
        <f t="shared" si="60"/>
        <v>5520</v>
      </c>
      <c r="H1308">
        <v>12</v>
      </c>
      <c r="I1308">
        <f t="shared" si="61"/>
        <v>3312</v>
      </c>
      <c r="J1308">
        <f t="shared" si="62"/>
        <v>2208</v>
      </c>
      <c r="K1308" t="s">
        <v>24</v>
      </c>
      <c r="L1308" t="s">
        <v>73</v>
      </c>
      <c r="M1308" t="s">
        <v>37</v>
      </c>
      <c r="N1308" t="s">
        <v>27</v>
      </c>
      <c r="O1308">
        <v>832</v>
      </c>
      <c r="P1308">
        <v>276</v>
      </c>
      <c r="Q1308" t="s">
        <v>103</v>
      </c>
      <c r="R1308" t="s">
        <v>68</v>
      </c>
      <c r="S1308" t="s">
        <v>104</v>
      </c>
      <c r="T1308">
        <v>2021</v>
      </c>
      <c r="U1308" t="s">
        <v>31</v>
      </c>
    </row>
    <row r="1309" spans="1:21" x14ac:dyDescent="0.35">
      <c r="A1309" s="1">
        <v>45899</v>
      </c>
      <c r="B1309" t="s">
        <v>80</v>
      </c>
      <c r="C1309" t="s">
        <v>81</v>
      </c>
      <c r="D1309" t="s">
        <v>82</v>
      </c>
      <c r="E1309">
        <v>396</v>
      </c>
      <c r="F1309">
        <v>2.5</v>
      </c>
      <c r="G1309">
        <f t="shared" si="60"/>
        <v>990</v>
      </c>
      <c r="H1309">
        <v>1.5</v>
      </c>
      <c r="I1309">
        <f t="shared" si="61"/>
        <v>594</v>
      </c>
      <c r="J1309">
        <f t="shared" si="62"/>
        <v>396</v>
      </c>
      <c r="K1309" t="s">
        <v>24</v>
      </c>
      <c r="L1309" t="s">
        <v>36</v>
      </c>
      <c r="M1309" t="s">
        <v>37</v>
      </c>
      <c r="N1309" t="s">
        <v>43</v>
      </c>
      <c r="O1309">
        <v>818</v>
      </c>
      <c r="P1309">
        <v>396</v>
      </c>
      <c r="Q1309" t="s">
        <v>39</v>
      </c>
      <c r="R1309" t="s">
        <v>40</v>
      </c>
      <c r="S1309" t="s">
        <v>41</v>
      </c>
      <c r="T1309">
        <v>2023</v>
      </c>
      <c r="U1309" t="s">
        <v>86</v>
      </c>
    </row>
    <row r="1310" spans="1:21" x14ac:dyDescent="0.35">
      <c r="A1310" s="1">
        <v>45900</v>
      </c>
      <c r="B1310" t="s">
        <v>58</v>
      </c>
      <c r="C1310" t="s">
        <v>59</v>
      </c>
      <c r="D1310" t="s">
        <v>60</v>
      </c>
      <c r="E1310">
        <v>461</v>
      </c>
      <c r="F1310">
        <v>5</v>
      </c>
      <c r="G1310">
        <f t="shared" si="60"/>
        <v>2305</v>
      </c>
      <c r="H1310">
        <v>3</v>
      </c>
      <c r="I1310">
        <f t="shared" si="61"/>
        <v>1383</v>
      </c>
      <c r="J1310">
        <f t="shared" si="62"/>
        <v>922</v>
      </c>
      <c r="K1310" t="s">
        <v>24</v>
      </c>
      <c r="L1310" t="s">
        <v>73</v>
      </c>
      <c r="M1310" t="s">
        <v>61</v>
      </c>
      <c r="N1310" t="s">
        <v>27</v>
      </c>
      <c r="O1310">
        <v>595</v>
      </c>
      <c r="P1310">
        <v>461</v>
      </c>
      <c r="Q1310" t="s">
        <v>113</v>
      </c>
      <c r="R1310" t="s">
        <v>114</v>
      </c>
      <c r="S1310" t="s">
        <v>115</v>
      </c>
      <c r="T1310">
        <v>2023</v>
      </c>
      <c r="U1310" t="s">
        <v>66</v>
      </c>
    </row>
    <row r="1311" spans="1:21" x14ac:dyDescent="0.35">
      <c r="A1311" s="1">
        <v>45901</v>
      </c>
      <c r="B1311" t="s">
        <v>48</v>
      </c>
      <c r="C1311" t="s">
        <v>49</v>
      </c>
      <c r="D1311" t="s">
        <v>50</v>
      </c>
      <c r="E1311">
        <v>355</v>
      </c>
      <c r="F1311">
        <v>150</v>
      </c>
      <c r="G1311">
        <f t="shared" si="60"/>
        <v>53250</v>
      </c>
      <c r="H1311">
        <v>100</v>
      </c>
      <c r="I1311">
        <f t="shared" si="61"/>
        <v>35500</v>
      </c>
      <c r="J1311">
        <f t="shared" si="62"/>
        <v>17750</v>
      </c>
      <c r="K1311" t="s">
        <v>42</v>
      </c>
      <c r="L1311" t="s">
        <v>25</v>
      </c>
      <c r="M1311" t="s">
        <v>61</v>
      </c>
      <c r="N1311" t="s">
        <v>43</v>
      </c>
      <c r="O1311">
        <v>682</v>
      </c>
      <c r="P1311">
        <v>355</v>
      </c>
      <c r="Q1311" t="s">
        <v>77</v>
      </c>
      <c r="R1311" t="s">
        <v>78</v>
      </c>
      <c r="S1311" t="s">
        <v>79</v>
      </c>
      <c r="T1311">
        <v>2022</v>
      </c>
      <c r="U1311" t="s">
        <v>31</v>
      </c>
    </row>
    <row r="1312" spans="1:21" x14ac:dyDescent="0.35">
      <c r="A1312" s="1">
        <v>45902</v>
      </c>
      <c r="B1312" t="s">
        <v>58</v>
      </c>
      <c r="C1312" t="s">
        <v>59</v>
      </c>
      <c r="D1312" t="s">
        <v>60</v>
      </c>
      <c r="E1312">
        <v>371</v>
      </c>
      <c r="F1312">
        <v>5</v>
      </c>
      <c r="G1312">
        <f t="shared" si="60"/>
        <v>1855</v>
      </c>
      <c r="H1312">
        <v>3</v>
      </c>
      <c r="I1312">
        <f t="shared" si="61"/>
        <v>1113</v>
      </c>
      <c r="J1312">
        <f t="shared" si="62"/>
        <v>742</v>
      </c>
      <c r="K1312" t="s">
        <v>35</v>
      </c>
      <c r="L1312" t="s">
        <v>25</v>
      </c>
      <c r="M1312" t="s">
        <v>26</v>
      </c>
      <c r="N1312" t="s">
        <v>27</v>
      </c>
      <c r="O1312">
        <v>568</v>
      </c>
      <c r="P1312">
        <v>371</v>
      </c>
      <c r="Q1312" t="s">
        <v>44</v>
      </c>
      <c r="R1312" t="s">
        <v>45</v>
      </c>
      <c r="S1312" t="s">
        <v>46</v>
      </c>
      <c r="T1312">
        <v>2021</v>
      </c>
      <c r="U1312" t="s">
        <v>86</v>
      </c>
    </row>
    <row r="1313" spans="1:21" x14ac:dyDescent="0.35">
      <c r="A1313" s="1">
        <v>45903</v>
      </c>
      <c r="B1313" t="s">
        <v>32</v>
      </c>
      <c r="C1313" t="s">
        <v>33</v>
      </c>
      <c r="D1313" t="s">
        <v>34</v>
      </c>
      <c r="E1313">
        <v>44</v>
      </c>
      <c r="F1313">
        <v>20</v>
      </c>
      <c r="G1313">
        <f t="shared" si="60"/>
        <v>880</v>
      </c>
      <c r="H1313">
        <v>12</v>
      </c>
      <c r="I1313">
        <f t="shared" si="61"/>
        <v>528</v>
      </c>
      <c r="J1313">
        <f t="shared" si="62"/>
        <v>352</v>
      </c>
      <c r="K1313" t="s">
        <v>42</v>
      </c>
      <c r="L1313" t="s">
        <v>73</v>
      </c>
      <c r="M1313" t="s">
        <v>37</v>
      </c>
      <c r="N1313" t="s">
        <v>43</v>
      </c>
      <c r="O1313">
        <v>777</v>
      </c>
      <c r="P1313">
        <v>44</v>
      </c>
      <c r="Q1313" t="s">
        <v>90</v>
      </c>
      <c r="R1313" t="s">
        <v>55</v>
      </c>
      <c r="S1313" t="s">
        <v>85</v>
      </c>
      <c r="T1313">
        <v>2021</v>
      </c>
      <c r="U1313" t="s">
        <v>91</v>
      </c>
    </row>
    <row r="1314" spans="1:21" x14ac:dyDescent="0.35">
      <c r="A1314" s="1">
        <v>45904</v>
      </c>
      <c r="B1314" t="s">
        <v>58</v>
      </c>
      <c r="C1314" t="s">
        <v>59</v>
      </c>
      <c r="D1314" t="s">
        <v>60</v>
      </c>
      <c r="E1314">
        <v>147</v>
      </c>
      <c r="F1314">
        <v>5</v>
      </c>
      <c r="G1314">
        <f t="shared" si="60"/>
        <v>735</v>
      </c>
      <c r="H1314">
        <v>3</v>
      </c>
      <c r="I1314">
        <f t="shared" si="61"/>
        <v>441</v>
      </c>
      <c r="J1314">
        <f t="shared" si="62"/>
        <v>294</v>
      </c>
      <c r="K1314" t="s">
        <v>24</v>
      </c>
      <c r="L1314" t="s">
        <v>73</v>
      </c>
      <c r="M1314" t="s">
        <v>61</v>
      </c>
      <c r="N1314" t="s">
        <v>43</v>
      </c>
      <c r="O1314">
        <v>986</v>
      </c>
      <c r="P1314">
        <v>147</v>
      </c>
      <c r="Q1314" t="s">
        <v>87</v>
      </c>
      <c r="R1314" t="s">
        <v>88</v>
      </c>
      <c r="S1314" t="s">
        <v>89</v>
      </c>
      <c r="T1314">
        <v>2023</v>
      </c>
      <c r="U1314" t="s">
        <v>96</v>
      </c>
    </row>
    <row r="1315" spans="1:21" x14ac:dyDescent="0.35">
      <c r="A1315" s="1">
        <v>45905</v>
      </c>
      <c r="B1315" t="s">
        <v>98</v>
      </c>
      <c r="C1315" t="s">
        <v>99</v>
      </c>
      <c r="D1315" t="s">
        <v>100</v>
      </c>
      <c r="E1315">
        <v>375</v>
      </c>
      <c r="F1315">
        <v>6</v>
      </c>
      <c r="G1315">
        <f t="shared" si="60"/>
        <v>2250</v>
      </c>
      <c r="H1315">
        <v>4</v>
      </c>
      <c r="I1315">
        <f t="shared" si="61"/>
        <v>1500</v>
      </c>
      <c r="J1315">
        <f t="shared" si="62"/>
        <v>750</v>
      </c>
      <c r="K1315" t="s">
        <v>35</v>
      </c>
      <c r="L1315" t="s">
        <v>25</v>
      </c>
      <c r="M1315" t="s">
        <v>61</v>
      </c>
      <c r="N1315" t="s">
        <v>43</v>
      </c>
      <c r="O1315">
        <v>906</v>
      </c>
      <c r="P1315">
        <v>375</v>
      </c>
      <c r="Q1315" t="s">
        <v>67</v>
      </c>
      <c r="R1315" t="s">
        <v>68</v>
      </c>
      <c r="S1315" t="s">
        <v>69</v>
      </c>
      <c r="T1315">
        <v>2020</v>
      </c>
      <c r="U1315" t="s">
        <v>86</v>
      </c>
    </row>
    <row r="1316" spans="1:21" x14ac:dyDescent="0.35">
      <c r="A1316" s="1">
        <v>45906</v>
      </c>
      <c r="B1316" t="s">
        <v>32</v>
      </c>
      <c r="C1316" t="s">
        <v>33</v>
      </c>
      <c r="D1316" t="s">
        <v>34</v>
      </c>
      <c r="E1316">
        <v>445</v>
      </c>
      <c r="F1316">
        <v>20</v>
      </c>
      <c r="G1316">
        <f t="shared" si="60"/>
        <v>8900</v>
      </c>
      <c r="H1316">
        <v>12</v>
      </c>
      <c r="I1316">
        <f t="shared" si="61"/>
        <v>5340</v>
      </c>
      <c r="J1316">
        <f t="shared" si="62"/>
        <v>3560</v>
      </c>
      <c r="K1316" t="s">
        <v>35</v>
      </c>
      <c r="L1316" t="s">
        <v>25</v>
      </c>
      <c r="M1316" t="s">
        <v>37</v>
      </c>
      <c r="N1316" t="s">
        <v>43</v>
      </c>
      <c r="O1316">
        <v>974</v>
      </c>
      <c r="P1316">
        <v>445</v>
      </c>
      <c r="Q1316" t="s">
        <v>74</v>
      </c>
      <c r="R1316" t="s">
        <v>75</v>
      </c>
      <c r="S1316" t="s">
        <v>76</v>
      </c>
      <c r="T1316">
        <v>2021</v>
      </c>
      <c r="U1316" t="s">
        <v>96</v>
      </c>
    </row>
    <row r="1317" spans="1:21" x14ac:dyDescent="0.35">
      <c r="A1317" s="1">
        <v>45907</v>
      </c>
      <c r="B1317" t="s">
        <v>58</v>
      </c>
      <c r="C1317" t="s">
        <v>59</v>
      </c>
      <c r="D1317" t="s">
        <v>60</v>
      </c>
      <c r="E1317">
        <v>95</v>
      </c>
      <c r="F1317">
        <v>5</v>
      </c>
      <c r="G1317">
        <f t="shared" si="60"/>
        <v>475</v>
      </c>
      <c r="H1317">
        <v>3</v>
      </c>
      <c r="I1317">
        <f t="shared" si="61"/>
        <v>285</v>
      </c>
      <c r="J1317">
        <f t="shared" si="62"/>
        <v>190</v>
      </c>
      <c r="K1317" t="s">
        <v>42</v>
      </c>
      <c r="L1317" t="s">
        <v>63</v>
      </c>
      <c r="M1317" t="s">
        <v>61</v>
      </c>
      <c r="N1317" t="s">
        <v>43</v>
      </c>
      <c r="O1317">
        <v>971</v>
      </c>
      <c r="P1317">
        <v>95</v>
      </c>
      <c r="Q1317" t="s">
        <v>70</v>
      </c>
      <c r="R1317" t="s">
        <v>71</v>
      </c>
      <c r="S1317" t="s">
        <v>72</v>
      </c>
      <c r="T1317">
        <v>2023</v>
      </c>
      <c r="U1317" t="s">
        <v>91</v>
      </c>
    </row>
    <row r="1318" spans="1:21" x14ac:dyDescent="0.35">
      <c r="A1318" s="1">
        <v>45908</v>
      </c>
      <c r="B1318" t="s">
        <v>32</v>
      </c>
      <c r="C1318" t="s">
        <v>33</v>
      </c>
      <c r="D1318" t="s">
        <v>34</v>
      </c>
      <c r="E1318">
        <v>446</v>
      </c>
      <c r="F1318">
        <v>20</v>
      </c>
      <c r="G1318">
        <f t="shared" si="60"/>
        <v>8920</v>
      </c>
      <c r="H1318">
        <v>12</v>
      </c>
      <c r="I1318">
        <f t="shared" si="61"/>
        <v>5352</v>
      </c>
      <c r="J1318">
        <f t="shared" si="62"/>
        <v>3568</v>
      </c>
      <c r="K1318" t="s">
        <v>42</v>
      </c>
      <c r="L1318" t="s">
        <v>73</v>
      </c>
      <c r="M1318" t="s">
        <v>61</v>
      </c>
      <c r="N1318" t="s">
        <v>27</v>
      </c>
      <c r="O1318">
        <v>950</v>
      </c>
      <c r="P1318">
        <v>446</v>
      </c>
      <c r="Q1318" t="s">
        <v>74</v>
      </c>
      <c r="R1318" t="s">
        <v>75</v>
      </c>
      <c r="S1318" t="s">
        <v>76</v>
      </c>
      <c r="T1318">
        <v>2024</v>
      </c>
      <c r="U1318" t="s">
        <v>105</v>
      </c>
    </row>
    <row r="1319" spans="1:21" x14ac:dyDescent="0.35">
      <c r="A1319" s="1">
        <v>45909</v>
      </c>
      <c r="B1319" t="s">
        <v>48</v>
      </c>
      <c r="C1319" t="s">
        <v>49</v>
      </c>
      <c r="D1319" t="s">
        <v>50</v>
      </c>
      <c r="E1319">
        <v>391</v>
      </c>
      <c r="F1319">
        <v>150</v>
      </c>
      <c r="G1319">
        <f t="shared" si="60"/>
        <v>58650</v>
      </c>
      <c r="H1319">
        <v>100</v>
      </c>
      <c r="I1319">
        <f t="shared" si="61"/>
        <v>39100</v>
      </c>
      <c r="J1319">
        <f t="shared" si="62"/>
        <v>19550</v>
      </c>
      <c r="K1319" t="s">
        <v>42</v>
      </c>
      <c r="L1319" t="s">
        <v>36</v>
      </c>
      <c r="M1319" t="s">
        <v>26</v>
      </c>
      <c r="N1319" t="s">
        <v>43</v>
      </c>
      <c r="O1319">
        <v>883</v>
      </c>
      <c r="P1319">
        <v>391</v>
      </c>
      <c r="Q1319" t="s">
        <v>64</v>
      </c>
      <c r="R1319" t="s">
        <v>29</v>
      </c>
      <c r="S1319" t="s">
        <v>65</v>
      </c>
      <c r="T1319">
        <v>2021</v>
      </c>
      <c r="U1319" t="s">
        <v>96</v>
      </c>
    </row>
    <row r="1320" spans="1:21" x14ac:dyDescent="0.35">
      <c r="A1320" s="1">
        <v>45910</v>
      </c>
      <c r="B1320" t="s">
        <v>98</v>
      </c>
      <c r="C1320" t="s">
        <v>99</v>
      </c>
      <c r="D1320" t="s">
        <v>100</v>
      </c>
      <c r="E1320">
        <v>276</v>
      </c>
      <c r="F1320">
        <v>6</v>
      </c>
      <c r="G1320">
        <f t="shared" si="60"/>
        <v>1656</v>
      </c>
      <c r="H1320">
        <v>4</v>
      </c>
      <c r="I1320">
        <f t="shared" si="61"/>
        <v>1104</v>
      </c>
      <c r="J1320">
        <f t="shared" si="62"/>
        <v>552</v>
      </c>
      <c r="K1320" t="s">
        <v>42</v>
      </c>
      <c r="L1320" t="s">
        <v>63</v>
      </c>
      <c r="M1320" t="s">
        <v>26</v>
      </c>
      <c r="N1320" t="s">
        <v>38</v>
      </c>
      <c r="O1320">
        <v>669</v>
      </c>
      <c r="P1320">
        <v>276</v>
      </c>
      <c r="Q1320" t="s">
        <v>106</v>
      </c>
      <c r="R1320" t="s">
        <v>107</v>
      </c>
      <c r="S1320" t="s">
        <v>108</v>
      </c>
      <c r="T1320">
        <v>2020</v>
      </c>
      <c r="U1320" t="s">
        <v>86</v>
      </c>
    </row>
    <row r="1321" spans="1:21" x14ac:dyDescent="0.35">
      <c r="A1321" s="1">
        <v>45911</v>
      </c>
      <c r="B1321" t="s">
        <v>98</v>
      </c>
      <c r="C1321" t="s">
        <v>99</v>
      </c>
      <c r="D1321" t="s">
        <v>100</v>
      </c>
      <c r="E1321">
        <v>369</v>
      </c>
      <c r="F1321">
        <v>6</v>
      </c>
      <c r="G1321">
        <f t="shared" si="60"/>
        <v>2214</v>
      </c>
      <c r="H1321">
        <v>4</v>
      </c>
      <c r="I1321">
        <f t="shared" si="61"/>
        <v>1476</v>
      </c>
      <c r="J1321">
        <f t="shared" si="62"/>
        <v>738</v>
      </c>
      <c r="K1321" t="s">
        <v>35</v>
      </c>
      <c r="L1321" t="s">
        <v>63</v>
      </c>
      <c r="M1321" t="s">
        <v>26</v>
      </c>
      <c r="N1321" t="s">
        <v>43</v>
      </c>
      <c r="O1321">
        <v>759</v>
      </c>
      <c r="P1321">
        <v>369</v>
      </c>
      <c r="Q1321" t="s">
        <v>28</v>
      </c>
      <c r="R1321" t="s">
        <v>29</v>
      </c>
      <c r="S1321" t="s">
        <v>30</v>
      </c>
      <c r="T1321">
        <v>2024</v>
      </c>
      <c r="U1321" t="s">
        <v>86</v>
      </c>
    </row>
    <row r="1322" spans="1:21" x14ac:dyDescent="0.35">
      <c r="A1322" s="1">
        <v>45912</v>
      </c>
      <c r="B1322" t="s">
        <v>58</v>
      </c>
      <c r="C1322" t="s">
        <v>59</v>
      </c>
      <c r="D1322" t="s">
        <v>60</v>
      </c>
      <c r="E1322">
        <v>285</v>
      </c>
      <c r="F1322">
        <v>5</v>
      </c>
      <c r="G1322">
        <f t="shared" si="60"/>
        <v>1425</v>
      </c>
      <c r="H1322">
        <v>3</v>
      </c>
      <c r="I1322">
        <f t="shared" si="61"/>
        <v>855</v>
      </c>
      <c r="J1322">
        <f t="shared" si="62"/>
        <v>570</v>
      </c>
      <c r="K1322" t="s">
        <v>42</v>
      </c>
      <c r="L1322" t="s">
        <v>25</v>
      </c>
      <c r="M1322" t="s">
        <v>26</v>
      </c>
      <c r="N1322" t="s">
        <v>38</v>
      </c>
      <c r="O1322">
        <v>610</v>
      </c>
      <c r="P1322">
        <v>285</v>
      </c>
      <c r="Q1322" t="s">
        <v>51</v>
      </c>
      <c r="R1322" t="s">
        <v>45</v>
      </c>
      <c r="S1322" t="s">
        <v>52</v>
      </c>
      <c r="T1322">
        <v>2022</v>
      </c>
      <c r="U1322" t="s">
        <v>97</v>
      </c>
    </row>
    <row r="1323" spans="1:21" x14ac:dyDescent="0.35">
      <c r="A1323" s="1">
        <v>45913</v>
      </c>
      <c r="B1323" t="s">
        <v>80</v>
      </c>
      <c r="C1323" t="s">
        <v>81</v>
      </c>
      <c r="D1323" t="s">
        <v>82</v>
      </c>
      <c r="E1323">
        <v>315</v>
      </c>
      <c r="F1323">
        <v>2.5</v>
      </c>
      <c r="G1323">
        <f t="shared" si="60"/>
        <v>787.5</v>
      </c>
      <c r="H1323">
        <v>1.5</v>
      </c>
      <c r="I1323">
        <f t="shared" si="61"/>
        <v>472.5</v>
      </c>
      <c r="J1323">
        <f t="shared" si="62"/>
        <v>315</v>
      </c>
      <c r="K1323" t="s">
        <v>24</v>
      </c>
      <c r="L1323" t="s">
        <v>73</v>
      </c>
      <c r="M1323" t="s">
        <v>37</v>
      </c>
      <c r="N1323" t="s">
        <v>38</v>
      </c>
      <c r="O1323">
        <v>782</v>
      </c>
      <c r="P1323">
        <v>315</v>
      </c>
      <c r="Q1323" t="s">
        <v>77</v>
      </c>
      <c r="R1323" t="s">
        <v>78</v>
      </c>
      <c r="S1323" t="s">
        <v>79</v>
      </c>
      <c r="T1323">
        <v>2021</v>
      </c>
      <c r="U1323" t="s">
        <v>91</v>
      </c>
    </row>
    <row r="1324" spans="1:21" x14ac:dyDescent="0.35">
      <c r="A1324" s="1">
        <v>45914</v>
      </c>
      <c r="B1324" t="s">
        <v>98</v>
      </c>
      <c r="C1324" t="s">
        <v>99</v>
      </c>
      <c r="D1324" t="s">
        <v>100</v>
      </c>
      <c r="E1324">
        <v>175</v>
      </c>
      <c r="F1324">
        <v>6</v>
      </c>
      <c r="G1324">
        <f t="shared" si="60"/>
        <v>1050</v>
      </c>
      <c r="H1324">
        <v>4</v>
      </c>
      <c r="I1324">
        <f t="shared" si="61"/>
        <v>700</v>
      </c>
      <c r="J1324">
        <f t="shared" si="62"/>
        <v>350</v>
      </c>
      <c r="K1324" t="s">
        <v>24</v>
      </c>
      <c r="L1324" t="s">
        <v>36</v>
      </c>
      <c r="M1324" t="s">
        <v>37</v>
      </c>
      <c r="N1324" t="s">
        <v>38</v>
      </c>
      <c r="O1324">
        <v>501</v>
      </c>
      <c r="P1324">
        <v>175</v>
      </c>
      <c r="Q1324" t="s">
        <v>106</v>
      </c>
      <c r="R1324" t="s">
        <v>107</v>
      </c>
      <c r="S1324" t="s">
        <v>108</v>
      </c>
      <c r="T1324">
        <v>2021</v>
      </c>
      <c r="U1324" t="s">
        <v>31</v>
      </c>
    </row>
    <row r="1325" spans="1:21" x14ac:dyDescent="0.35">
      <c r="A1325" s="1">
        <v>45915</v>
      </c>
      <c r="B1325" t="s">
        <v>48</v>
      </c>
      <c r="C1325" t="s">
        <v>49</v>
      </c>
      <c r="D1325" t="s">
        <v>50</v>
      </c>
      <c r="E1325">
        <v>195</v>
      </c>
      <c r="F1325">
        <v>150</v>
      </c>
      <c r="G1325">
        <f t="shared" si="60"/>
        <v>29250</v>
      </c>
      <c r="H1325">
        <v>100</v>
      </c>
      <c r="I1325">
        <f t="shared" si="61"/>
        <v>19500</v>
      </c>
      <c r="J1325">
        <f t="shared" si="62"/>
        <v>9750</v>
      </c>
      <c r="K1325" t="s">
        <v>24</v>
      </c>
      <c r="L1325" t="s">
        <v>73</v>
      </c>
      <c r="M1325" t="s">
        <v>26</v>
      </c>
      <c r="N1325" t="s">
        <v>38</v>
      </c>
      <c r="O1325">
        <v>940</v>
      </c>
      <c r="P1325">
        <v>195</v>
      </c>
      <c r="Q1325" t="s">
        <v>77</v>
      </c>
      <c r="R1325" t="s">
        <v>78</v>
      </c>
      <c r="S1325" t="s">
        <v>79</v>
      </c>
      <c r="T1325">
        <v>2024</v>
      </c>
      <c r="U1325" t="s">
        <v>31</v>
      </c>
    </row>
    <row r="1326" spans="1:21" x14ac:dyDescent="0.35">
      <c r="A1326" s="1">
        <v>45916</v>
      </c>
      <c r="B1326" t="s">
        <v>58</v>
      </c>
      <c r="C1326" t="s">
        <v>59</v>
      </c>
      <c r="D1326" t="s">
        <v>60</v>
      </c>
      <c r="E1326">
        <v>324</v>
      </c>
      <c r="F1326">
        <v>5</v>
      </c>
      <c r="G1326">
        <f t="shared" si="60"/>
        <v>1620</v>
      </c>
      <c r="H1326">
        <v>3</v>
      </c>
      <c r="I1326">
        <f t="shared" si="61"/>
        <v>972</v>
      </c>
      <c r="J1326">
        <f t="shared" si="62"/>
        <v>648</v>
      </c>
      <c r="K1326" t="s">
        <v>42</v>
      </c>
      <c r="L1326" t="s">
        <v>36</v>
      </c>
      <c r="M1326" t="s">
        <v>37</v>
      </c>
      <c r="N1326" t="s">
        <v>27</v>
      </c>
      <c r="O1326">
        <v>738</v>
      </c>
      <c r="P1326">
        <v>324</v>
      </c>
      <c r="Q1326" t="s">
        <v>39</v>
      </c>
      <c r="R1326" t="s">
        <v>40</v>
      </c>
      <c r="S1326" t="s">
        <v>41</v>
      </c>
      <c r="T1326">
        <v>2022</v>
      </c>
      <c r="U1326" t="s">
        <v>47</v>
      </c>
    </row>
    <row r="1327" spans="1:21" x14ac:dyDescent="0.35">
      <c r="A1327" s="1">
        <v>45917</v>
      </c>
      <c r="B1327" t="s">
        <v>21</v>
      </c>
      <c r="C1327" t="s">
        <v>22</v>
      </c>
      <c r="D1327" t="s">
        <v>23</v>
      </c>
      <c r="E1327">
        <v>460</v>
      </c>
      <c r="F1327">
        <v>8</v>
      </c>
      <c r="G1327">
        <f t="shared" si="60"/>
        <v>3680</v>
      </c>
      <c r="H1327">
        <v>5</v>
      </c>
      <c r="I1327">
        <f t="shared" si="61"/>
        <v>2300</v>
      </c>
      <c r="J1327">
        <f t="shared" si="62"/>
        <v>1380</v>
      </c>
      <c r="K1327" t="s">
        <v>35</v>
      </c>
      <c r="L1327" t="s">
        <v>73</v>
      </c>
      <c r="M1327" t="s">
        <v>26</v>
      </c>
      <c r="N1327" t="s">
        <v>38</v>
      </c>
      <c r="O1327">
        <v>927</v>
      </c>
      <c r="P1327">
        <v>460</v>
      </c>
      <c r="Q1327" t="s">
        <v>51</v>
      </c>
      <c r="R1327" t="s">
        <v>45</v>
      </c>
      <c r="S1327" t="s">
        <v>52</v>
      </c>
      <c r="T1327">
        <v>2023</v>
      </c>
      <c r="U1327" t="s">
        <v>57</v>
      </c>
    </row>
    <row r="1328" spans="1:21" x14ac:dyDescent="0.35">
      <c r="A1328" s="1">
        <v>45918</v>
      </c>
      <c r="B1328" t="s">
        <v>80</v>
      </c>
      <c r="C1328" t="s">
        <v>81</v>
      </c>
      <c r="D1328" t="s">
        <v>82</v>
      </c>
      <c r="E1328">
        <v>227</v>
      </c>
      <c r="F1328">
        <v>2.5</v>
      </c>
      <c r="G1328">
        <f t="shared" si="60"/>
        <v>567.5</v>
      </c>
      <c r="H1328">
        <v>1.5</v>
      </c>
      <c r="I1328">
        <f t="shared" si="61"/>
        <v>340.5</v>
      </c>
      <c r="J1328">
        <f t="shared" si="62"/>
        <v>227</v>
      </c>
      <c r="K1328" t="s">
        <v>35</v>
      </c>
      <c r="L1328" t="s">
        <v>73</v>
      </c>
      <c r="M1328" t="s">
        <v>37</v>
      </c>
      <c r="N1328" t="s">
        <v>38</v>
      </c>
      <c r="O1328">
        <v>629</v>
      </c>
      <c r="P1328">
        <v>227</v>
      </c>
      <c r="Q1328" t="s">
        <v>28</v>
      </c>
      <c r="R1328" t="s">
        <v>29</v>
      </c>
      <c r="S1328" t="s">
        <v>30</v>
      </c>
      <c r="T1328">
        <v>2020</v>
      </c>
      <c r="U1328" t="s">
        <v>62</v>
      </c>
    </row>
    <row r="1329" spans="1:21" x14ac:dyDescent="0.35">
      <c r="A1329" s="1">
        <v>45919</v>
      </c>
      <c r="B1329" t="s">
        <v>80</v>
      </c>
      <c r="C1329" t="s">
        <v>81</v>
      </c>
      <c r="D1329" t="s">
        <v>82</v>
      </c>
      <c r="E1329">
        <v>285</v>
      </c>
      <c r="F1329">
        <v>2.5</v>
      </c>
      <c r="G1329">
        <f t="shared" si="60"/>
        <v>712.5</v>
      </c>
      <c r="H1329">
        <v>1.5</v>
      </c>
      <c r="I1329">
        <f t="shared" si="61"/>
        <v>427.5</v>
      </c>
      <c r="J1329">
        <f t="shared" si="62"/>
        <v>285</v>
      </c>
      <c r="K1329" t="s">
        <v>24</v>
      </c>
      <c r="L1329" t="s">
        <v>36</v>
      </c>
      <c r="M1329" t="s">
        <v>37</v>
      </c>
      <c r="N1329" t="s">
        <v>38</v>
      </c>
      <c r="O1329">
        <v>984</v>
      </c>
      <c r="P1329">
        <v>285</v>
      </c>
      <c r="Q1329" t="s">
        <v>67</v>
      </c>
      <c r="R1329" t="s">
        <v>68</v>
      </c>
      <c r="S1329" t="s">
        <v>69</v>
      </c>
      <c r="T1329">
        <v>2024</v>
      </c>
      <c r="U1329" t="s">
        <v>105</v>
      </c>
    </row>
    <row r="1330" spans="1:21" x14ac:dyDescent="0.35">
      <c r="A1330" s="1">
        <v>45920</v>
      </c>
      <c r="B1330" t="s">
        <v>32</v>
      </c>
      <c r="C1330" t="s">
        <v>33</v>
      </c>
      <c r="D1330" t="s">
        <v>34</v>
      </c>
      <c r="E1330">
        <v>145</v>
      </c>
      <c r="F1330">
        <v>20</v>
      </c>
      <c r="G1330">
        <f t="shared" si="60"/>
        <v>2900</v>
      </c>
      <c r="H1330">
        <v>12</v>
      </c>
      <c r="I1330">
        <f t="shared" si="61"/>
        <v>1740</v>
      </c>
      <c r="J1330">
        <f t="shared" si="62"/>
        <v>1160</v>
      </c>
      <c r="K1330" t="s">
        <v>24</v>
      </c>
      <c r="L1330" t="s">
        <v>63</v>
      </c>
      <c r="M1330" t="s">
        <v>37</v>
      </c>
      <c r="N1330" t="s">
        <v>38</v>
      </c>
      <c r="O1330">
        <v>630</v>
      </c>
      <c r="P1330">
        <v>145</v>
      </c>
      <c r="Q1330" t="s">
        <v>83</v>
      </c>
      <c r="R1330" t="s">
        <v>84</v>
      </c>
      <c r="S1330" t="s">
        <v>85</v>
      </c>
      <c r="T1330">
        <v>2024</v>
      </c>
      <c r="U1330" t="s">
        <v>47</v>
      </c>
    </row>
    <row r="1331" spans="1:21" x14ac:dyDescent="0.35">
      <c r="A1331" s="1">
        <v>45921</v>
      </c>
      <c r="B1331" t="s">
        <v>21</v>
      </c>
      <c r="C1331" t="s">
        <v>22</v>
      </c>
      <c r="D1331" t="s">
        <v>23</v>
      </c>
      <c r="E1331">
        <v>237</v>
      </c>
      <c r="F1331">
        <v>8</v>
      </c>
      <c r="G1331">
        <f t="shared" si="60"/>
        <v>1896</v>
      </c>
      <c r="H1331">
        <v>5</v>
      </c>
      <c r="I1331">
        <f t="shared" si="61"/>
        <v>1185</v>
      </c>
      <c r="J1331">
        <f t="shared" si="62"/>
        <v>711</v>
      </c>
      <c r="K1331" t="s">
        <v>24</v>
      </c>
      <c r="L1331" t="s">
        <v>63</v>
      </c>
      <c r="M1331" t="s">
        <v>26</v>
      </c>
      <c r="N1331" t="s">
        <v>27</v>
      </c>
      <c r="O1331">
        <v>862</v>
      </c>
      <c r="P1331">
        <v>237</v>
      </c>
      <c r="Q1331" t="s">
        <v>64</v>
      </c>
      <c r="R1331" t="s">
        <v>29</v>
      </c>
      <c r="S1331" t="s">
        <v>65</v>
      </c>
      <c r="T1331">
        <v>2020</v>
      </c>
      <c r="U1331" t="s">
        <v>31</v>
      </c>
    </row>
    <row r="1332" spans="1:21" x14ac:dyDescent="0.35">
      <c r="A1332" s="1">
        <v>45922</v>
      </c>
      <c r="B1332" t="s">
        <v>48</v>
      </c>
      <c r="C1332" t="s">
        <v>49</v>
      </c>
      <c r="D1332" t="s">
        <v>50</v>
      </c>
      <c r="E1332">
        <v>460</v>
      </c>
      <c r="F1332">
        <v>150</v>
      </c>
      <c r="G1332">
        <f t="shared" si="60"/>
        <v>69000</v>
      </c>
      <c r="H1332">
        <v>100</v>
      </c>
      <c r="I1332">
        <f t="shared" si="61"/>
        <v>46000</v>
      </c>
      <c r="J1332">
        <f t="shared" si="62"/>
        <v>23000</v>
      </c>
      <c r="K1332" t="s">
        <v>35</v>
      </c>
      <c r="L1332" t="s">
        <v>25</v>
      </c>
      <c r="M1332" t="s">
        <v>61</v>
      </c>
      <c r="N1332" t="s">
        <v>38</v>
      </c>
      <c r="O1332">
        <v>772</v>
      </c>
      <c r="P1332">
        <v>460</v>
      </c>
      <c r="Q1332" t="s">
        <v>87</v>
      </c>
      <c r="R1332" t="s">
        <v>88</v>
      </c>
      <c r="S1332" t="s">
        <v>89</v>
      </c>
      <c r="T1332">
        <v>2023</v>
      </c>
      <c r="U1332" t="s">
        <v>53</v>
      </c>
    </row>
    <row r="1333" spans="1:21" x14ac:dyDescent="0.35">
      <c r="A1333" s="1">
        <v>45923</v>
      </c>
      <c r="B1333" t="s">
        <v>48</v>
      </c>
      <c r="C1333" t="s">
        <v>49</v>
      </c>
      <c r="D1333" t="s">
        <v>50</v>
      </c>
      <c r="E1333">
        <v>199</v>
      </c>
      <c r="F1333">
        <v>150</v>
      </c>
      <c r="G1333">
        <f t="shared" si="60"/>
        <v>29850</v>
      </c>
      <c r="H1333">
        <v>100</v>
      </c>
      <c r="I1333">
        <f t="shared" si="61"/>
        <v>19900</v>
      </c>
      <c r="J1333">
        <f t="shared" si="62"/>
        <v>9950</v>
      </c>
      <c r="K1333" t="s">
        <v>24</v>
      </c>
      <c r="L1333" t="s">
        <v>73</v>
      </c>
      <c r="M1333" t="s">
        <v>61</v>
      </c>
      <c r="N1333" t="s">
        <v>38</v>
      </c>
      <c r="O1333">
        <v>669</v>
      </c>
      <c r="P1333">
        <v>199</v>
      </c>
      <c r="Q1333" t="s">
        <v>70</v>
      </c>
      <c r="R1333" t="s">
        <v>71</v>
      </c>
      <c r="S1333" t="s">
        <v>72</v>
      </c>
      <c r="T1333">
        <v>2024</v>
      </c>
      <c r="U1333" t="s">
        <v>62</v>
      </c>
    </row>
    <row r="1334" spans="1:21" x14ac:dyDescent="0.35">
      <c r="A1334" s="1">
        <v>45924</v>
      </c>
      <c r="B1334" t="s">
        <v>48</v>
      </c>
      <c r="C1334" t="s">
        <v>49</v>
      </c>
      <c r="D1334" t="s">
        <v>50</v>
      </c>
      <c r="E1334">
        <v>301</v>
      </c>
      <c r="F1334">
        <v>150</v>
      </c>
      <c r="G1334">
        <f t="shared" si="60"/>
        <v>45150</v>
      </c>
      <c r="H1334">
        <v>100</v>
      </c>
      <c r="I1334">
        <f t="shared" si="61"/>
        <v>30100</v>
      </c>
      <c r="J1334">
        <f t="shared" si="62"/>
        <v>15050</v>
      </c>
      <c r="K1334" t="s">
        <v>35</v>
      </c>
      <c r="L1334" t="s">
        <v>73</v>
      </c>
      <c r="M1334" t="s">
        <v>26</v>
      </c>
      <c r="N1334" t="s">
        <v>43</v>
      </c>
      <c r="O1334">
        <v>705</v>
      </c>
      <c r="P1334">
        <v>301</v>
      </c>
      <c r="Q1334" t="s">
        <v>94</v>
      </c>
      <c r="R1334" t="s">
        <v>75</v>
      </c>
      <c r="S1334" t="s">
        <v>95</v>
      </c>
      <c r="T1334">
        <v>2023</v>
      </c>
      <c r="U1334" t="s">
        <v>86</v>
      </c>
    </row>
    <row r="1335" spans="1:21" x14ac:dyDescent="0.35">
      <c r="A1335" s="1">
        <v>45925</v>
      </c>
      <c r="B1335" t="s">
        <v>21</v>
      </c>
      <c r="C1335" t="s">
        <v>22</v>
      </c>
      <c r="D1335" t="s">
        <v>23</v>
      </c>
      <c r="E1335">
        <v>61</v>
      </c>
      <c r="F1335">
        <v>8</v>
      </c>
      <c r="G1335">
        <f t="shared" si="60"/>
        <v>488</v>
      </c>
      <c r="H1335">
        <v>5</v>
      </c>
      <c r="I1335">
        <f t="shared" si="61"/>
        <v>305</v>
      </c>
      <c r="J1335">
        <f t="shared" si="62"/>
        <v>183</v>
      </c>
      <c r="K1335" t="s">
        <v>42</v>
      </c>
      <c r="L1335" t="s">
        <v>63</v>
      </c>
      <c r="M1335" t="s">
        <v>26</v>
      </c>
      <c r="N1335" t="s">
        <v>43</v>
      </c>
      <c r="O1335">
        <v>528</v>
      </c>
      <c r="P1335">
        <v>61</v>
      </c>
      <c r="Q1335" t="s">
        <v>28</v>
      </c>
      <c r="R1335" t="s">
        <v>29</v>
      </c>
      <c r="S1335" t="s">
        <v>30</v>
      </c>
      <c r="T1335">
        <v>2021</v>
      </c>
      <c r="U1335" t="s">
        <v>105</v>
      </c>
    </row>
    <row r="1336" spans="1:21" x14ac:dyDescent="0.35">
      <c r="A1336" s="1">
        <v>45926</v>
      </c>
      <c r="B1336" t="s">
        <v>21</v>
      </c>
      <c r="C1336" t="s">
        <v>22</v>
      </c>
      <c r="D1336" t="s">
        <v>23</v>
      </c>
      <c r="E1336">
        <v>245</v>
      </c>
      <c r="F1336">
        <v>8</v>
      </c>
      <c r="G1336">
        <f t="shared" si="60"/>
        <v>1960</v>
      </c>
      <c r="H1336">
        <v>5</v>
      </c>
      <c r="I1336">
        <f t="shared" si="61"/>
        <v>1225</v>
      </c>
      <c r="J1336">
        <f t="shared" si="62"/>
        <v>735</v>
      </c>
      <c r="K1336" t="s">
        <v>35</v>
      </c>
      <c r="L1336" t="s">
        <v>25</v>
      </c>
      <c r="M1336" t="s">
        <v>26</v>
      </c>
      <c r="N1336" t="s">
        <v>38</v>
      </c>
      <c r="O1336">
        <v>670</v>
      </c>
      <c r="P1336">
        <v>245</v>
      </c>
      <c r="Q1336" t="s">
        <v>67</v>
      </c>
      <c r="R1336" t="s">
        <v>68</v>
      </c>
      <c r="S1336" t="s">
        <v>69</v>
      </c>
      <c r="T1336">
        <v>2020</v>
      </c>
      <c r="U1336" t="s">
        <v>57</v>
      </c>
    </row>
    <row r="1337" spans="1:21" x14ac:dyDescent="0.35">
      <c r="A1337" s="1">
        <v>45927</v>
      </c>
      <c r="B1337" t="s">
        <v>48</v>
      </c>
      <c r="C1337" t="s">
        <v>49</v>
      </c>
      <c r="D1337" t="s">
        <v>50</v>
      </c>
      <c r="E1337">
        <v>15</v>
      </c>
      <c r="F1337">
        <v>150</v>
      </c>
      <c r="G1337">
        <f t="shared" si="60"/>
        <v>2250</v>
      </c>
      <c r="H1337">
        <v>100</v>
      </c>
      <c r="I1337">
        <f t="shared" si="61"/>
        <v>1500</v>
      </c>
      <c r="J1337">
        <f t="shared" si="62"/>
        <v>750</v>
      </c>
      <c r="K1337" t="s">
        <v>42</v>
      </c>
      <c r="L1337" t="s">
        <v>36</v>
      </c>
      <c r="M1337" t="s">
        <v>61</v>
      </c>
      <c r="N1337" t="s">
        <v>38</v>
      </c>
      <c r="O1337">
        <v>836</v>
      </c>
      <c r="P1337">
        <v>15</v>
      </c>
      <c r="Q1337" t="s">
        <v>44</v>
      </c>
      <c r="R1337" t="s">
        <v>45</v>
      </c>
      <c r="S1337" t="s">
        <v>46</v>
      </c>
      <c r="T1337">
        <v>2020</v>
      </c>
      <c r="U1337" t="s">
        <v>97</v>
      </c>
    </row>
    <row r="1338" spans="1:21" x14ac:dyDescent="0.35">
      <c r="A1338" s="1">
        <v>45928</v>
      </c>
      <c r="B1338" t="s">
        <v>98</v>
      </c>
      <c r="C1338" t="s">
        <v>99</v>
      </c>
      <c r="D1338" t="s">
        <v>100</v>
      </c>
      <c r="E1338">
        <v>429</v>
      </c>
      <c r="F1338">
        <v>6</v>
      </c>
      <c r="G1338">
        <f t="shared" si="60"/>
        <v>2574</v>
      </c>
      <c r="H1338">
        <v>4</v>
      </c>
      <c r="I1338">
        <f t="shared" si="61"/>
        <v>1716</v>
      </c>
      <c r="J1338">
        <f t="shared" si="62"/>
        <v>858</v>
      </c>
      <c r="K1338" t="s">
        <v>42</v>
      </c>
      <c r="L1338" t="s">
        <v>36</v>
      </c>
      <c r="M1338" t="s">
        <v>26</v>
      </c>
      <c r="N1338" t="s">
        <v>38</v>
      </c>
      <c r="O1338">
        <v>735</v>
      </c>
      <c r="P1338">
        <v>429</v>
      </c>
      <c r="Q1338" t="s">
        <v>94</v>
      </c>
      <c r="R1338" t="s">
        <v>75</v>
      </c>
      <c r="S1338" t="s">
        <v>95</v>
      </c>
      <c r="T1338">
        <v>2024</v>
      </c>
      <c r="U1338" t="s">
        <v>109</v>
      </c>
    </row>
    <row r="1339" spans="1:21" x14ac:dyDescent="0.35">
      <c r="A1339" s="1">
        <v>45929</v>
      </c>
      <c r="B1339" t="s">
        <v>80</v>
      </c>
      <c r="C1339" t="s">
        <v>81</v>
      </c>
      <c r="D1339" t="s">
        <v>82</v>
      </c>
      <c r="E1339">
        <v>158</v>
      </c>
      <c r="F1339">
        <v>2.5</v>
      </c>
      <c r="G1339">
        <f t="shared" si="60"/>
        <v>395</v>
      </c>
      <c r="H1339">
        <v>1.5</v>
      </c>
      <c r="I1339">
        <f t="shared" si="61"/>
        <v>237</v>
      </c>
      <c r="J1339">
        <f t="shared" si="62"/>
        <v>158</v>
      </c>
      <c r="K1339" t="s">
        <v>24</v>
      </c>
      <c r="L1339" t="s">
        <v>36</v>
      </c>
      <c r="M1339" t="s">
        <v>26</v>
      </c>
      <c r="N1339" t="s">
        <v>43</v>
      </c>
      <c r="O1339">
        <v>661</v>
      </c>
      <c r="P1339">
        <v>158</v>
      </c>
      <c r="Q1339" t="s">
        <v>77</v>
      </c>
      <c r="R1339" t="s">
        <v>78</v>
      </c>
      <c r="S1339" t="s">
        <v>79</v>
      </c>
      <c r="T1339">
        <v>2021</v>
      </c>
      <c r="U1339" t="s">
        <v>53</v>
      </c>
    </row>
    <row r="1340" spans="1:21" x14ac:dyDescent="0.35">
      <c r="A1340" s="1">
        <v>45930</v>
      </c>
      <c r="B1340" t="s">
        <v>98</v>
      </c>
      <c r="C1340" t="s">
        <v>99</v>
      </c>
      <c r="D1340" t="s">
        <v>100</v>
      </c>
      <c r="E1340">
        <v>201</v>
      </c>
      <c r="F1340">
        <v>6</v>
      </c>
      <c r="G1340">
        <f t="shared" si="60"/>
        <v>1206</v>
      </c>
      <c r="H1340">
        <v>4</v>
      </c>
      <c r="I1340">
        <f t="shared" si="61"/>
        <v>804</v>
      </c>
      <c r="J1340">
        <f t="shared" si="62"/>
        <v>402</v>
      </c>
      <c r="K1340" t="s">
        <v>35</v>
      </c>
      <c r="L1340" t="s">
        <v>25</v>
      </c>
      <c r="M1340" t="s">
        <v>37</v>
      </c>
      <c r="N1340" t="s">
        <v>27</v>
      </c>
      <c r="O1340">
        <v>932</v>
      </c>
      <c r="P1340">
        <v>201</v>
      </c>
      <c r="Q1340" t="s">
        <v>87</v>
      </c>
      <c r="R1340" t="s">
        <v>88</v>
      </c>
      <c r="S1340" t="s">
        <v>89</v>
      </c>
      <c r="T1340">
        <v>2023</v>
      </c>
      <c r="U1340" t="s">
        <v>66</v>
      </c>
    </row>
    <row r="1341" spans="1:21" x14ac:dyDescent="0.35">
      <c r="A1341" s="1">
        <v>45931</v>
      </c>
      <c r="B1341" t="s">
        <v>80</v>
      </c>
      <c r="C1341" t="s">
        <v>81</v>
      </c>
      <c r="D1341" t="s">
        <v>82</v>
      </c>
      <c r="E1341">
        <v>435</v>
      </c>
      <c r="F1341">
        <v>2.5</v>
      </c>
      <c r="G1341">
        <f t="shared" si="60"/>
        <v>1087.5</v>
      </c>
      <c r="H1341">
        <v>1.5</v>
      </c>
      <c r="I1341">
        <f t="shared" si="61"/>
        <v>652.5</v>
      </c>
      <c r="J1341">
        <f t="shared" si="62"/>
        <v>435</v>
      </c>
      <c r="K1341" t="s">
        <v>24</v>
      </c>
      <c r="L1341" t="s">
        <v>63</v>
      </c>
      <c r="M1341" t="s">
        <v>37</v>
      </c>
      <c r="N1341" t="s">
        <v>27</v>
      </c>
      <c r="O1341">
        <v>927</v>
      </c>
      <c r="P1341">
        <v>435</v>
      </c>
      <c r="Q1341" t="s">
        <v>103</v>
      </c>
      <c r="R1341" t="s">
        <v>68</v>
      </c>
      <c r="S1341" t="s">
        <v>104</v>
      </c>
      <c r="T1341">
        <v>2020</v>
      </c>
      <c r="U1341" t="s">
        <v>31</v>
      </c>
    </row>
    <row r="1342" spans="1:21" x14ac:dyDescent="0.35">
      <c r="A1342" s="1">
        <v>45932</v>
      </c>
      <c r="B1342" t="s">
        <v>32</v>
      </c>
      <c r="C1342" t="s">
        <v>33</v>
      </c>
      <c r="D1342" t="s">
        <v>34</v>
      </c>
      <c r="E1342">
        <v>143</v>
      </c>
      <c r="F1342">
        <v>20</v>
      </c>
      <c r="G1342">
        <f t="shared" si="60"/>
        <v>2860</v>
      </c>
      <c r="H1342">
        <v>12</v>
      </c>
      <c r="I1342">
        <f t="shared" si="61"/>
        <v>1716</v>
      </c>
      <c r="J1342">
        <f t="shared" si="62"/>
        <v>1144</v>
      </c>
      <c r="K1342" t="s">
        <v>42</v>
      </c>
      <c r="L1342" t="s">
        <v>63</v>
      </c>
      <c r="M1342" t="s">
        <v>26</v>
      </c>
      <c r="N1342" t="s">
        <v>38</v>
      </c>
      <c r="O1342">
        <v>821</v>
      </c>
      <c r="P1342">
        <v>143</v>
      </c>
      <c r="Q1342" t="s">
        <v>113</v>
      </c>
      <c r="R1342" t="s">
        <v>114</v>
      </c>
      <c r="S1342" t="s">
        <v>115</v>
      </c>
      <c r="T1342">
        <v>2022</v>
      </c>
      <c r="U1342" t="s">
        <v>31</v>
      </c>
    </row>
    <row r="1343" spans="1:21" x14ac:dyDescent="0.35">
      <c r="A1343" s="1">
        <v>45933</v>
      </c>
      <c r="B1343" t="s">
        <v>32</v>
      </c>
      <c r="C1343" t="s">
        <v>33</v>
      </c>
      <c r="D1343" t="s">
        <v>34</v>
      </c>
      <c r="E1343">
        <v>495</v>
      </c>
      <c r="F1343">
        <v>20</v>
      </c>
      <c r="G1343">
        <f t="shared" si="60"/>
        <v>9900</v>
      </c>
      <c r="H1343">
        <v>12</v>
      </c>
      <c r="I1343">
        <f t="shared" si="61"/>
        <v>5940</v>
      </c>
      <c r="J1343">
        <f t="shared" si="62"/>
        <v>3960</v>
      </c>
      <c r="K1343" t="s">
        <v>24</v>
      </c>
      <c r="L1343" t="s">
        <v>25</v>
      </c>
      <c r="M1343" t="s">
        <v>61</v>
      </c>
      <c r="N1343" t="s">
        <v>38</v>
      </c>
      <c r="O1343">
        <v>544</v>
      </c>
      <c r="P1343">
        <v>495</v>
      </c>
      <c r="Q1343" t="s">
        <v>90</v>
      </c>
      <c r="R1343" t="s">
        <v>55</v>
      </c>
      <c r="S1343" t="s">
        <v>85</v>
      </c>
      <c r="T1343">
        <v>2021</v>
      </c>
      <c r="U1343" t="s">
        <v>66</v>
      </c>
    </row>
    <row r="1344" spans="1:21" x14ac:dyDescent="0.35">
      <c r="A1344" s="1">
        <v>45934</v>
      </c>
      <c r="B1344" t="s">
        <v>32</v>
      </c>
      <c r="C1344" t="s">
        <v>33</v>
      </c>
      <c r="D1344" t="s">
        <v>34</v>
      </c>
      <c r="E1344">
        <v>246</v>
      </c>
      <c r="F1344">
        <v>20</v>
      </c>
      <c r="G1344">
        <f t="shared" si="60"/>
        <v>4920</v>
      </c>
      <c r="H1344">
        <v>12</v>
      </c>
      <c r="I1344">
        <f t="shared" si="61"/>
        <v>2952</v>
      </c>
      <c r="J1344">
        <f t="shared" si="62"/>
        <v>1968</v>
      </c>
      <c r="K1344" t="s">
        <v>35</v>
      </c>
      <c r="L1344" t="s">
        <v>63</v>
      </c>
      <c r="M1344" t="s">
        <v>61</v>
      </c>
      <c r="N1344" t="s">
        <v>43</v>
      </c>
      <c r="O1344">
        <v>800</v>
      </c>
      <c r="P1344">
        <v>246</v>
      </c>
      <c r="Q1344" t="s">
        <v>39</v>
      </c>
      <c r="R1344" t="s">
        <v>40</v>
      </c>
      <c r="S1344" t="s">
        <v>41</v>
      </c>
      <c r="T1344">
        <v>2021</v>
      </c>
      <c r="U1344" t="s">
        <v>53</v>
      </c>
    </row>
    <row r="1345" spans="1:21" x14ac:dyDescent="0.35">
      <c r="A1345" s="1">
        <v>45935</v>
      </c>
      <c r="B1345" t="s">
        <v>98</v>
      </c>
      <c r="C1345" t="s">
        <v>99</v>
      </c>
      <c r="D1345" t="s">
        <v>100</v>
      </c>
      <c r="E1345">
        <v>53</v>
      </c>
      <c r="F1345">
        <v>6</v>
      </c>
      <c r="G1345">
        <f t="shared" si="60"/>
        <v>318</v>
      </c>
      <c r="H1345">
        <v>4</v>
      </c>
      <c r="I1345">
        <f t="shared" si="61"/>
        <v>212</v>
      </c>
      <c r="J1345">
        <f t="shared" si="62"/>
        <v>106</v>
      </c>
      <c r="K1345" t="s">
        <v>24</v>
      </c>
      <c r="L1345" t="s">
        <v>73</v>
      </c>
      <c r="M1345" t="s">
        <v>61</v>
      </c>
      <c r="N1345" t="s">
        <v>38</v>
      </c>
      <c r="O1345">
        <v>513</v>
      </c>
      <c r="P1345">
        <v>53</v>
      </c>
      <c r="Q1345" t="s">
        <v>74</v>
      </c>
      <c r="R1345" t="s">
        <v>75</v>
      </c>
      <c r="S1345" t="s">
        <v>76</v>
      </c>
      <c r="T1345">
        <v>2022</v>
      </c>
      <c r="U1345" t="s">
        <v>53</v>
      </c>
    </row>
    <row r="1346" spans="1:21" x14ac:dyDescent="0.35">
      <c r="A1346" s="1">
        <v>45936</v>
      </c>
      <c r="B1346" t="s">
        <v>48</v>
      </c>
      <c r="C1346" t="s">
        <v>49</v>
      </c>
      <c r="D1346" t="s">
        <v>50</v>
      </c>
      <c r="E1346">
        <v>172</v>
      </c>
      <c r="F1346">
        <v>150</v>
      </c>
      <c r="G1346">
        <f t="shared" si="60"/>
        <v>25800</v>
      </c>
      <c r="H1346">
        <v>100</v>
      </c>
      <c r="I1346">
        <f t="shared" si="61"/>
        <v>17200</v>
      </c>
      <c r="J1346">
        <f t="shared" si="62"/>
        <v>8600</v>
      </c>
      <c r="K1346" t="s">
        <v>24</v>
      </c>
      <c r="L1346" t="s">
        <v>25</v>
      </c>
      <c r="M1346" t="s">
        <v>26</v>
      </c>
      <c r="N1346" t="s">
        <v>43</v>
      </c>
      <c r="O1346">
        <v>673</v>
      </c>
      <c r="P1346">
        <v>172</v>
      </c>
      <c r="Q1346" t="s">
        <v>70</v>
      </c>
      <c r="R1346" t="s">
        <v>71</v>
      </c>
      <c r="S1346" t="s">
        <v>72</v>
      </c>
      <c r="T1346">
        <v>2024</v>
      </c>
      <c r="U1346" t="s">
        <v>97</v>
      </c>
    </row>
    <row r="1347" spans="1:21" x14ac:dyDescent="0.35">
      <c r="A1347" s="1">
        <v>45937</v>
      </c>
      <c r="B1347" t="s">
        <v>98</v>
      </c>
      <c r="C1347" t="s">
        <v>99</v>
      </c>
      <c r="D1347" t="s">
        <v>100</v>
      </c>
      <c r="E1347">
        <v>468</v>
      </c>
      <c r="F1347">
        <v>6</v>
      </c>
      <c r="G1347">
        <f t="shared" ref="G1347:G1410" si="63">E1347*F1347</f>
        <v>2808</v>
      </c>
      <c r="H1347">
        <v>4</v>
      </c>
      <c r="I1347">
        <f t="shared" ref="I1347:I1410" si="64">E1347*H1347</f>
        <v>1872</v>
      </c>
      <c r="J1347">
        <f t="shared" ref="J1347:J1410" si="65">G1347-I1347</f>
        <v>936</v>
      </c>
      <c r="K1347" t="s">
        <v>35</v>
      </c>
      <c r="L1347" t="s">
        <v>25</v>
      </c>
      <c r="M1347" t="s">
        <v>26</v>
      </c>
      <c r="N1347" t="s">
        <v>43</v>
      </c>
      <c r="O1347">
        <v>913</v>
      </c>
      <c r="P1347">
        <v>468</v>
      </c>
      <c r="Q1347" t="s">
        <v>103</v>
      </c>
      <c r="R1347" t="s">
        <v>68</v>
      </c>
      <c r="S1347" t="s">
        <v>104</v>
      </c>
      <c r="T1347">
        <v>2023</v>
      </c>
      <c r="U1347" t="s">
        <v>62</v>
      </c>
    </row>
    <row r="1348" spans="1:21" x14ac:dyDescent="0.35">
      <c r="A1348" s="1">
        <v>45938</v>
      </c>
      <c r="B1348" t="s">
        <v>58</v>
      </c>
      <c r="C1348" t="s">
        <v>59</v>
      </c>
      <c r="D1348" t="s">
        <v>60</v>
      </c>
      <c r="E1348">
        <v>214</v>
      </c>
      <c r="F1348">
        <v>5</v>
      </c>
      <c r="G1348">
        <f t="shared" si="63"/>
        <v>1070</v>
      </c>
      <c r="H1348">
        <v>3</v>
      </c>
      <c r="I1348">
        <f t="shared" si="64"/>
        <v>642</v>
      </c>
      <c r="J1348">
        <f t="shared" si="65"/>
        <v>428</v>
      </c>
      <c r="K1348" t="s">
        <v>35</v>
      </c>
      <c r="L1348" t="s">
        <v>25</v>
      </c>
      <c r="M1348" t="s">
        <v>26</v>
      </c>
      <c r="N1348" t="s">
        <v>27</v>
      </c>
      <c r="O1348">
        <v>535</v>
      </c>
      <c r="P1348">
        <v>214</v>
      </c>
      <c r="Q1348" t="s">
        <v>67</v>
      </c>
      <c r="R1348" t="s">
        <v>68</v>
      </c>
      <c r="S1348" t="s">
        <v>69</v>
      </c>
      <c r="T1348">
        <v>2022</v>
      </c>
      <c r="U1348" t="s">
        <v>91</v>
      </c>
    </row>
    <row r="1349" spans="1:21" x14ac:dyDescent="0.35">
      <c r="A1349" s="1">
        <v>45939</v>
      </c>
      <c r="B1349" t="s">
        <v>32</v>
      </c>
      <c r="C1349" t="s">
        <v>33</v>
      </c>
      <c r="D1349" t="s">
        <v>34</v>
      </c>
      <c r="E1349">
        <v>436</v>
      </c>
      <c r="F1349">
        <v>20</v>
      </c>
      <c r="G1349">
        <f t="shared" si="63"/>
        <v>8720</v>
      </c>
      <c r="H1349">
        <v>12</v>
      </c>
      <c r="I1349">
        <f t="shared" si="64"/>
        <v>5232</v>
      </c>
      <c r="J1349">
        <f t="shared" si="65"/>
        <v>3488</v>
      </c>
      <c r="K1349" t="s">
        <v>42</v>
      </c>
      <c r="L1349" t="s">
        <v>63</v>
      </c>
      <c r="M1349" t="s">
        <v>37</v>
      </c>
      <c r="N1349" t="s">
        <v>27</v>
      </c>
      <c r="O1349">
        <v>920</v>
      </c>
      <c r="P1349">
        <v>436</v>
      </c>
      <c r="Q1349" t="s">
        <v>44</v>
      </c>
      <c r="R1349" t="s">
        <v>45</v>
      </c>
      <c r="S1349" t="s">
        <v>46</v>
      </c>
      <c r="T1349">
        <v>2023</v>
      </c>
      <c r="U1349" t="s">
        <v>91</v>
      </c>
    </row>
    <row r="1350" spans="1:21" x14ac:dyDescent="0.35">
      <c r="A1350" s="1">
        <v>45940</v>
      </c>
      <c r="B1350" t="s">
        <v>21</v>
      </c>
      <c r="C1350" t="s">
        <v>22</v>
      </c>
      <c r="D1350" t="s">
        <v>23</v>
      </c>
      <c r="E1350">
        <v>245</v>
      </c>
      <c r="F1350">
        <v>8</v>
      </c>
      <c r="G1350">
        <f t="shared" si="63"/>
        <v>1960</v>
      </c>
      <c r="H1350">
        <v>5</v>
      </c>
      <c r="I1350">
        <f t="shared" si="64"/>
        <v>1225</v>
      </c>
      <c r="J1350">
        <f t="shared" si="65"/>
        <v>735</v>
      </c>
      <c r="K1350" t="s">
        <v>24</v>
      </c>
      <c r="L1350" t="s">
        <v>36</v>
      </c>
      <c r="M1350" t="s">
        <v>61</v>
      </c>
      <c r="N1350" t="s">
        <v>38</v>
      </c>
      <c r="O1350">
        <v>612</v>
      </c>
      <c r="P1350">
        <v>245</v>
      </c>
      <c r="Q1350" t="s">
        <v>64</v>
      </c>
      <c r="R1350" t="s">
        <v>29</v>
      </c>
      <c r="S1350" t="s">
        <v>65</v>
      </c>
      <c r="T1350">
        <v>2020</v>
      </c>
      <c r="U1350" t="s">
        <v>96</v>
      </c>
    </row>
    <row r="1351" spans="1:21" x14ac:dyDescent="0.35">
      <c r="A1351" s="1">
        <v>45941</v>
      </c>
      <c r="B1351" t="s">
        <v>58</v>
      </c>
      <c r="C1351" t="s">
        <v>59</v>
      </c>
      <c r="D1351" t="s">
        <v>60</v>
      </c>
      <c r="E1351">
        <v>314</v>
      </c>
      <c r="F1351">
        <v>5</v>
      </c>
      <c r="G1351">
        <f t="shared" si="63"/>
        <v>1570</v>
      </c>
      <c r="H1351">
        <v>3</v>
      </c>
      <c r="I1351">
        <f t="shared" si="64"/>
        <v>942</v>
      </c>
      <c r="J1351">
        <f t="shared" si="65"/>
        <v>628</v>
      </c>
      <c r="K1351" t="s">
        <v>35</v>
      </c>
      <c r="L1351" t="s">
        <v>63</v>
      </c>
      <c r="M1351" t="s">
        <v>61</v>
      </c>
      <c r="N1351" t="s">
        <v>27</v>
      </c>
      <c r="O1351">
        <v>919</v>
      </c>
      <c r="P1351">
        <v>314</v>
      </c>
      <c r="Q1351" t="s">
        <v>106</v>
      </c>
      <c r="R1351" t="s">
        <v>107</v>
      </c>
      <c r="S1351" t="s">
        <v>108</v>
      </c>
      <c r="T1351">
        <v>2022</v>
      </c>
      <c r="U1351" t="s">
        <v>62</v>
      </c>
    </row>
    <row r="1352" spans="1:21" x14ac:dyDescent="0.35">
      <c r="A1352" s="1">
        <v>45942</v>
      </c>
      <c r="B1352" t="s">
        <v>48</v>
      </c>
      <c r="C1352" t="s">
        <v>49</v>
      </c>
      <c r="D1352" t="s">
        <v>50</v>
      </c>
      <c r="E1352">
        <v>147</v>
      </c>
      <c r="F1352">
        <v>150</v>
      </c>
      <c r="G1352">
        <f t="shared" si="63"/>
        <v>22050</v>
      </c>
      <c r="H1352">
        <v>100</v>
      </c>
      <c r="I1352">
        <f t="shared" si="64"/>
        <v>14700</v>
      </c>
      <c r="J1352">
        <f t="shared" si="65"/>
        <v>7350</v>
      </c>
      <c r="K1352" t="s">
        <v>24</v>
      </c>
      <c r="L1352" t="s">
        <v>73</v>
      </c>
      <c r="M1352" t="s">
        <v>37</v>
      </c>
      <c r="N1352" t="s">
        <v>43</v>
      </c>
      <c r="O1352">
        <v>649</v>
      </c>
      <c r="P1352">
        <v>147</v>
      </c>
      <c r="Q1352" t="s">
        <v>92</v>
      </c>
      <c r="R1352" t="s">
        <v>45</v>
      </c>
      <c r="S1352" t="s">
        <v>93</v>
      </c>
      <c r="T1352">
        <v>2020</v>
      </c>
      <c r="U1352" t="s">
        <v>47</v>
      </c>
    </row>
    <row r="1353" spans="1:21" x14ac:dyDescent="0.35">
      <c r="A1353" s="1">
        <v>45943</v>
      </c>
      <c r="B1353" t="s">
        <v>48</v>
      </c>
      <c r="C1353" t="s">
        <v>49</v>
      </c>
      <c r="D1353" t="s">
        <v>50</v>
      </c>
      <c r="E1353">
        <v>94</v>
      </c>
      <c r="F1353">
        <v>150</v>
      </c>
      <c r="G1353">
        <f t="shared" si="63"/>
        <v>14100</v>
      </c>
      <c r="H1353">
        <v>100</v>
      </c>
      <c r="I1353">
        <f t="shared" si="64"/>
        <v>9400</v>
      </c>
      <c r="J1353">
        <f t="shared" si="65"/>
        <v>4700</v>
      </c>
      <c r="K1353" t="s">
        <v>35</v>
      </c>
      <c r="L1353" t="s">
        <v>63</v>
      </c>
      <c r="M1353" t="s">
        <v>61</v>
      </c>
      <c r="N1353" t="s">
        <v>38</v>
      </c>
      <c r="O1353">
        <v>685</v>
      </c>
      <c r="P1353">
        <v>94</v>
      </c>
      <c r="Q1353" t="s">
        <v>94</v>
      </c>
      <c r="R1353" t="s">
        <v>75</v>
      </c>
      <c r="S1353" t="s">
        <v>95</v>
      </c>
      <c r="T1353">
        <v>2021</v>
      </c>
      <c r="U1353" t="s">
        <v>96</v>
      </c>
    </row>
    <row r="1354" spans="1:21" x14ac:dyDescent="0.35">
      <c r="A1354" s="1">
        <v>45944</v>
      </c>
      <c r="B1354" t="s">
        <v>58</v>
      </c>
      <c r="C1354" t="s">
        <v>59</v>
      </c>
      <c r="D1354" t="s">
        <v>60</v>
      </c>
      <c r="E1354">
        <v>290</v>
      </c>
      <c r="F1354">
        <v>5</v>
      </c>
      <c r="G1354">
        <f t="shared" si="63"/>
        <v>1450</v>
      </c>
      <c r="H1354">
        <v>3</v>
      </c>
      <c r="I1354">
        <f t="shared" si="64"/>
        <v>870</v>
      </c>
      <c r="J1354">
        <f t="shared" si="65"/>
        <v>580</v>
      </c>
      <c r="K1354" t="s">
        <v>42</v>
      </c>
      <c r="L1354" t="s">
        <v>63</v>
      </c>
      <c r="M1354" t="s">
        <v>61</v>
      </c>
      <c r="N1354" t="s">
        <v>43</v>
      </c>
      <c r="O1354">
        <v>777</v>
      </c>
      <c r="P1354">
        <v>290</v>
      </c>
      <c r="Q1354" t="s">
        <v>28</v>
      </c>
      <c r="R1354" t="s">
        <v>29</v>
      </c>
      <c r="S1354" t="s">
        <v>30</v>
      </c>
      <c r="T1354">
        <v>2020</v>
      </c>
      <c r="U1354" t="s">
        <v>57</v>
      </c>
    </row>
    <row r="1355" spans="1:21" x14ac:dyDescent="0.35">
      <c r="A1355" s="1">
        <v>45945</v>
      </c>
      <c r="B1355" t="s">
        <v>21</v>
      </c>
      <c r="C1355" t="s">
        <v>22</v>
      </c>
      <c r="D1355" t="s">
        <v>23</v>
      </c>
      <c r="E1355">
        <v>249</v>
      </c>
      <c r="F1355">
        <v>8</v>
      </c>
      <c r="G1355">
        <f t="shared" si="63"/>
        <v>1992</v>
      </c>
      <c r="H1355">
        <v>5</v>
      </c>
      <c r="I1355">
        <f t="shared" si="64"/>
        <v>1245</v>
      </c>
      <c r="J1355">
        <f t="shared" si="65"/>
        <v>747</v>
      </c>
      <c r="K1355" t="s">
        <v>35</v>
      </c>
      <c r="L1355" t="s">
        <v>25</v>
      </c>
      <c r="M1355" t="s">
        <v>37</v>
      </c>
      <c r="N1355" t="s">
        <v>43</v>
      </c>
      <c r="O1355">
        <v>778</v>
      </c>
      <c r="P1355">
        <v>249</v>
      </c>
      <c r="Q1355" t="s">
        <v>67</v>
      </c>
      <c r="R1355" t="s">
        <v>68</v>
      </c>
      <c r="S1355" t="s">
        <v>69</v>
      </c>
      <c r="T1355">
        <v>2021</v>
      </c>
      <c r="U1355" t="s">
        <v>109</v>
      </c>
    </row>
    <row r="1356" spans="1:21" x14ac:dyDescent="0.35">
      <c r="A1356" s="1">
        <v>45946</v>
      </c>
      <c r="B1356" t="s">
        <v>32</v>
      </c>
      <c r="C1356" t="s">
        <v>33</v>
      </c>
      <c r="D1356" t="s">
        <v>34</v>
      </c>
      <c r="E1356">
        <v>349</v>
      </c>
      <c r="F1356">
        <v>20</v>
      </c>
      <c r="G1356">
        <f t="shared" si="63"/>
        <v>6980</v>
      </c>
      <c r="H1356">
        <v>12</v>
      </c>
      <c r="I1356">
        <f t="shared" si="64"/>
        <v>4188</v>
      </c>
      <c r="J1356">
        <f t="shared" si="65"/>
        <v>2792</v>
      </c>
      <c r="K1356" t="s">
        <v>35</v>
      </c>
      <c r="L1356" t="s">
        <v>63</v>
      </c>
      <c r="M1356" t="s">
        <v>26</v>
      </c>
      <c r="N1356" t="s">
        <v>27</v>
      </c>
      <c r="O1356">
        <v>829</v>
      </c>
      <c r="P1356">
        <v>349</v>
      </c>
      <c r="Q1356" t="s">
        <v>77</v>
      </c>
      <c r="R1356" t="s">
        <v>78</v>
      </c>
      <c r="S1356" t="s">
        <v>79</v>
      </c>
      <c r="T1356">
        <v>2021</v>
      </c>
      <c r="U1356" t="s">
        <v>91</v>
      </c>
    </row>
    <row r="1357" spans="1:21" x14ac:dyDescent="0.35">
      <c r="A1357" s="1">
        <v>45947</v>
      </c>
      <c r="B1357" t="s">
        <v>48</v>
      </c>
      <c r="C1357" t="s">
        <v>49</v>
      </c>
      <c r="D1357" t="s">
        <v>50</v>
      </c>
      <c r="E1357">
        <v>218</v>
      </c>
      <c r="F1357">
        <v>150</v>
      </c>
      <c r="G1357">
        <f t="shared" si="63"/>
        <v>32700</v>
      </c>
      <c r="H1357">
        <v>100</v>
      </c>
      <c r="I1357">
        <f t="shared" si="64"/>
        <v>21800</v>
      </c>
      <c r="J1357">
        <f t="shared" si="65"/>
        <v>10900</v>
      </c>
      <c r="K1357" t="s">
        <v>35</v>
      </c>
      <c r="L1357" t="s">
        <v>73</v>
      </c>
      <c r="M1357" t="s">
        <v>26</v>
      </c>
      <c r="N1357" t="s">
        <v>27</v>
      </c>
      <c r="O1357">
        <v>741</v>
      </c>
      <c r="P1357">
        <v>218</v>
      </c>
      <c r="Q1357" t="s">
        <v>44</v>
      </c>
      <c r="R1357" t="s">
        <v>45</v>
      </c>
      <c r="S1357" t="s">
        <v>46</v>
      </c>
      <c r="T1357">
        <v>2024</v>
      </c>
      <c r="U1357" t="s">
        <v>96</v>
      </c>
    </row>
    <row r="1358" spans="1:21" x14ac:dyDescent="0.35">
      <c r="A1358" s="1">
        <v>45948</v>
      </c>
      <c r="B1358" t="s">
        <v>48</v>
      </c>
      <c r="C1358" t="s">
        <v>49</v>
      </c>
      <c r="D1358" t="s">
        <v>50</v>
      </c>
      <c r="E1358">
        <v>57</v>
      </c>
      <c r="F1358">
        <v>150</v>
      </c>
      <c r="G1358">
        <f t="shared" si="63"/>
        <v>8550</v>
      </c>
      <c r="H1358">
        <v>100</v>
      </c>
      <c r="I1358">
        <f t="shared" si="64"/>
        <v>5700</v>
      </c>
      <c r="J1358">
        <f t="shared" si="65"/>
        <v>2850</v>
      </c>
      <c r="K1358" t="s">
        <v>24</v>
      </c>
      <c r="L1358" t="s">
        <v>25</v>
      </c>
      <c r="M1358" t="s">
        <v>37</v>
      </c>
      <c r="N1358" t="s">
        <v>27</v>
      </c>
      <c r="O1358">
        <v>792</v>
      </c>
      <c r="P1358">
        <v>57</v>
      </c>
      <c r="Q1358" t="s">
        <v>90</v>
      </c>
      <c r="R1358" t="s">
        <v>55</v>
      </c>
      <c r="S1358" t="s">
        <v>85</v>
      </c>
      <c r="T1358">
        <v>2022</v>
      </c>
      <c r="U1358" t="s">
        <v>109</v>
      </c>
    </row>
    <row r="1359" spans="1:21" x14ac:dyDescent="0.35">
      <c r="A1359" s="1">
        <v>45949</v>
      </c>
      <c r="B1359" t="s">
        <v>21</v>
      </c>
      <c r="C1359" t="s">
        <v>22</v>
      </c>
      <c r="D1359" t="s">
        <v>23</v>
      </c>
      <c r="E1359">
        <v>278</v>
      </c>
      <c r="F1359">
        <v>8</v>
      </c>
      <c r="G1359">
        <f t="shared" si="63"/>
        <v>2224</v>
      </c>
      <c r="H1359">
        <v>5</v>
      </c>
      <c r="I1359">
        <f t="shared" si="64"/>
        <v>1390</v>
      </c>
      <c r="J1359">
        <f t="shared" si="65"/>
        <v>834</v>
      </c>
      <c r="K1359" t="s">
        <v>42</v>
      </c>
      <c r="L1359" t="s">
        <v>36</v>
      </c>
      <c r="M1359" t="s">
        <v>61</v>
      </c>
      <c r="N1359" t="s">
        <v>43</v>
      </c>
      <c r="O1359">
        <v>514</v>
      </c>
      <c r="P1359">
        <v>278</v>
      </c>
      <c r="Q1359" t="s">
        <v>92</v>
      </c>
      <c r="R1359" t="s">
        <v>45</v>
      </c>
      <c r="S1359" t="s">
        <v>93</v>
      </c>
      <c r="T1359">
        <v>2024</v>
      </c>
      <c r="U1359" t="s">
        <v>62</v>
      </c>
    </row>
    <row r="1360" spans="1:21" x14ac:dyDescent="0.35">
      <c r="A1360" s="1">
        <v>45950</v>
      </c>
      <c r="B1360" t="s">
        <v>21</v>
      </c>
      <c r="C1360" t="s">
        <v>22</v>
      </c>
      <c r="D1360" t="s">
        <v>23</v>
      </c>
      <c r="E1360">
        <v>88</v>
      </c>
      <c r="F1360">
        <v>8</v>
      </c>
      <c r="G1360">
        <f t="shared" si="63"/>
        <v>704</v>
      </c>
      <c r="H1360">
        <v>5</v>
      </c>
      <c r="I1360">
        <f t="shared" si="64"/>
        <v>440</v>
      </c>
      <c r="J1360">
        <f t="shared" si="65"/>
        <v>264</v>
      </c>
      <c r="K1360" t="s">
        <v>35</v>
      </c>
      <c r="L1360" t="s">
        <v>63</v>
      </c>
      <c r="M1360" t="s">
        <v>61</v>
      </c>
      <c r="N1360" t="s">
        <v>27</v>
      </c>
      <c r="O1360">
        <v>540</v>
      </c>
      <c r="P1360">
        <v>88</v>
      </c>
      <c r="Q1360" t="s">
        <v>92</v>
      </c>
      <c r="R1360" t="s">
        <v>45</v>
      </c>
      <c r="S1360" t="s">
        <v>93</v>
      </c>
      <c r="T1360">
        <v>2021</v>
      </c>
      <c r="U1360" t="s">
        <v>109</v>
      </c>
    </row>
    <row r="1361" spans="1:21" x14ac:dyDescent="0.35">
      <c r="A1361" s="1">
        <v>45951</v>
      </c>
      <c r="B1361" t="s">
        <v>21</v>
      </c>
      <c r="C1361" t="s">
        <v>22</v>
      </c>
      <c r="D1361" t="s">
        <v>23</v>
      </c>
      <c r="E1361">
        <v>399</v>
      </c>
      <c r="F1361">
        <v>8</v>
      </c>
      <c r="G1361">
        <f t="shared" si="63"/>
        <v>3192</v>
      </c>
      <c r="H1361">
        <v>5</v>
      </c>
      <c r="I1361">
        <f t="shared" si="64"/>
        <v>1995</v>
      </c>
      <c r="J1361">
        <f t="shared" si="65"/>
        <v>1197</v>
      </c>
      <c r="K1361" t="s">
        <v>42</v>
      </c>
      <c r="L1361" t="s">
        <v>63</v>
      </c>
      <c r="M1361" t="s">
        <v>37</v>
      </c>
      <c r="N1361" t="s">
        <v>27</v>
      </c>
      <c r="O1361">
        <v>996</v>
      </c>
      <c r="P1361">
        <v>399</v>
      </c>
      <c r="Q1361" t="s">
        <v>110</v>
      </c>
      <c r="R1361" t="s">
        <v>111</v>
      </c>
      <c r="S1361" t="s">
        <v>112</v>
      </c>
      <c r="T1361">
        <v>2021</v>
      </c>
      <c r="U1361" t="s">
        <v>66</v>
      </c>
    </row>
    <row r="1362" spans="1:21" x14ac:dyDescent="0.35">
      <c r="A1362" s="1">
        <v>45952</v>
      </c>
      <c r="B1362" t="s">
        <v>98</v>
      </c>
      <c r="C1362" t="s">
        <v>99</v>
      </c>
      <c r="D1362" t="s">
        <v>100</v>
      </c>
      <c r="E1362">
        <v>202</v>
      </c>
      <c r="F1362">
        <v>6</v>
      </c>
      <c r="G1362">
        <f t="shared" si="63"/>
        <v>1212</v>
      </c>
      <c r="H1362">
        <v>4</v>
      </c>
      <c r="I1362">
        <f t="shared" si="64"/>
        <v>808</v>
      </c>
      <c r="J1362">
        <f t="shared" si="65"/>
        <v>404</v>
      </c>
      <c r="K1362" t="s">
        <v>24</v>
      </c>
      <c r="L1362" t="s">
        <v>63</v>
      </c>
      <c r="M1362" t="s">
        <v>26</v>
      </c>
      <c r="N1362" t="s">
        <v>38</v>
      </c>
      <c r="O1362">
        <v>977</v>
      </c>
      <c r="P1362">
        <v>202</v>
      </c>
      <c r="Q1362" t="s">
        <v>44</v>
      </c>
      <c r="R1362" t="s">
        <v>45</v>
      </c>
      <c r="S1362" t="s">
        <v>46</v>
      </c>
      <c r="T1362">
        <v>2020</v>
      </c>
      <c r="U1362" t="s">
        <v>62</v>
      </c>
    </row>
    <row r="1363" spans="1:21" x14ac:dyDescent="0.35">
      <c r="A1363" s="1">
        <v>45953</v>
      </c>
      <c r="B1363" t="s">
        <v>48</v>
      </c>
      <c r="C1363" t="s">
        <v>49</v>
      </c>
      <c r="D1363" t="s">
        <v>50</v>
      </c>
      <c r="E1363">
        <v>245</v>
      </c>
      <c r="F1363">
        <v>150</v>
      </c>
      <c r="G1363">
        <f t="shared" si="63"/>
        <v>36750</v>
      </c>
      <c r="H1363">
        <v>100</v>
      </c>
      <c r="I1363">
        <f t="shared" si="64"/>
        <v>24500</v>
      </c>
      <c r="J1363">
        <f t="shared" si="65"/>
        <v>12250</v>
      </c>
      <c r="K1363" t="s">
        <v>42</v>
      </c>
      <c r="L1363" t="s">
        <v>25</v>
      </c>
      <c r="M1363" t="s">
        <v>61</v>
      </c>
      <c r="N1363" t="s">
        <v>43</v>
      </c>
      <c r="O1363">
        <v>972</v>
      </c>
      <c r="P1363">
        <v>245</v>
      </c>
      <c r="Q1363" t="s">
        <v>74</v>
      </c>
      <c r="R1363" t="s">
        <v>75</v>
      </c>
      <c r="S1363" t="s">
        <v>76</v>
      </c>
      <c r="T1363">
        <v>2021</v>
      </c>
      <c r="U1363" t="s">
        <v>96</v>
      </c>
    </row>
    <row r="1364" spans="1:21" x14ac:dyDescent="0.35">
      <c r="A1364" s="1">
        <v>45954</v>
      </c>
      <c r="B1364" t="s">
        <v>80</v>
      </c>
      <c r="C1364" t="s">
        <v>81</v>
      </c>
      <c r="D1364" t="s">
        <v>82</v>
      </c>
      <c r="E1364">
        <v>144</v>
      </c>
      <c r="F1364">
        <v>2.5</v>
      </c>
      <c r="G1364">
        <f t="shared" si="63"/>
        <v>360</v>
      </c>
      <c r="H1364">
        <v>1.5</v>
      </c>
      <c r="I1364">
        <f t="shared" si="64"/>
        <v>216</v>
      </c>
      <c r="J1364">
        <f t="shared" si="65"/>
        <v>144</v>
      </c>
      <c r="K1364" t="s">
        <v>24</v>
      </c>
      <c r="L1364" t="s">
        <v>63</v>
      </c>
      <c r="M1364" t="s">
        <v>26</v>
      </c>
      <c r="N1364" t="s">
        <v>43</v>
      </c>
      <c r="O1364">
        <v>759</v>
      </c>
      <c r="P1364">
        <v>144</v>
      </c>
      <c r="Q1364" t="s">
        <v>74</v>
      </c>
      <c r="R1364" t="s">
        <v>75</v>
      </c>
      <c r="S1364" t="s">
        <v>76</v>
      </c>
      <c r="T1364">
        <v>2021</v>
      </c>
      <c r="U1364" t="s">
        <v>105</v>
      </c>
    </row>
    <row r="1365" spans="1:21" x14ac:dyDescent="0.35">
      <c r="A1365" s="1">
        <v>45955</v>
      </c>
      <c r="B1365" t="s">
        <v>58</v>
      </c>
      <c r="C1365" t="s">
        <v>59</v>
      </c>
      <c r="D1365" t="s">
        <v>60</v>
      </c>
      <c r="E1365">
        <v>293</v>
      </c>
      <c r="F1365">
        <v>5</v>
      </c>
      <c r="G1365">
        <f t="shared" si="63"/>
        <v>1465</v>
      </c>
      <c r="H1365">
        <v>3</v>
      </c>
      <c r="I1365">
        <f t="shared" si="64"/>
        <v>879</v>
      </c>
      <c r="J1365">
        <f t="shared" si="65"/>
        <v>586</v>
      </c>
      <c r="K1365" t="s">
        <v>42</v>
      </c>
      <c r="L1365" t="s">
        <v>73</v>
      </c>
      <c r="M1365" t="s">
        <v>61</v>
      </c>
      <c r="N1365" t="s">
        <v>27</v>
      </c>
      <c r="O1365">
        <v>772</v>
      </c>
      <c r="P1365">
        <v>293</v>
      </c>
      <c r="Q1365" t="s">
        <v>83</v>
      </c>
      <c r="R1365" t="s">
        <v>84</v>
      </c>
      <c r="S1365" t="s">
        <v>85</v>
      </c>
      <c r="T1365">
        <v>2023</v>
      </c>
      <c r="U1365" t="s">
        <v>96</v>
      </c>
    </row>
    <row r="1366" spans="1:21" x14ac:dyDescent="0.35">
      <c r="A1366" s="1">
        <v>45956</v>
      </c>
      <c r="B1366" t="s">
        <v>98</v>
      </c>
      <c r="C1366" t="s">
        <v>99</v>
      </c>
      <c r="D1366" t="s">
        <v>100</v>
      </c>
      <c r="E1366">
        <v>202</v>
      </c>
      <c r="F1366">
        <v>6</v>
      </c>
      <c r="G1366">
        <f t="shared" si="63"/>
        <v>1212</v>
      </c>
      <c r="H1366">
        <v>4</v>
      </c>
      <c r="I1366">
        <f t="shared" si="64"/>
        <v>808</v>
      </c>
      <c r="J1366">
        <f t="shared" si="65"/>
        <v>404</v>
      </c>
      <c r="K1366" t="s">
        <v>24</v>
      </c>
      <c r="L1366" t="s">
        <v>36</v>
      </c>
      <c r="M1366" t="s">
        <v>61</v>
      </c>
      <c r="N1366" t="s">
        <v>27</v>
      </c>
      <c r="O1366">
        <v>675</v>
      </c>
      <c r="P1366">
        <v>202</v>
      </c>
      <c r="Q1366" t="s">
        <v>106</v>
      </c>
      <c r="R1366" t="s">
        <v>107</v>
      </c>
      <c r="S1366" t="s">
        <v>108</v>
      </c>
      <c r="T1366">
        <v>2020</v>
      </c>
      <c r="U1366" t="s">
        <v>53</v>
      </c>
    </row>
    <row r="1367" spans="1:21" x14ac:dyDescent="0.35">
      <c r="A1367" s="1">
        <v>45957</v>
      </c>
      <c r="B1367" t="s">
        <v>21</v>
      </c>
      <c r="C1367" t="s">
        <v>22</v>
      </c>
      <c r="D1367" t="s">
        <v>23</v>
      </c>
      <c r="E1367">
        <v>45</v>
      </c>
      <c r="F1367">
        <v>8</v>
      </c>
      <c r="G1367">
        <f t="shared" si="63"/>
        <v>360</v>
      </c>
      <c r="H1367">
        <v>5</v>
      </c>
      <c r="I1367">
        <f t="shared" si="64"/>
        <v>225</v>
      </c>
      <c r="J1367">
        <f t="shared" si="65"/>
        <v>135</v>
      </c>
      <c r="K1367" t="s">
        <v>35</v>
      </c>
      <c r="L1367" t="s">
        <v>73</v>
      </c>
      <c r="M1367" t="s">
        <v>26</v>
      </c>
      <c r="N1367" t="s">
        <v>27</v>
      </c>
      <c r="O1367">
        <v>647</v>
      </c>
      <c r="P1367">
        <v>45</v>
      </c>
      <c r="Q1367" t="s">
        <v>28</v>
      </c>
      <c r="R1367" t="s">
        <v>29</v>
      </c>
      <c r="S1367" t="s">
        <v>30</v>
      </c>
      <c r="T1367">
        <v>2024</v>
      </c>
      <c r="U1367" t="s">
        <v>47</v>
      </c>
    </row>
    <row r="1368" spans="1:21" x14ac:dyDescent="0.35">
      <c r="A1368" s="1">
        <v>45958</v>
      </c>
      <c r="B1368" t="s">
        <v>80</v>
      </c>
      <c r="C1368" t="s">
        <v>81</v>
      </c>
      <c r="D1368" t="s">
        <v>82</v>
      </c>
      <c r="E1368">
        <v>381</v>
      </c>
      <c r="F1368">
        <v>2.5</v>
      </c>
      <c r="G1368">
        <f t="shared" si="63"/>
        <v>952.5</v>
      </c>
      <c r="H1368">
        <v>1.5</v>
      </c>
      <c r="I1368">
        <f t="shared" si="64"/>
        <v>571.5</v>
      </c>
      <c r="J1368">
        <f t="shared" si="65"/>
        <v>381</v>
      </c>
      <c r="K1368" t="s">
        <v>42</v>
      </c>
      <c r="L1368" t="s">
        <v>73</v>
      </c>
      <c r="M1368" t="s">
        <v>61</v>
      </c>
      <c r="N1368" t="s">
        <v>43</v>
      </c>
      <c r="O1368">
        <v>633</v>
      </c>
      <c r="P1368">
        <v>381</v>
      </c>
      <c r="Q1368" t="s">
        <v>51</v>
      </c>
      <c r="R1368" t="s">
        <v>45</v>
      </c>
      <c r="S1368" t="s">
        <v>52</v>
      </c>
      <c r="T1368">
        <v>2021</v>
      </c>
      <c r="U1368" t="s">
        <v>57</v>
      </c>
    </row>
    <row r="1369" spans="1:21" x14ac:dyDescent="0.35">
      <c r="A1369" s="1">
        <v>45959</v>
      </c>
      <c r="B1369" t="s">
        <v>58</v>
      </c>
      <c r="C1369" t="s">
        <v>59</v>
      </c>
      <c r="D1369" t="s">
        <v>60</v>
      </c>
      <c r="E1369">
        <v>100</v>
      </c>
      <c r="F1369">
        <v>5</v>
      </c>
      <c r="G1369">
        <f t="shared" si="63"/>
        <v>500</v>
      </c>
      <c r="H1369">
        <v>3</v>
      </c>
      <c r="I1369">
        <f t="shared" si="64"/>
        <v>300</v>
      </c>
      <c r="J1369">
        <f t="shared" si="65"/>
        <v>200</v>
      </c>
      <c r="K1369" t="s">
        <v>35</v>
      </c>
      <c r="L1369" t="s">
        <v>73</v>
      </c>
      <c r="M1369" t="s">
        <v>26</v>
      </c>
      <c r="N1369" t="s">
        <v>43</v>
      </c>
      <c r="O1369">
        <v>784</v>
      </c>
      <c r="P1369">
        <v>100</v>
      </c>
      <c r="Q1369" t="s">
        <v>103</v>
      </c>
      <c r="R1369" t="s">
        <v>68</v>
      </c>
      <c r="S1369" t="s">
        <v>104</v>
      </c>
      <c r="T1369">
        <v>2023</v>
      </c>
      <c r="U1369" t="s">
        <v>31</v>
      </c>
    </row>
    <row r="1370" spans="1:21" x14ac:dyDescent="0.35">
      <c r="A1370" s="1">
        <v>45960</v>
      </c>
      <c r="B1370" t="s">
        <v>98</v>
      </c>
      <c r="C1370" t="s">
        <v>99</v>
      </c>
      <c r="D1370" t="s">
        <v>100</v>
      </c>
      <c r="E1370">
        <v>285</v>
      </c>
      <c r="F1370">
        <v>6</v>
      </c>
      <c r="G1370">
        <f t="shared" si="63"/>
        <v>1710</v>
      </c>
      <c r="H1370">
        <v>4</v>
      </c>
      <c r="I1370">
        <f t="shared" si="64"/>
        <v>1140</v>
      </c>
      <c r="J1370">
        <f t="shared" si="65"/>
        <v>570</v>
      </c>
      <c r="K1370" t="s">
        <v>42</v>
      </c>
      <c r="L1370" t="s">
        <v>73</v>
      </c>
      <c r="M1370" t="s">
        <v>61</v>
      </c>
      <c r="N1370" t="s">
        <v>43</v>
      </c>
      <c r="O1370">
        <v>518</v>
      </c>
      <c r="P1370">
        <v>285</v>
      </c>
      <c r="Q1370" t="s">
        <v>87</v>
      </c>
      <c r="R1370" t="s">
        <v>88</v>
      </c>
      <c r="S1370" t="s">
        <v>89</v>
      </c>
      <c r="T1370">
        <v>2023</v>
      </c>
      <c r="U1370" t="s">
        <v>57</v>
      </c>
    </row>
    <row r="1371" spans="1:21" x14ac:dyDescent="0.35">
      <c r="A1371" s="1">
        <v>45961</v>
      </c>
      <c r="B1371" t="s">
        <v>48</v>
      </c>
      <c r="C1371" t="s">
        <v>49</v>
      </c>
      <c r="D1371" t="s">
        <v>50</v>
      </c>
      <c r="E1371">
        <v>410</v>
      </c>
      <c r="F1371">
        <v>150</v>
      </c>
      <c r="G1371">
        <f t="shared" si="63"/>
        <v>61500</v>
      </c>
      <c r="H1371">
        <v>100</v>
      </c>
      <c r="I1371">
        <f t="shared" si="64"/>
        <v>41000</v>
      </c>
      <c r="J1371">
        <f t="shared" si="65"/>
        <v>20500</v>
      </c>
      <c r="K1371" t="s">
        <v>24</v>
      </c>
      <c r="L1371" t="s">
        <v>36</v>
      </c>
      <c r="M1371" t="s">
        <v>61</v>
      </c>
      <c r="N1371" t="s">
        <v>27</v>
      </c>
      <c r="O1371">
        <v>890</v>
      </c>
      <c r="P1371">
        <v>410</v>
      </c>
      <c r="Q1371" t="s">
        <v>90</v>
      </c>
      <c r="R1371" t="s">
        <v>55</v>
      </c>
      <c r="S1371" t="s">
        <v>85</v>
      </c>
      <c r="T1371">
        <v>2024</v>
      </c>
      <c r="U1371" t="s">
        <v>105</v>
      </c>
    </row>
    <row r="1372" spans="1:21" x14ac:dyDescent="0.35">
      <c r="A1372" s="1">
        <v>45962</v>
      </c>
      <c r="B1372" t="s">
        <v>80</v>
      </c>
      <c r="C1372" t="s">
        <v>81</v>
      </c>
      <c r="D1372" t="s">
        <v>82</v>
      </c>
      <c r="E1372">
        <v>490</v>
      </c>
      <c r="F1372">
        <v>2.5</v>
      </c>
      <c r="G1372">
        <f t="shared" si="63"/>
        <v>1225</v>
      </c>
      <c r="H1372">
        <v>1.5</v>
      </c>
      <c r="I1372">
        <f t="shared" si="64"/>
        <v>735</v>
      </c>
      <c r="J1372">
        <f t="shared" si="65"/>
        <v>490</v>
      </c>
      <c r="K1372" t="s">
        <v>35</v>
      </c>
      <c r="L1372" t="s">
        <v>63</v>
      </c>
      <c r="M1372" t="s">
        <v>37</v>
      </c>
      <c r="N1372" t="s">
        <v>27</v>
      </c>
      <c r="O1372">
        <v>705</v>
      </c>
      <c r="P1372">
        <v>490</v>
      </c>
      <c r="Q1372" t="s">
        <v>101</v>
      </c>
      <c r="R1372" t="s">
        <v>101</v>
      </c>
      <c r="S1372" t="s">
        <v>102</v>
      </c>
      <c r="T1372">
        <v>2024</v>
      </c>
      <c r="U1372" t="s">
        <v>97</v>
      </c>
    </row>
    <row r="1373" spans="1:21" x14ac:dyDescent="0.35">
      <c r="A1373" s="1">
        <v>45963</v>
      </c>
      <c r="B1373" t="s">
        <v>98</v>
      </c>
      <c r="C1373" t="s">
        <v>99</v>
      </c>
      <c r="D1373" t="s">
        <v>100</v>
      </c>
      <c r="E1373">
        <v>131</v>
      </c>
      <c r="F1373">
        <v>6</v>
      </c>
      <c r="G1373">
        <f t="shared" si="63"/>
        <v>786</v>
      </c>
      <c r="H1373">
        <v>4</v>
      </c>
      <c r="I1373">
        <f t="shared" si="64"/>
        <v>524</v>
      </c>
      <c r="J1373">
        <f t="shared" si="65"/>
        <v>262</v>
      </c>
      <c r="K1373" t="s">
        <v>24</v>
      </c>
      <c r="L1373" t="s">
        <v>25</v>
      </c>
      <c r="M1373" t="s">
        <v>26</v>
      </c>
      <c r="N1373" t="s">
        <v>38</v>
      </c>
      <c r="O1373">
        <v>854</v>
      </c>
      <c r="P1373">
        <v>131</v>
      </c>
      <c r="Q1373" t="s">
        <v>67</v>
      </c>
      <c r="R1373" t="s">
        <v>68</v>
      </c>
      <c r="S1373" t="s">
        <v>69</v>
      </c>
      <c r="T1373">
        <v>2020</v>
      </c>
      <c r="U1373" t="s">
        <v>57</v>
      </c>
    </row>
    <row r="1374" spans="1:21" x14ac:dyDescent="0.35">
      <c r="A1374" s="1">
        <v>45964</v>
      </c>
      <c r="B1374" t="s">
        <v>48</v>
      </c>
      <c r="C1374" t="s">
        <v>49</v>
      </c>
      <c r="D1374" t="s">
        <v>50</v>
      </c>
      <c r="E1374">
        <v>379</v>
      </c>
      <c r="F1374">
        <v>150</v>
      </c>
      <c r="G1374">
        <f t="shared" si="63"/>
        <v>56850</v>
      </c>
      <c r="H1374">
        <v>100</v>
      </c>
      <c r="I1374">
        <f t="shared" si="64"/>
        <v>37900</v>
      </c>
      <c r="J1374">
        <f t="shared" si="65"/>
        <v>18950</v>
      </c>
      <c r="K1374" t="s">
        <v>42</v>
      </c>
      <c r="L1374" t="s">
        <v>73</v>
      </c>
      <c r="M1374" t="s">
        <v>26</v>
      </c>
      <c r="N1374" t="s">
        <v>43</v>
      </c>
      <c r="O1374">
        <v>653</v>
      </c>
      <c r="P1374">
        <v>379</v>
      </c>
      <c r="Q1374" t="s">
        <v>54</v>
      </c>
      <c r="R1374" t="s">
        <v>55</v>
      </c>
      <c r="S1374" t="s">
        <v>56</v>
      </c>
      <c r="T1374">
        <v>2021</v>
      </c>
      <c r="U1374" t="s">
        <v>53</v>
      </c>
    </row>
    <row r="1375" spans="1:21" x14ac:dyDescent="0.35">
      <c r="A1375" s="1">
        <v>45965</v>
      </c>
      <c r="B1375" t="s">
        <v>80</v>
      </c>
      <c r="C1375" t="s">
        <v>81</v>
      </c>
      <c r="D1375" t="s">
        <v>82</v>
      </c>
      <c r="E1375">
        <v>33</v>
      </c>
      <c r="F1375">
        <v>2.5</v>
      </c>
      <c r="G1375">
        <f t="shared" si="63"/>
        <v>82.5</v>
      </c>
      <c r="H1375">
        <v>1.5</v>
      </c>
      <c r="I1375">
        <f t="shared" si="64"/>
        <v>49.5</v>
      </c>
      <c r="J1375">
        <f t="shared" si="65"/>
        <v>33</v>
      </c>
      <c r="K1375" t="s">
        <v>42</v>
      </c>
      <c r="L1375" t="s">
        <v>73</v>
      </c>
      <c r="M1375" t="s">
        <v>61</v>
      </c>
      <c r="N1375" t="s">
        <v>38</v>
      </c>
      <c r="O1375">
        <v>848</v>
      </c>
      <c r="P1375">
        <v>33</v>
      </c>
      <c r="Q1375" t="s">
        <v>70</v>
      </c>
      <c r="R1375" t="s">
        <v>71</v>
      </c>
      <c r="S1375" t="s">
        <v>72</v>
      </c>
      <c r="T1375">
        <v>2022</v>
      </c>
      <c r="U1375" t="s">
        <v>31</v>
      </c>
    </row>
    <row r="1376" spans="1:21" x14ac:dyDescent="0.35">
      <c r="A1376" s="1">
        <v>45966</v>
      </c>
      <c r="B1376" t="s">
        <v>58</v>
      </c>
      <c r="C1376" t="s">
        <v>59</v>
      </c>
      <c r="D1376" t="s">
        <v>60</v>
      </c>
      <c r="E1376">
        <v>445</v>
      </c>
      <c r="F1376">
        <v>5</v>
      </c>
      <c r="G1376">
        <f t="shared" si="63"/>
        <v>2225</v>
      </c>
      <c r="H1376">
        <v>3</v>
      </c>
      <c r="I1376">
        <f t="shared" si="64"/>
        <v>1335</v>
      </c>
      <c r="J1376">
        <f t="shared" si="65"/>
        <v>890</v>
      </c>
      <c r="K1376" t="s">
        <v>42</v>
      </c>
      <c r="L1376" t="s">
        <v>63</v>
      </c>
      <c r="M1376" t="s">
        <v>37</v>
      </c>
      <c r="N1376" t="s">
        <v>38</v>
      </c>
      <c r="O1376">
        <v>762</v>
      </c>
      <c r="P1376">
        <v>445</v>
      </c>
      <c r="Q1376" t="s">
        <v>92</v>
      </c>
      <c r="R1376" t="s">
        <v>45</v>
      </c>
      <c r="S1376" t="s">
        <v>93</v>
      </c>
      <c r="T1376">
        <v>2020</v>
      </c>
      <c r="U1376" t="s">
        <v>62</v>
      </c>
    </row>
    <row r="1377" spans="1:21" x14ac:dyDescent="0.35">
      <c r="A1377" s="1">
        <v>45967</v>
      </c>
      <c r="B1377" t="s">
        <v>58</v>
      </c>
      <c r="C1377" t="s">
        <v>59</v>
      </c>
      <c r="D1377" t="s">
        <v>60</v>
      </c>
      <c r="E1377">
        <v>483</v>
      </c>
      <c r="F1377">
        <v>5</v>
      </c>
      <c r="G1377">
        <f t="shared" si="63"/>
        <v>2415</v>
      </c>
      <c r="H1377">
        <v>3</v>
      </c>
      <c r="I1377">
        <f t="shared" si="64"/>
        <v>1449</v>
      </c>
      <c r="J1377">
        <f t="shared" si="65"/>
        <v>966</v>
      </c>
      <c r="K1377" t="s">
        <v>24</v>
      </c>
      <c r="L1377" t="s">
        <v>73</v>
      </c>
      <c r="M1377" t="s">
        <v>61</v>
      </c>
      <c r="N1377" t="s">
        <v>27</v>
      </c>
      <c r="O1377">
        <v>716</v>
      </c>
      <c r="P1377">
        <v>483</v>
      </c>
      <c r="Q1377" t="s">
        <v>87</v>
      </c>
      <c r="R1377" t="s">
        <v>88</v>
      </c>
      <c r="S1377" t="s">
        <v>89</v>
      </c>
      <c r="T1377">
        <v>2023</v>
      </c>
      <c r="U1377" t="s">
        <v>105</v>
      </c>
    </row>
    <row r="1378" spans="1:21" x14ac:dyDescent="0.35">
      <c r="A1378" s="1">
        <v>45968</v>
      </c>
      <c r="B1378" t="s">
        <v>21</v>
      </c>
      <c r="C1378" t="s">
        <v>22</v>
      </c>
      <c r="D1378" t="s">
        <v>23</v>
      </c>
      <c r="E1378">
        <v>88</v>
      </c>
      <c r="F1378">
        <v>8</v>
      </c>
      <c r="G1378">
        <f t="shared" si="63"/>
        <v>704</v>
      </c>
      <c r="H1378">
        <v>5</v>
      </c>
      <c r="I1378">
        <f t="shared" si="64"/>
        <v>440</v>
      </c>
      <c r="J1378">
        <f t="shared" si="65"/>
        <v>264</v>
      </c>
      <c r="K1378" t="s">
        <v>35</v>
      </c>
      <c r="L1378" t="s">
        <v>63</v>
      </c>
      <c r="M1378" t="s">
        <v>61</v>
      </c>
      <c r="N1378" t="s">
        <v>27</v>
      </c>
      <c r="O1378">
        <v>932</v>
      </c>
      <c r="P1378">
        <v>88</v>
      </c>
      <c r="Q1378" t="s">
        <v>28</v>
      </c>
      <c r="R1378" t="s">
        <v>29</v>
      </c>
      <c r="S1378" t="s">
        <v>30</v>
      </c>
      <c r="T1378">
        <v>2024</v>
      </c>
      <c r="U1378" t="s">
        <v>62</v>
      </c>
    </row>
    <row r="1379" spans="1:21" x14ac:dyDescent="0.35">
      <c r="A1379" s="1">
        <v>45969</v>
      </c>
      <c r="B1379" t="s">
        <v>80</v>
      </c>
      <c r="C1379" t="s">
        <v>81</v>
      </c>
      <c r="D1379" t="s">
        <v>82</v>
      </c>
      <c r="E1379">
        <v>321</v>
      </c>
      <c r="F1379">
        <v>2.5</v>
      </c>
      <c r="G1379">
        <f t="shared" si="63"/>
        <v>802.5</v>
      </c>
      <c r="H1379">
        <v>1.5</v>
      </c>
      <c r="I1379">
        <f t="shared" si="64"/>
        <v>481.5</v>
      </c>
      <c r="J1379">
        <f t="shared" si="65"/>
        <v>321</v>
      </c>
      <c r="K1379" t="s">
        <v>42</v>
      </c>
      <c r="L1379" t="s">
        <v>36</v>
      </c>
      <c r="M1379" t="s">
        <v>37</v>
      </c>
      <c r="N1379" t="s">
        <v>27</v>
      </c>
      <c r="O1379">
        <v>903</v>
      </c>
      <c r="P1379">
        <v>321</v>
      </c>
      <c r="Q1379" t="s">
        <v>92</v>
      </c>
      <c r="R1379" t="s">
        <v>45</v>
      </c>
      <c r="S1379" t="s">
        <v>93</v>
      </c>
      <c r="T1379">
        <v>2022</v>
      </c>
      <c r="U1379" t="s">
        <v>91</v>
      </c>
    </row>
    <row r="1380" spans="1:21" x14ac:dyDescent="0.35">
      <c r="A1380" s="1">
        <v>45970</v>
      </c>
      <c r="B1380" t="s">
        <v>80</v>
      </c>
      <c r="C1380" t="s">
        <v>81</v>
      </c>
      <c r="D1380" t="s">
        <v>82</v>
      </c>
      <c r="E1380">
        <v>62</v>
      </c>
      <c r="F1380">
        <v>2.5</v>
      </c>
      <c r="G1380">
        <f t="shared" si="63"/>
        <v>155</v>
      </c>
      <c r="H1380">
        <v>1.5</v>
      </c>
      <c r="I1380">
        <f t="shared" si="64"/>
        <v>93</v>
      </c>
      <c r="J1380">
        <f t="shared" si="65"/>
        <v>62</v>
      </c>
      <c r="K1380" t="s">
        <v>42</v>
      </c>
      <c r="L1380" t="s">
        <v>73</v>
      </c>
      <c r="M1380" t="s">
        <v>26</v>
      </c>
      <c r="N1380" t="s">
        <v>38</v>
      </c>
      <c r="O1380">
        <v>697</v>
      </c>
      <c r="P1380">
        <v>62</v>
      </c>
      <c r="Q1380" t="s">
        <v>101</v>
      </c>
      <c r="R1380" t="s">
        <v>101</v>
      </c>
      <c r="S1380" t="s">
        <v>102</v>
      </c>
      <c r="T1380">
        <v>2023</v>
      </c>
      <c r="U1380" t="s">
        <v>97</v>
      </c>
    </row>
    <row r="1381" spans="1:21" x14ac:dyDescent="0.35">
      <c r="A1381" s="1">
        <v>45971</v>
      </c>
      <c r="B1381" t="s">
        <v>98</v>
      </c>
      <c r="C1381" t="s">
        <v>99</v>
      </c>
      <c r="D1381" t="s">
        <v>100</v>
      </c>
      <c r="E1381">
        <v>281</v>
      </c>
      <c r="F1381">
        <v>6</v>
      </c>
      <c r="G1381">
        <f t="shared" si="63"/>
        <v>1686</v>
      </c>
      <c r="H1381">
        <v>4</v>
      </c>
      <c r="I1381">
        <f t="shared" si="64"/>
        <v>1124</v>
      </c>
      <c r="J1381">
        <f t="shared" si="65"/>
        <v>562</v>
      </c>
      <c r="K1381" t="s">
        <v>42</v>
      </c>
      <c r="L1381" t="s">
        <v>36</v>
      </c>
      <c r="M1381" t="s">
        <v>26</v>
      </c>
      <c r="N1381" t="s">
        <v>38</v>
      </c>
      <c r="O1381">
        <v>684</v>
      </c>
      <c r="P1381">
        <v>281</v>
      </c>
      <c r="Q1381" t="s">
        <v>51</v>
      </c>
      <c r="R1381" t="s">
        <v>45</v>
      </c>
      <c r="S1381" t="s">
        <v>52</v>
      </c>
      <c r="T1381">
        <v>2020</v>
      </c>
      <c r="U1381" t="s">
        <v>91</v>
      </c>
    </row>
    <row r="1382" spans="1:21" x14ac:dyDescent="0.35">
      <c r="A1382" s="1">
        <v>45972</v>
      </c>
      <c r="B1382" t="s">
        <v>48</v>
      </c>
      <c r="C1382" t="s">
        <v>49</v>
      </c>
      <c r="D1382" t="s">
        <v>50</v>
      </c>
      <c r="E1382">
        <v>400</v>
      </c>
      <c r="F1382">
        <v>150</v>
      </c>
      <c r="G1382">
        <f t="shared" si="63"/>
        <v>60000</v>
      </c>
      <c r="H1382">
        <v>100</v>
      </c>
      <c r="I1382">
        <f t="shared" si="64"/>
        <v>40000</v>
      </c>
      <c r="J1382">
        <f t="shared" si="65"/>
        <v>20000</v>
      </c>
      <c r="K1382" t="s">
        <v>24</v>
      </c>
      <c r="L1382" t="s">
        <v>25</v>
      </c>
      <c r="M1382" t="s">
        <v>26</v>
      </c>
      <c r="N1382" t="s">
        <v>27</v>
      </c>
      <c r="O1382">
        <v>529</v>
      </c>
      <c r="P1382">
        <v>400</v>
      </c>
      <c r="Q1382" t="s">
        <v>39</v>
      </c>
      <c r="R1382" t="s">
        <v>40</v>
      </c>
      <c r="S1382" t="s">
        <v>41</v>
      </c>
      <c r="T1382">
        <v>2022</v>
      </c>
      <c r="U1382" t="s">
        <v>62</v>
      </c>
    </row>
    <row r="1383" spans="1:21" x14ac:dyDescent="0.35">
      <c r="A1383" s="1">
        <v>45973</v>
      </c>
      <c r="B1383" t="s">
        <v>80</v>
      </c>
      <c r="C1383" t="s">
        <v>81</v>
      </c>
      <c r="D1383" t="s">
        <v>82</v>
      </c>
      <c r="E1383">
        <v>85</v>
      </c>
      <c r="F1383">
        <v>2.5</v>
      </c>
      <c r="G1383">
        <f t="shared" si="63"/>
        <v>212.5</v>
      </c>
      <c r="H1383">
        <v>1.5</v>
      </c>
      <c r="I1383">
        <f t="shared" si="64"/>
        <v>127.5</v>
      </c>
      <c r="J1383">
        <f t="shared" si="65"/>
        <v>85</v>
      </c>
      <c r="K1383" t="s">
        <v>35</v>
      </c>
      <c r="L1383" t="s">
        <v>36</v>
      </c>
      <c r="M1383" t="s">
        <v>26</v>
      </c>
      <c r="N1383" t="s">
        <v>43</v>
      </c>
      <c r="O1383">
        <v>977</v>
      </c>
      <c r="P1383">
        <v>85</v>
      </c>
      <c r="Q1383" t="s">
        <v>92</v>
      </c>
      <c r="R1383" t="s">
        <v>45</v>
      </c>
      <c r="S1383" t="s">
        <v>93</v>
      </c>
      <c r="T1383">
        <v>2023</v>
      </c>
      <c r="U1383" t="s">
        <v>86</v>
      </c>
    </row>
    <row r="1384" spans="1:21" x14ac:dyDescent="0.35">
      <c r="A1384" s="1">
        <v>45974</v>
      </c>
      <c r="B1384" t="s">
        <v>48</v>
      </c>
      <c r="C1384" t="s">
        <v>49</v>
      </c>
      <c r="D1384" t="s">
        <v>50</v>
      </c>
      <c r="E1384">
        <v>348</v>
      </c>
      <c r="F1384">
        <v>150</v>
      </c>
      <c r="G1384">
        <f t="shared" si="63"/>
        <v>52200</v>
      </c>
      <c r="H1384">
        <v>100</v>
      </c>
      <c r="I1384">
        <f t="shared" si="64"/>
        <v>34800</v>
      </c>
      <c r="J1384">
        <f t="shared" si="65"/>
        <v>17400</v>
      </c>
      <c r="K1384" t="s">
        <v>35</v>
      </c>
      <c r="L1384" t="s">
        <v>63</v>
      </c>
      <c r="M1384" t="s">
        <v>37</v>
      </c>
      <c r="N1384" t="s">
        <v>27</v>
      </c>
      <c r="O1384">
        <v>523</v>
      </c>
      <c r="P1384">
        <v>348</v>
      </c>
      <c r="Q1384" t="s">
        <v>74</v>
      </c>
      <c r="R1384" t="s">
        <v>75</v>
      </c>
      <c r="S1384" t="s">
        <v>76</v>
      </c>
      <c r="T1384">
        <v>2020</v>
      </c>
      <c r="U1384" t="s">
        <v>66</v>
      </c>
    </row>
    <row r="1385" spans="1:21" x14ac:dyDescent="0.35">
      <c r="A1385" s="1">
        <v>45975</v>
      </c>
      <c r="B1385" t="s">
        <v>32</v>
      </c>
      <c r="C1385" t="s">
        <v>33</v>
      </c>
      <c r="D1385" t="s">
        <v>34</v>
      </c>
      <c r="E1385">
        <v>40</v>
      </c>
      <c r="F1385">
        <v>20</v>
      </c>
      <c r="G1385">
        <f t="shared" si="63"/>
        <v>800</v>
      </c>
      <c r="H1385">
        <v>12</v>
      </c>
      <c r="I1385">
        <f t="shared" si="64"/>
        <v>480</v>
      </c>
      <c r="J1385">
        <f t="shared" si="65"/>
        <v>320</v>
      </c>
      <c r="K1385" t="s">
        <v>42</v>
      </c>
      <c r="L1385" t="s">
        <v>73</v>
      </c>
      <c r="M1385" t="s">
        <v>61</v>
      </c>
      <c r="N1385" t="s">
        <v>38</v>
      </c>
      <c r="O1385">
        <v>731</v>
      </c>
      <c r="P1385">
        <v>40</v>
      </c>
      <c r="Q1385" t="s">
        <v>87</v>
      </c>
      <c r="R1385" t="s">
        <v>88</v>
      </c>
      <c r="S1385" t="s">
        <v>89</v>
      </c>
      <c r="T1385">
        <v>2024</v>
      </c>
      <c r="U1385" t="s">
        <v>91</v>
      </c>
    </row>
    <row r="1386" spans="1:21" x14ac:dyDescent="0.35">
      <c r="A1386" s="1">
        <v>45976</v>
      </c>
      <c r="B1386" t="s">
        <v>80</v>
      </c>
      <c r="C1386" t="s">
        <v>81</v>
      </c>
      <c r="D1386" t="s">
        <v>82</v>
      </c>
      <c r="E1386">
        <v>107</v>
      </c>
      <c r="F1386">
        <v>2.5</v>
      </c>
      <c r="G1386">
        <f t="shared" si="63"/>
        <v>267.5</v>
      </c>
      <c r="H1386">
        <v>1.5</v>
      </c>
      <c r="I1386">
        <f t="shared" si="64"/>
        <v>160.5</v>
      </c>
      <c r="J1386">
        <f t="shared" si="65"/>
        <v>107</v>
      </c>
      <c r="K1386" t="s">
        <v>35</v>
      </c>
      <c r="L1386" t="s">
        <v>73</v>
      </c>
      <c r="M1386" t="s">
        <v>26</v>
      </c>
      <c r="N1386" t="s">
        <v>38</v>
      </c>
      <c r="O1386">
        <v>665</v>
      </c>
      <c r="P1386">
        <v>107</v>
      </c>
      <c r="Q1386" t="s">
        <v>51</v>
      </c>
      <c r="R1386" t="s">
        <v>45</v>
      </c>
      <c r="S1386" t="s">
        <v>52</v>
      </c>
      <c r="T1386">
        <v>2022</v>
      </c>
      <c r="U1386" t="s">
        <v>91</v>
      </c>
    </row>
    <row r="1387" spans="1:21" x14ac:dyDescent="0.35">
      <c r="A1387" s="1">
        <v>45977</v>
      </c>
      <c r="B1387" t="s">
        <v>48</v>
      </c>
      <c r="C1387" t="s">
        <v>49</v>
      </c>
      <c r="D1387" t="s">
        <v>50</v>
      </c>
      <c r="E1387">
        <v>39</v>
      </c>
      <c r="F1387">
        <v>150</v>
      </c>
      <c r="G1387">
        <f t="shared" si="63"/>
        <v>5850</v>
      </c>
      <c r="H1387">
        <v>100</v>
      </c>
      <c r="I1387">
        <f t="shared" si="64"/>
        <v>3900</v>
      </c>
      <c r="J1387">
        <f t="shared" si="65"/>
        <v>1950</v>
      </c>
      <c r="K1387" t="s">
        <v>42</v>
      </c>
      <c r="L1387" t="s">
        <v>73</v>
      </c>
      <c r="M1387" t="s">
        <v>26</v>
      </c>
      <c r="N1387" t="s">
        <v>27</v>
      </c>
      <c r="O1387">
        <v>868</v>
      </c>
      <c r="P1387">
        <v>39</v>
      </c>
      <c r="Q1387" t="s">
        <v>67</v>
      </c>
      <c r="R1387" t="s">
        <v>68</v>
      </c>
      <c r="S1387" t="s">
        <v>69</v>
      </c>
      <c r="T1387">
        <v>2022</v>
      </c>
      <c r="U1387" t="s">
        <v>86</v>
      </c>
    </row>
    <row r="1388" spans="1:21" x14ac:dyDescent="0.35">
      <c r="A1388" s="1">
        <v>45978</v>
      </c>
      <c r="B1388" t="s">
        <v>32</v>
      </c>
      <c r="C1388" t="s">
        <v>33</v>
      </c>
      <c r="D1388" t="s">
        <v>34</v>
      </c>
      <c r="E1388">
        <v>451</v>
      </c>
      <c r="F1388">
        <v>20</v>
      </c>
      <c r="G1388">
        <f t="shared" si="63"/>
        <v>9020</v>
      </c>
      <c r="H1388">
        <v>12</v>
      </c>
      <c r="I1388">
        <f t="shared" si="64"/>
        <v>5412</v>
      </c>
      <c r="J1388">
        <f t="shared" si="65"/>
        <v>3608</v>
      </c>
      <c r="K1388" t="s">
        <v>24</v>
      </c>
      <c r="L1388" t="s">
        <v>36</v>
      </c>
      <c r="M1388" t="s">
        <v>26</v>
      </c>
      <c r="N1388" t="s">
        <v>27</v>
      </c>
      <c r="O1388">
        <v>697</v>
      </c>
      <c r="P1388">
        <v>451</v>
      </c>
      <c r="Q1388" t="s">
        <v>106</v>
      </c>
      <c r="R1388" t="s">
        <v>107</v>
      </c>
      <c r="S1388" t="s">
        <v>108</v>
      </c>
      <c r="T1388">
        <v>2024</v>
      </c>
      <c r="U1388" t="s">
        <v>91</v>
      </c>
    </row>
    <row r="1389" spans="1:21" x14ac:dyDescent="0.35">
      <c r="A1389" s="1">
        <v>45979</v>
      </c>
      <c r="B1389" t="s">
        <v>98</v>
      </c>
      <c r="C1389" t="s">
        <v>99</v>
      </c>
      <c r="D1389" t="s">
        <v>100</v>
      </c>
      <c r="E1389">
        <v>341</v>
      </c>
      <c r="F1389">
        <v>6</v>
      </c>
      <c r="G1389">
        <f t="shared" si="63"/>
        <v>2046</v>
      </c>
      <c r="H1389">
        <v>4</v>
      </c>
      <c r="I1389">
        <f t="shared" si="64"/>
        <v>1364</v>
      </c>
      <c r="J1389">
        <f t="shared" si="65"/>
        <v>682</v>
      </c>
      <c r="K1389" t="s">
        <v>24</v>
      </c>
      <c r="L1389" t="s">
        <v>63</v>
      </c>
      <c r="M1389" t="s">
        <v>37</v>
      </c>
      <c r="N1389" t="s">
        <v>27</v>
      </c>
      <c r="O1389">
        <v>778</v>
      </c>
      <c r="P1389">
        <v>341</v>
      </c>
      <c r="Q1389" t="s">
        <v>113</v>
      </c>
      <c r="R1389" t="s">
        <v>114</v>
      </c>
      <c r="S1389" t="s">
        <v>115</v>
      </c>
      <c r="T1389">
        <v>2022</v>
      </c>
      <c r="U1389" t="s">
        <v>53</v>
      </c>
    </row>
    <row r="1390" spans="1:21" x14ac:dyDescent="0.35">
      <c r="A1390" s="1">
        <v>45980</v>
      </c>
      <c r="B1390" t="s">
        <v>21</v>
      </c>
      <c r="C1390" t="s">
        <v>22</v>
      </c>
      <c r="D1390" t="s">
        <v>23</v>
      </c>
      <c r="E1390">
        <v>280</v>
      </c>
      <c r="F1390">
        <v>8</v>
      </c>
      <c r="G1390">
        <f t="shared" si="63"/>
        <v>2240</v>
      </c>
      <c r="H1390">
        <v>5</v>
      </c>
      <c r="I1390">
        <f t="shared" si="64"/>
        <v>1400</v>
      </c>
      <c r="J1390">
        <f t="shared" si="65"/>
        <v>840</v>
      </c>
      <c r="K1390" t="s">
        <v>24</v>
      </c>
      <c r="L1390" t="s">
        <v>36</v>
      </c>
      <c r="M1390" t="s">
        <v>37</v>
      </c>
      <c r="N1390" t="s">
        <v>27</v>
      </c>
      <c r="O1390">
        <v>788</v>
      </c>
      <c r="P1390">
        <v>280</v>
      </c>
      <c r="Q1390" t="s">
        <v>28</v>
      </c>
      <c r="R1390" t="s">
        <v>29</v>
      </c>
      <c r="S1390" t="s">
        <v>30</v>
      </c>
      <c r="T1390">
        <v>2020</v>
      </c>
      <c r="U1390" t="s">
        <v>31</v>
      </c>
    </row>
    <row r="1391" spans="1:21" x14ac:dyDescent="0.35">
      <c r="A1391" s="1">
        <v>45981</v>
      </c>
      <c r="B1391" t="s">
        <v>48</v>
      </c>
      <c r="C1391" t="s">
        <v>49</v>
      </c>
      <c r="D1391" t="s">
        <v>50</v>
      </c>
      <c r="E1391">
        <v>131</v>
      </c>
      <c r="F1391">
        <v>150</v>
      </c>
      <c r="G1391">
        <f t="shared" si="63"/>
        <v>19650</v>
      </c>
      <c r="H1391">
        <v>100</v>
      </c>
      <c r="I1391">
        <f t="shared" si="64"/>
        <v>13100</v>
      </c>
      <c r="J1391">
        <f t="shared" si="65"/>
        <v>6550</v>
      </c>
      <c r="K1391" t="s">
        <v>35</v>
      </c>
      <c r="L1391" t="s">
        <v>73</v>
      </c>
      <c r="M1391" t="s">
        <v>61</v>
      </c>
      <c r="N1391" t="s">
        <v>38</v>
      </c>
      <c r="O1391">
        <v>905</v>
      </c>
      <c r="P1391">
        <v>131</v>
      </c>
      <c r="Q1391" t="s">
        <v>92</v>
      </c>
      <c r="R1391" t="s">
        <v>45</v>
      </c>
      <c r="S1391" t="s">
        <v>93</v>
      </c>
      <c r="T1391">
        <v>2020</v>
      </c>
      <c r="U1391" t="s">
        <v>109</v>
      </c>
    </row>
    <row r="1392" spans="1:21" x14ac:dyDescent="0.35">
      <c r="A1392" s="1">
        <v>45982</v>
      </c>
      <c r="B1392" t="s">
        <v>58</v>
      </c>
      <c r="C1392" t="s">
        <v>59</v>
      </c>
      <c r="D1392" t="s">
        <v>60</v>
      </c>
      <c r="E1392">
        <v>379</v>
      </c>
      <c r="F1392">
        <v>5</v>
      </c>
      <c r="G1392">
        <f t="shared" si="63"/>
        <v>1895</v>
      </c>
      <c r="H1392">
        <v>3</v>
      </c>
      <c r="I1392">
        <f t="shared" si="64"/>
        <v>1137</v>
      </c>
      <c r="J1392">
        <f t="shared" si="65"/>
        <v>758</v>
      </c>
      <c r="K1392" t="s">
        <v>24</v>
      </c>
      <c r="L1392" t="s">
        <v>73</v>
      </c>
      <c r="M1392" t="s">
        <v>61</v>
      </c>
      <c r="N1392" t="s">
        <v>38</v>
      </c>
      <c r="O1392">
        <v>731</v>
      </c>
      <c r="P1392">
        <v>379</v>
      </c>
      <c r="Q1392" t="s">
        <v>101</v>
      </c>
      <c r="R1392" t="s">
        <v>101</v>
      </c>
      <c r="S1392" t="s">
        <v>102</v>
      </c>
      <c r="T1392">
        <v>2023</v>
      </c>
      <c r="U1392" t="s">
        <v>91</v>
      </c>
    </row>
    <row r="1393" spans="1:21" x14ac:dyDescent="0.35">
      <c r="A1393" s="1">
        <v>45983</v>
      </c>
      <c r="B1393" t="s">
        <v>80</v>
      </c>
      <c r="C1393" t="s">
        <v>81</v>
      </c>
      <c r="D1393" t="s">
        <v>82</v>
      </c>
      <c r="E1393">
        <v>493</v>
      </c>
      <c r="F1393">
        <v>2.5</v>
      </c>
      <c r="G1393">
        <f t="shared" si="63"/>
        <v>1232.5</v>
      </c>
      <c r="H1393">
        <v>1.5</v>
      </c>
      <c r="I1393">
        <f t="shared" si="64"/>
        <v>739.5</v>
      </c>
      <c r="J1393">
        <f t="shared" si="65"/>
        <v>493</v>
      </c>
      <c r="K1393" t="s">
        <v>42</v>
      </c>
      <c r="L1393" t="s">
        <v>25</v>
      </c>
      <c r="M1393" t="s">
        <v>37</v>
      </c>
      <c r="N1393" t="s">
        <v>38</v>
      </c>
      <c r="O1393">
        <v>875</v>
      </c>
      <c r="P1393">
        <v>493</v>
      </c>
      <c r="Q1393" t="s">
        <v>101</v>
      </c>
      <c r="R1393" t="s">
        <v>101</v>
      </c>
      <c r="S1393" t="s">
        <v>102</v>
      </c>
      <c r="T1393">
        <v>2023</v>
      </c>
      <c r="U1393" t="s">
        <v>62</v>
      </c>
    </row>
    <row r="1394" spans="1:21" x14ac:dyDescent="0.35">
      <c r="A1394" s="1">
        <v>45984</v>
      </c>
      <c r="B1394" t="s">
        <v>21</v>
      </c>
      <c r="C1394" t="s">
        <v>22</v>
      </c>
      <c r="D1394" t="s">
        <v>23</v>
      </c>
      <c r="E1394">
        <v>432</v>
      </c>
      <c r="F1394">
        <v>8</v>
      </c>
      <c r="G1394">
        <f t="shared" si="63"/>
        <v>3456</v>
      </c>
      <c r="H1394">
        <v>5</v>
      </c>
      <c r="I1394">
        <f t="shared" si="64"/>
        <v>2160</v>
      </c>
      <c r="J1394">
        <f t="shared" si="65"/>
        <v>1296</v>
      </c>
      <c r="K1394" t="s">
        <v>42</v>
      </c>
      <c r="L1394" t="s">
        <v>63</v>
      </c>
      <c r="M1394" t="s">
        <v>26</v>
      </c>
      <c r="N1394" t="s">
        <v>38</v>
      </c>
      <c r="O1394">
        <v>935</v>
      </c>
      <c r="P1394">
        <v>432</v>
      </c>
      <c r="Q1394" t="s">
        <v>101</v>
      </c>
      <c r="R1394" t="s">
        <v>101</v>
      </c>
      <c r="S1394" t="s">
        <v>102</v>
      </c>
      <c r="T1394">
        <v>2020</v>
      </c>
      <c r="U1394" t="s">
        <v>66</v>
      </c>
    </row>
    <row r="1395" spans="1:21" x14ac:dyDescent="0.35">
      <c r="A1395" s="1">
        <v>45985</v>
      </c>
      <c r="B1395" t="s">
        <v>32</v>
      </c>
      <c r="C1395" t="s">
        <v>33</v>
      </c>
      <c r="D1395" t="s">
        <v>34</v>
      </c>
      <c r="E1395">
        <v>48</v>
      </c>
      <c r="F1395">
        <v>20</v>
      </c>
      <c r="G1395">
        <f t="shared" si="63"/>
        <v>960</v>
      </c>
      <c r="H1395">
        <v>12</v>
      </c>
      <c r="I1395">
        <f t="shared" si="64"/>
        <v>576</v>
      </c>
      <c r="J1395">
        <f t="shared" si="65"/>
        <v>384</v>
      </c>
      <c r="K1395" t="s">
        <v>24</v>
      </c>
      <c r="L1395" t="s">
        <v>25</v>
      </c>
      <c r="M1395" t="s">
        <v>61</v>
      </c>
      <c r="N1395" t="s">
        <v>27</v>
      </c>
      <c r="O1395">
        <v>902</v>
      </c>
      <c r="P1395">
        <v>48</v>
      </c>
      <c r="Q1395" t="s">
        <v>70</v>
      </c>
      <c r="R1395" t="s">
        <v>71</v>
      </c>
      <c r="S1395" t="s">
        <v>72</v>
      </c>
      <c r="T1395">
        <v>2021</v>
      </c>
      <c r="U1395" t="s">
        <v>62</v>
      </c>
    </row>
    <row r="1396" spans="1:21" x14ac:dyDescent="0.35">
      <c r="A1396" s="1">
        <v>45986</v>
      </c>
      <c r="B1396" t="s">
        <v>21</v>
      </c>
      <c r="C1396" t="s">
        <v>22</v>
      </c>
      <c r="D1396" t="s">
        <v>23</v>
      </c>
      <c r="E1396">
        <v>411</v>
      </c>
      <c r="F1396">
        <v>8</v>
      </c>
      <c r="G1396">
        <f t="shared" si="63"/>
        <v>3288</v>
      </c>
      <c r="H1396">
        <v>5</v>
      </c>
      <c r="I1396">
        <f t="shared" si="64"/>
        <v>2055</v>
      </c>
      <c r="J1396">
        <f t="shared" si="65"/>
        <v>1233</v>
      </c>
      <c r="K1396" t="s">
        <v>35</v>
      </c>
      <c r="L1396" t="s">
        <v>36</v>
      </c>
      <c r="M1396" t="s">
        <v>37</v>
      </c>
      <c r="N1396" t="s">
        <v>27</v>
      </c>
      <c r="O1396">
        <v>792</v>
      </c>
      <c r="P1396">
        <v>411</v>
      </c>
      <c r="Q1396" t="s">
        <v>44</v>
      </c>
      <c r="R1396" t="s">
        <v>45</v>
      </c>
      <c r="S1396" t="s">
        <v>46</v>
      </c>
      <c r="T1396">
        <v>2024</v>
      </c>
      <c r="U1396" t="s">
        <v>97</v>
      </c>
    </row>
    <row r="1397" spans="1:21" x14ac:dyDescent="0.35">
      <c r="A1397" s="1">
        <v>45987</v>
      </c>
      <c r="B1397" t="s">
        <v>98</v>
      </c>
      <c r="C1397" t="s">
        <v>99</v>
      </c>
      <c r="D1397" t="s">
        <v>100</v>
      </c>
      <c r="E1397">
        <v>438</v>
      </c>
      <c r="F1397">
        <v>6</v>
      </c>
      <c r="G1397">
        <f t="shared" si="63"/>
        <v>2628</v>
      </c>
      <c r="H1397">
        <v>4</v>
      </c>
      <c r="I1397">
        <f t="shared" si="64"/>
        <v>1752</v>
      </c>
      <c r="J1397">
        <f t="shared" si="65"/>
        <v>876</v>
      </c>
      <c r="K1397" t="s">
        <v>35</v>
      </c>
      <c r="L1397" t="s">
        <v>36</v>
      </c>
      <c r="M1397" t="s">
        <v>37</v>
      </c>
      <c r="N1397" t="s">
        <v>38</v>
      </c>
      <c r="O1397">
        <v>579</v>
      </c>
      <c r="P1397">
        <v>438</v>
      </c>
      <c r="Q1397" t="s">
        <v>87</v>
      </c>
      <c r="R1397" t="s">
        <v>88</v>
      </c>
      <c r="S1397" t="s">
        <v>89</v>
      </c>
      <c r="T1397">
        <v>2021</v>
      </c>
      <c r="U1397" t="s">
        <v>86</v>
      </c>
    </row>
    <row r="1398" spans="1:21" x14ac:dyDescent="0.35">
      <c r="A1398" s="1">
        <v>45988</v>
      </c>
      <c r="B1398" t="s">
        <v>98</v>
      </c>
      <c r="C1398" t="s">
        <v>99</v>
      </c>
      <c r="D1398" t="s">
        <v>100</v>
      </c>
      <c r="E1398">
        <v>401</v>
      </c>
      <c r="F1398">
        <v>6</v>
      </c>
      <c r="G1398">
        <f t="shared" si="63"/>
        <v>2406</v>
      </c>
      <c r="H1398">
        <v>4</v>
      </c>
      <c r="I1398">
        <f t="shared" si="64"/>
        <v>1604</v>
      </c>
      <c r="J1398">
        <f t="shared" si="65"/>
        <v>802</v>
      </c>
      <c r="K1398" t="s">
        <v>42</v>
      </c>
      <c r="L1398" t="s">
        <v>25</v>
      </c>
      <c r="M1398" t="s">
        <v>37</v>
      </c>
      <c r="N1398" t="s">
        <v>43</v>
      </c>
      <c r="O1398">
        <v>685</v>
      </c>
      <c r="P1398">
        <v>401</v>
      </c>
      <c r="Q1398" t="s">
        <v>70</v>
      </c>
      <c r="R1398" t="s">
        <v>71</v>
      </c>
      <c r="S1398" t="s">
        <v>72</v>
      </c>
      <c r="T1398">
        <v>2024</v>
      </c>
      <c r="U1398" t="s">
        <v>31</v>
      </c>
    </row>
    <row r="1399" spans="1:21" x14ac:dyDescent="0.35">
      <c r="A1399" s="1">
        <v>45989</v>
      </c>
      <c r="B1399" t="s">
        <v>80</v>
      </c>
      <c r="C1399" t="s">
        <v>81</v>
      </c>
      <c r="D1399" t="s">
        <v>82</v>
      </c>
      <c r="E1399">
        <v>413</v>
      </c>
      <c r="F1399">
        <v>2.5</v>
      </c>
      <c r="G1399">
        <f t="shared" si="63"/>
        <v>1032.5</v>
      </c>
      <c r="H1399">
        <v>1.5</v>
      </c>
      <c r="I1399">
        <f t="shared" si="64"/>
        <v>619.5</v>
      </c>
      <c r="J1399">
        <f t="shared" si="65"/>
        <v>413</v>
      </c>
      <c r="K1399" t="s">
        <v>42</v>
      </c>
      <c r="L1399" t="s">
        <v>25</v>
      </c>
      <c r="M1399" t="s">
        <v>26</v>
      </c>
      <c r="N1399" t="s">
        <v>38</v>
      </c>
      <c r="O1399">
        <v>553</v>
      </c>
      <c r="P1399">
        <v>413</v>
      </c>
      <c r="Q1399" t="s">
        <v>64</v>
      </c>
      <c r="R1399" t="s">
        <v>29</v>
      </c>
      <c r="S1399" t="s">
        <v>65</v>
      </c>
      <c r="T1399">
        <v>2023</v>
      </c>
      <c r="U1399" t="s">
        <v>31</v>
      </c>
    </row>
    <row r="1400" spans="1:21" x14ac:dyDescent="0.35">
      <c r="A1400" s="1">
        <v>45990</v>
      </c>
      <c r="B1400" t="s">
        <v>21</v>
      </c>
      <c r="C1400" t="s">
        <v>22</v>
      </c>
      <c r="D1400" t="s">
        <v>23</v>
      </c>
      <c r="E1400">
        <v>137</v>
      </c>
      <c r="F1400">
        <v>8</v>
      </c>
      <c r="G1400">
        <f t="shared" si="63"/>
        <v>1096</v>
      </c>
      <c r="H1400">
        <v>5</v>
      </c>
      <c r="I1400">
        <f t="shared" si="64"/>
        <v>685</v>
      </c>
      <c r="J1400">
        <f t="shared" si="65"/>
        <v>411</v>
      </c>
      <c r="K1400" t="s">
        <v>42</v>
      </c>
      <c r="L1400" t="s">
        <v>73</v>
      </c>
      <c r="M1400" t="s">
        <v>37</v>
      </c>
      <c r="N1400" t="s">
        <v>38</v>
      </c>
      <c r="O1400">
        <v>609</v>
      </c>
      <c r="P1400">
        <v>137</v>
      </c>
      <c r="Q1400" t="s">
        <v>113</v>
      </c>
      <c r="R1400" t="s">
        <v>114</v>
      </c>
      <c r="S1400" t="s">
        <v>115</v>
      </c>
      <c r="T1400">
        <v>2022</v>
      </c>
      <c r="U1400" t="s">
        <v>31</v>
      </c>
    </row>
    <row r="1401" spans="1:21" x14ac:dyDescent="0.35">
      <c r="A1401" s="1">
        <v>45991</v>
      </c>
      <c r="B1401" t="s">
        <v>58</v>
      </c>
      <c r="C1401" t="s">
        <v>59</v>
      </c>
      <c r="D1401" t="s">
        <v>60</v>
      </c>
      <c r="E1401">
        <v>283</v>
      </c>
      <c r="F1401">
        <v>5</v>
      </c>
      <c r="G1401">
        <f t="shared" si="63"/>
        <v>1415</v>
      </c>
      <c r="H1401">
        <v>3</v>
      </c>
      <c r="I1401">
        <f t="shared" si="64"/>
        <v>849</v>
      </c>
      <c r="J1401">
        <f t="shared" si="65"/>
        <v>566</v>
      </c>
      <c r="K1401" t="s">
        <v>35</v>
      </c>
      <c r="L1401" t="s">
        <v>73</v>
      </c>
      <c r="M1401" t="s">
        <v>37</v>
      </c>
      <c r="N1401" t="s">
        <v>43</v>
      </c>
      <c r="O1401">
        <v>500</v>
      </c>
      <c r="P1401">
        <v>283</v>
      </c>
      <c r="Q1401" t="s">
        <v>39</v>
      </c>
      <c r="R1401" t="s">
        <v>40</v>
      </c>
      <c r="S1401" t="s">
        <v>41</v>
      </c>
      <c r="T1401">
        <v>2023</v>
      </c>
      <c r="U1401" t="s">
        <v>31</v>
      </c>
    </row>
    <row r="1402" spans="1:21" x14ac:dyDescent="0.35">
      <c r="A1402" s="1">
        <v>45992</v>
      </c>
      <c r="B1402" t="s">
        <v>32</v>
      </c>
      <c r="C1402" t="s">
        <v>33</v>
      </c>
      <c r="D1402" t="s">
        <v>34</v>
      </c>
      <c r="E1402">
        <v>231</v>
      </c>
      <c r="F1402">
        <v>20</v>
      </c>
      <c r="G1402">
        <f t="shared" si="63"/>
        <v>4620</v>
      </c>
      <c r="H1402">
        <v>12</v>
      </c>
      <c r="I1402">
        <f t="shared" si="64"/>
        <v>2772</v>
      </c>
      <c r="J1402">
        <f t="shared" si="65"/>
        <v>1848</v>
      </c>
      <c r="K1402" t="s">
        <v>24</v>
      </c>
      <c r="L1402" t="s">
        <v>63</v>
      </c>
      <c r="M1402" t="s">
        <v>26</v>
      </c>
      <c r="N1402" t="s">
        <v>43</v>
      </c>
      <c r="O1402">
        <v>594</v>
      </c>
      <c r="P1402">
        <v>231</v>
      </c>
      <c r="Q1402" t="s">
        <v>51</v>
      </c>
      <c r="R1402" t="s">
        <v>45</v>
      </c>
      <c r="S1402" t="s">
        <v>52</v>
      </c>
      <c r="T1402">
        <v>2022</v>
      </c>
      <c r="U1402" t="s">
        <v>66</v>
      </c>
    </row>
    <row r="1403" spans="1:21" x14ac:dyDescent="0.35">
      <c r="A1403" s="1">
        <v>45993</v>
      </c>
      <c r="B1403" t="s">
        <v>80</v>
      </c>
      <c r="C1403" t="s">
        <v>81</v>
      </c>
      <c r="D1403" t="s">
        <v>82</v>
      </c>
      <c r="E1403">
        <v>342</v>
      </c>
      <c r="F1403">
        <v>2.5</v>
      </c>
      <c r="G1403">
        <f t="shared" si="63"/>
        <v>855</v>
      </c>
      <c r="H1403">
        <v>1.5</v>
      </c>
      <c r="I1403">
        <f t="shared" si="64"/>
        <v>513</v>
      </c>
      <c r="J1403">
        <f t="shared" si="65"/>
        <v>342</v>
      </c>
      <c r="K1403" t="s">
        <v>24</v>
      </c>
      <c r="L1403" t="s">
        <v>36</v>
      </c>
      <c r="M1403" t="s">
        <v>61</v>
      </c>
      <c r="N1403" t="s">
        <v>38</v>
      </c>
      <c r="O1403">
        <v>865</v>
      </c>
      <c r="P1403">
        <v>342</v>
      </c>
      <c r="Q1403" t="s">
        <v>44</v>
      </c>
      <c r="R1403" t="s">
        <v>45</v>
      </c>
      <c r="S1403" t="s">
        <v>46</v>
      </c>
      <c r="T1403">
        <v>2022</v>
      </c>
      <c r="U1403" t="s">
        <v>66</v>
      </c>
    </row>
    <row r="1404" spans="1:21" x14ac:dyDescent="0.35">
      <c r="A1404" s="1">
        <v>45994</v>
      </c>
      <c r="B1404" t="s">
        <v>21</v>
      </c>
      <c r="C1404" t="s">
        <v>22</v>
      </c>
      <c r="D1404" t="s">
        <v>23</v>
      </c>
      <c r="E1404">
        <v>228</v>
      </c>
      <c r="F1404">
        <v>8</v>
      </c>
      <c r="G1404">
        <f t="shared" si="63"/>
        <v>1824</v>
      </c>
      <c r="H1404">
        <v>5</v>
      </c>
      <c r="I1404">
        <f t="shared" si="64"/>
        <v>1140</v>
      </c>
      <c r="J1404">
        <f t="shared" si="65"/>
        <v>684</v>
      </c>
      <c r="K1404" t="s">
        <v>24</v>
      </c>
      <c r="L1404" t="s">
        <v>63</v>
      </c>
      <c r="M1404" t="s">
        <v>26</v>
      </c>
      <c r="N1404" t="s">
        <v>27</v>
      </c>
      <c r="O1404">
        <v>669</v>
      </c>
      <c r="P1404">
        <v>228</v>
      </c>
      <c r="Q1404" t="s">
        <v>106</v>
      </c>
      <c r="R1404" t="s">
        <v>107</v>
      </c>
      <c r="S1404" t="s">
        <v>108</v>
      </c>
      <c r="T1404">
        <v>2023</v>
      </c>
      <c r="U1404" t="s">
        <v>62</v>
      </c>
    </row>
    <row r="1405" spans="1:21" x14ac:dyDescent="0.35">
      <c r="A1405" s="1">
        <v>45995</v>
      </c>
      <c r="B1405" t="s">
        <v>48</v>
      </c>
      <c r="C1405" t="s">
        <v>49</v>
      </c>
      <c r="D1405" t="s">
        <v>50</v>
      </c>
      <c r="E1405">
        <v>120</v>
      </c>
      <c r="F1405">
        <v>150</v>
      </c>
      <c r="G1405">
        <f t="shared" si="63"/>
        <v>18000</v>
      </c>
      <c r="H1405">
        <v>100</v>
      </c>
      <c r="I1405">
        <f t="shared" si="64"/>
        <v>12000</v>
      </c>
      <c r="J1405">
        <f t="shared" si="65"/>
        <v>6000</v>
      </c>
      <c r="K1405" t="s">
        <v>24</v>
      </c>
      <c r="L1405" t="s">
        <v>25</v>
      </c>
      <c r="M1405" t="s">
        <v>61</v>
      </c>
      <c r="N1405" t="s">
        <v>27</v>
      </c>
      <c r="O1405">
        <v>923</v>
      </c>
      <c r="P1405">
        <v>120</v>
      </c>
      <c r="Q1405" t="s">
        <v>64</v>
      </c>
      <c r="R1405" t="s">
        <v>29</v>
      </c>
      <c r="S1405" t="s">
        <v>65</v>
      </c>
      <c r="T1405">
        <v>2020</v>
      </c>
      <c r="U1405" t="s">
        <v>97</v>
      </c>
    </row>
    <row r="1406" spans="1:21" x14ac:dyDescent="0.35">
      <c r="A1406" s="1">
        <v>45996</v>
      </c>
      <c r="B1406" t="s">
        <v>98</v>
      </c>
      <c r="C1406" t="s">
        <v>99</v>
      </c>
      <c r="D1406" t="s">
        <v>100</v>
      </c>
      <c r="E1406">
        <v>34</v>
      </c>
      <c r="F1406">
        <v>6</v>
      </c>
      <c r="G1406">
        <f t="shared" si="63"/>
        <v>204</v>
      </c>
      <c r="H1406">
        <v>4</v>
      </c>
      <c r="I1406">
        <f t="shared" si="64"/>
        <v>136</v>
      </c>
      <c r="J1406">
        <f t="shared" si="65"/>
        <v>68</v>
      </c>
      <c r="K1406" t="s">
        <v>35</v>
      </c>
      <c r="L1406" t="s">
        <v>36</v>
      </c>
      <c r="M1406" t="s">
        <v>37</v>
      </c>
      <c r="N1406" t="s">
        <v>27</v>
      </c>
      <c r="O1406">
        <v>664</v>
      </c>
      <c r="P1406">
        <v>34</v>
      </c>
      <c r="Q1406" t="s">
        <v>94</v>
      </c>
      <c r="R1406" t="s">
        <v>75</v>
      </c>
      <c r="S1406" t="s">
        <v>95</v>
      </c>
      <c r="T1406">
        <v>2023</v>
      </c>
      <c r="U1406" t="s">
        <v>57</v>
      </c>
    </row>
    <row r="1407" spans="1:21" x14ac:dyDescent="0.35">
      <c r="A1407" s="1">
        <v>45997</v>
      </c>
      <c r="B1407" t="s">
        <v>80</v>
      </c>
      <c r="C1407" t="s">
        <v>81</v>
      </c>
      <c r="D1407" t="s">
        <v>82</v>
      </c>
      <c r="E1407">
        <v>214</v>
      </c>
      <c r="F1407">
        <v>2.5</v>
      </c>
      <c r="G1407">
        <f t="shared" si="63"/>
        <v>535</v>
      </c>
      <c r="H1407">
        <v>1.5</v>
      </c>
      <c r="I1407">
        <f t="shared" si="64"/>
        <v>321</v>
      </c>
      <c r="J1407">
        <f t="shared" si="65"/>
        <v>214</v>
      </c>
      <c r="K1407" t="s">
        <v>35</v>
      </c>
      <c r="L1407" t="s">
        <v>25</v>
      </c>
      <c r="M1407" t="s">
        <v>37</v>
      </c>
      <c r="N1407" t="s">
        <v>38</v>
      </c>
      <c r="O1407">
        <v>505</v>
      </c>
      <c r="P1407">
        <v>214</v>
      </c>
      <c r="Q1407" t="s">
        <v>92</v>
      </c>
      <c r="R1407" t="s">
        <v>45</v>
      </c>
      <c r="S1407" t="s">
        <v>93</v>
      </c>
      <c r="T1407">
        <v>2021</v>
      </c>
      <c r="U1407" t="s">
        <v>57</v>
      </c>
    </row>
    <row r="1408" spans="1:21" x14ac:dyDescent="0.35">
      <c r="A1408" s="1">
        <v>45998</v>
      </c>
      <c r="B1408" t="s">
        <v>32</v>
      </c>
      <c r="C1408" t="s">
        <v>33</v>
      </c>
      <c r="D1408" t="s">
        <v>34</v>
      </c>
      <c r="E1408">
        <v>226</v>
      </c>
      <c r="F1408">
        <v>20</v>
      </c>
      <c r="G1408">
        <f t="shared" si="63"/>
        <v>4520</v>
      </c>
      <c r="H1408">
        <v>12</v>
      </c>
      <c r="I1408">
        <f t="shared" si="64"/>
        <v>2712</v>
      </c>
      <c r="J1408">
        <f t="shared" si="65"/>
        <v>1808</v>
      </c>
      <c r="K1408" t="s">
        <v>24</v>
      </c>
      <c r="L1408" t="s">
        <v>36</v>
      </c>
      <c r="M1408" t="s">
        <v>26</v>
      </c>
      <c r="N1408" t="s">
        <v>43</v>
      </c>
      <c r="O1408">
        <v>605</v>
      </c>
      <c r="P1408">
        <v>226</v>
      </c>
      <c r="Q1408" t="s">
        <v>94</v>
      </c>
      <c r="R1408" t="s">
        <v>75</v>
      </c>
      <c r="S1408" t="s">
        <v>95</v>
      </c>
      <c r="T1408">
        <v>2024</v>
      </c>
      <c r="U1408" t="s">
        <v>57</v>
      </c>
    </row>
    <row r="1409" spans="1:21" x14ac:dyDescent="0.35">
      <c r="A1409" s="1">
        <v>45999</v>
      </c>
      <c r="B1409" t="s">
        <v>21</v>
      </c>
      <c r="C1409" t="s">
        <v>22</v>
      </c>
      <c r="D1409" t="s">
        <v>23</v>
      </c>
      <c r="E1409">
        <v>211</v>
      </c>
      <c r="F1409">
        <v>8</v>
      </c>
      <c r="G1409">
        <f t="shared" si="63"/>
        <v>1688</v>
      </c>
      <c r="H1409">
        <v>5</v>
      </c>
      <c r="I1409">
        <f t="shared" si="64"/>
        <v>1055</v>
      </c>
      <c r="J1409">
        <f t="shared" si="65"/>
        <v>633</v>
      </c>
      <c r="K1409" t="s">
        <v>24</v>
      </c>
      <c r="L1409" t="s">
        <v>63</v>
      </c>
      <c r="M1409" t="s">
        <v>26</v>
      </c>
      <c r="N1409" t="s">
        <v>43</v>
      </c>
      <c r="O1409">
        <v>569</v>
      </c>
      <c r="P1409">
        <v>211</v>
      </c>
      <c r="Q1409" t="s">
        <v>106</v>
      </c>
      <c r="R1409" t="s">
        <v>107</v>
      </c>
      <c r="S1409" t="s">
        <v>108</v>
      </c>
      <c r="T1409">
        <v>2020</v>
      </c>
      <c r="U1409" t="s">
        <v>47</v>
      </c>
    </row>
    <row r="1410" spans="1:21" x14ac:dyDescent="0.35">
      <c r="A1410" s="1">
        <v>46000</v>
      </c>
      <c r="B1410" t="s">
        <v>21</v>
      </c>
      <c r="C1410" t="s">
        <v>22</v>
      </c>
      <c r="D1410" t="s">
        <v>23</v>
      </c>
      <c r="E1410">
        <v>221</v>
      </c>
      <c r="F1410">
        <v>8</v>
      </c>
      <c r="G1410">
        <f t="shared" si="63"/>
        <v>1768</v>
      </c>
      <c r="H1410">
        <v>5</v>
      </c>
      <c r="I1410">
        <f t="shared" si="64"/>
        <v>1105</v>
      </c>
      <c r="J1410">
        <f t="shared" si="65"/>
        <v>663</v>
      </c>
      <c r="K1410" t="s">
        <v>35</v>
      </c>
      <c r="L1410" t="s">
        <v>36</v>
      </c>
      <c r="M1410" t="s">
        <v>61</v>
      </c>
      <c r="N1410" t="s">
        <v>43</v>
      </c>
      <c r="O1410">
        <v>732</v>
      </c>
      <c r="P1410">
        <v>221</v>
      </c>
      <c r="Q1410" t="s">
        <v>87</v>
      </c>
      <c r="R1410" t="s">
        <v>88</v>
      </c>
      <c r="S1410" t="s">
        <v>89</v>
      </c>
      <c r="T1410">
        <v>2020</v>
      </c>
      <c r="U1410" t="s">
        <v>105</v>
      </c>
    </row>
    <row r="1411" spans="1:21" x14ac:dyDescent="0.35">
      <c r="A1411" s="1">
        <v>46001</v>
      </c>
      <c r="B1411" t="s">
        <v>58</v>
      </c>
      <c r="C1411" t="s">
        <v>59</v>
      </c>
      <c r="D1411" t="s">
        <v>60</v>
      </c>
      <c r="E1411">
        <v>445</v>
      </c>
      <c r="F1411">
        <v>5</v>
      </c>
      <c r="G1411">
        <f t="shared" ref="G1411:G1474" si="66">E1411*F1411</f>
        <v>2225</v>
      </c>
      <c r="H1411">
        <v>3</v>
      </c>
      <c r="I1411">
        <f t="shared" ref="I1411:I1474" si="67">E1411*H1411</f>
        <v>1335</v>
      </c>
      <c r="J1411">
        <f t="shared" ref="J1411:J1474" si="68">G1411-I1411</f>
        <v>890</v>
      </c>
      <c r="K1411" t="s">
        <v>35</v>
      </c>
      <c r="L1411" t="s">
        <v>36</v>
      </c>
      <c r="M1411" t="s">
        <v>61</v>
      </c>
      <c r="N1411" t="s">
        <v>38</v>
      </c>
      <c r="O1411">
        <v>829</v>
      </c>
      <c r="P1411">
        <v>445</v>
      </c>
      <c r="Q1411" t="s">
        <v>92</v>
      </c>
      <c r="R1411" t="s">
        <v>45</v>
      </c>
      <c r="S1411" t="s">
        <v>93</v>
      </c>
      <c r="T1411">
        <v>2023</v>
      </c>
      <c r="U1411" t="s">
        <v>57</v>
      </c>
    </row>
    <row r="1412" spans="1:21" x14ac:dyDescent="0.35">
      <c r="A1412" s="1">
        <v>46002</v>
      </c>
      <c r="B1412" t="s">
        <v>21</v>
      </c>
      <c r="C1412" t="s">
        <v>22</v>
      </c>
      <c r="D1412" t="s">
        <v>23</v>
      </c>
      <c r="E1412">
        <v>294</v>
      </c>
      <c r="F1412">
        <v>8</v>
      </c>
      <c r="G1412">
        <f t="shared" si="66"/>
        <v>2352</v>
      </c>
      <c r="H1412">
        <v>5</v>
      </c>
      <c r="I1412">
        <f t="shared" si="67"/>
        <v>1470</v>
      </c>
      <c r="J1412">
        <f t="shared" si="68"/>
        <v>882</v>
      </c>
      <c r="K1412" t="s">
        <v>35</v>
      </c>
      <c r="L1412" t="s">
        <v>25</v>
      </c>
      <c r="M1412" t="s">
        <v>37</v>
      </c>
      <c r="N1412" t="s">
        <v>27</v>
      </c>
      <c r="O1412">
        <v>718</v>
      </c>
      <c r="P1412">
        <v>294</v>
      </c>
      <c r="Q1412" t="s">
        <v>77</v>
      </c>
      <c r="R1412" t="s">
        <v>78</v>
      </c>
      <c r="S1412" t="s">
        <v>79</v>
      </c>
      <c r="T1412">
        <v>2023</v>
      </c>
      <c r="U1412" t="s">
        <v>105</v>
      </c>
    </row>
    <row r="1413" spans="1:21" x14ac:dyDescent="0.35">
      <c r="A1413" s="1">
        <v>46003</v>
      </c>
      <c r="B1413" t="s">
        <v>48</v>
      </c>
      <c r="C1413" t="s">
        <v>49</v>
      </c>
      <c r="D1413" t="s">
        <v>50</v>
      </c>
      <c r="E1413">
        <v>323</v>
      </c>
      <c r="F1413">
        <v>150</v>
      </c>
      <c r="G1413">
        <f t="shared" si="66"/>
        <v>48450</v>
      </c>
      <c r="H1413">
        <v>100</v>
      </c>
      <c r="I1413">
        <f t="shared" si="67"/>
        <v>32300</v>
      </c>
      <c r="J1413">
        <f t="shared" si="68"/>
        <v>16150</v>
      </c>
      <c r="K1413" t="s">
        <v>42</v>
      </c>
      <c r="L1413" t="s">
        <v>36</v>
      </c>
      <c r="M1413" t="s">
        <v>61</v>
      </c>
      <c r="N1413" t="s">
        <v>43</v>
      </c>
      <c r="O1413">
        <v>545</v>
      </c>
      <c r="P1413">
        <v>323</v>
      </c>
      <c r="Q1413" t="s">
        <v>77</v>
      </c>
      <c r="R1413" t="s">
        <v>78</v>
      </c>
      <c r="S1413" t="s">
        <v>79</v>
      </c>
      <c r="T1413">
        <v>2020</v>
      </c>
      <c r="U1413" t="s">
        <v>97</v>
      </c>
    </row>
    <row r="1414" spans="1:21" x14ac:dyDescent="0.35">
      <c r="A1414" s="1">
        <v>46004</v>
      </c>
      <c r="B1414" t="s">
        <v>21</v>
      </c>
      <c r="C1414" t="s">
        <v>22</v>
      </c>
      <c r="D1414" t="s">
        <v>23</v>
      </c>
      <c r="E1414">
        <v>115</v>
      </c>
      <c r="F1414">
        <v>8</v>
      </c>
      <c r="G1414">
        <f t="shared" si="66"/>
        <v>920</v>
      </c>
      <c r="H1414">
        <v>5</v>
      </c>
      <c r="I1414">
        <f t="shared" si="67"/>
        <v>575</v>
      </c>
      <c r="J1414">
        <f t="shared" si="68"/>
        <v>345</v>
      </c>
      <c r="K1414" t="s">
        <v>35</v>
      </c>
      <c r="L1414" t="s">
        <v>73</v>
      </c>
      <c r="M1414" t="s">
        <v>26</v>
      </c>
      <c r="N1414" t="s">
        <v>38</v>
      </c>
      <c r="O1414">
        <v>538</v>
      </c>
      <c r="P1414">
        <v>115</v>
      </c>
      <c r="Q1414" t="s">
        <v>28</v>
      </c>
      <c r="R1414" t="s">
        <v>29</v>
      </c>
      <c r="S1414" t="s">
        <v>30</v>
      </c>
      <c r="T1414">
        <v>2024</v>
      </c>
      <c r="U1414" t="s">
        <v>57</v>
      </c>
    </row>
    <row r="1415" spans="1:21" x14ac:dyDescent="0.35">
      <c r="A1415" s="1">
        <v>46005</v>
      </c>
      <c r="B1415" t="s">
        <v>48</v>
      </c>
      <c r="C1415" t="s">
        <v>49</v>
      </c>
      <c r="D1415" t="s">
        <v>50</v>
      </c>
      <c r="E1415">
        <v>151</v>
      </c>
      <c r="F1415">
        <v>150</v>
      </c>
      <c r="G1415">
        <f t="shared" si="66"/>
        <v>22650</v>
      </c>
      <c r="H1415">
        <v>100</v>
      </c>
      <c r="I1415">
        <f t="shared" si="67"/>
        <v>15100</v>
      </c>
      <c r="J1415">
        <f t="shared" si="68"/>
        <v>7550</v>
      </c>
      <c r="K1415" t="s">
        <v>24</v>
      </c>
      <c r="L1415" t="s">
        <v>63</v>
      </c>
      <c r="M1415" t="s">
        <v>26</v>
      </c>
      <c r="N1415" t="s">
        <v>43</v>
      </c>
      <c r="O1415">
        <v>996</v>
      </c>
      <c r="P1415">
        <v>151</v>
      </c>
      <c r="Q1415" t="s">
        <v>94</v>
      </c>
      <c r="R1415" t="s">
        <v>75</v>
      </c>
      <c r="S1415" t="s">
        <v>95</v>
      </c>
      <c r="T1415">
        <v>2023</v>
      </c>
      <c r="U1415" t="s">
        <v>97</v>
      </c>
    </row>
    <row r="1416" spans="1:21" x14ac:dyDescent="0.35">
      <c r="A1416" s="1">
        <v>46006</v>
      </c>
      <c r="B1416" t="s">
        <v>98</v>
      </c>
      <c r="C1416" t="s">
        <v>99</v>
      </c>
      <c r="D1416" t="s">
        <v>100</v>
      </c>
      <c r="E1416">
        <v>111</v>
      </c>
      <c r="F1416">
        <v>6</v>
      </c>
      <c r="G1416">
        <f t="shared" si="66"/>
        <v>666</v>
      </c>
      <c r="H1416">
        <v>4</v>
      </c>
      <c r="I1416">
        <f t="shared" si="67"/>
        <v>444</v>
      </c>
      <c r="J1416">
        <f t="shared" si="68"/>
        <v>222</v>
      </c>
      <c r="K1416" t="s">
        <v>42</v>
      </c>
      <c r="L1416" t="s">
        <v>73</v>
      </c>
      <c r="M1416" t="s">
        <v>61</v>
      </c>
      <c r="N1416" t="s">
        <v>43</v>
      </c>
      <c r="O1416">
        <v>514</v>
      </c>
      <c r="P1416">
        <v>111</v>
      </c>
      <c r="Q1416" t="s">
        <v>51</v>
      </c>
      <c r="R1416" t="s">
        <v>45</v>
      </c>
      <c r="S1416" t="s">
        <v>52</v>
      </c>
      <c r="T1416">
        <v>2022</v>
      </c>
      <c r="U1416" t="s">
        <v>66</v>
      </c>
    </row>
    <row r="1417" spans="1:21" x14ac:dyDescent="0.35">
      <c r="A1417" s="1">
        <v>46007</v>
      </c>
      <c r="B1417" t="s">
        <v>98</v>
      </c>
      <c r="C1417" t="s">
        <v>99</v>
      </c>
      <c r="D1417" t="s">
        <v>100</v>
      </c>
      <c r="E1417">
        <v>242</v>
      </c>
      <c r="F1417">
        <v>6</v>
      </c>
      <c r="G1417">
        <f t="shared" si="66"/>
        <v>1452</v>
      </c>
      <c r="H1417">
        <v>4</v>
      </c>
      <c r="I1417">
        <f t="shared" si="67"/>
        <v>968</v>
      </c>
      <c r="J1417">
        <f t="shared" si="68"/>
        <v>484</v>
      </c>
      <c r="K1417" t="s">
        <v>35</v>
      </c>
      <c r="L1417" t="s">
        <v>36</v>
      </c>
      <c r="M1417" t="s">
        <v>61</v>
      </c>
      <c r="N1417" t="s">
        <v>27</v>
      </c>
      <c r="O1417">
        <v>551</v>
      </c>
      <c r="P1417">
        <v>242</v>
      </c>
      <c r="Q1417" t="s">
        <v>103</v>
      </c>
      <c r="R1417" t="s">
        <v>68</v>
      </c>
      <c r="S1417" t="s">
        <v>104</v>
      </c>
      <c r="T1417">
        <v>2024</v>
      </c>
      <c r="U1417" t="s">
        <v>91</v>
      </c>
    </row>
    <row r="1418" spans="1:21" x14ac:dyDescent="0.35">
      <c r="A1418" s="1">
        <v>46008</v>
      </c>
      <c r="B1418" t="s">
        <v>21</v>
      </c>
      <c r="C1418" t="s">
        <v>22</v>
      </c>
      <c r="D1418" t="s">
        <v>23</v>
      </c>
      <c r="E1418">
        <v>13</v>
      </c>
      <c r="F1418">
        <v>8</v>
      </c>
      <c r="G1418">
        <f t="shared" si="66"/>
        <v>104</v>
      </c>
      <c r="H1418">
        <v>5</v>
      </c>
      <c r="I1418">
        <f t="shared" si="67"/>
        <v>65</v>
      </c>
      <c r="J1418">
        <f t="shared" si="68"/>
        <v>39</v>
      </c>
      <c r="K1418" t="s">
        <v>35</v>
      </c>
      <c r="L1418" t="s">
        <v>25</v>
      </c>
      <c r="M1418" t="s">
        <v>26</v>
      </c>
      <c r="N1418" t="s">
        <v>38</v>
      </c>
      <c r="O1418">
        <v>944</v>
      </c>
      <c r="P1418">
        <v>13</v>
      </c>
      <c r="Q1418" t="s">
        <v>113</v>
      </c>
      <c r="R1418" t="s">
        <v>114</v>
      </c>
      <c r="S1418" t="s">
        <v>115</v>
      </c>
      <c r="T1418">
        <v>2024</v>
      </c>
      <c r="U1418" t="s">
        <v>91</v>
      </c>
    </row>
    <row r="1419" spans="1:21" x14ac:dyDescent="0.35">
      <c r="A1419" s="1">
        <v>46009</v>
      </c>
      <c r="B1419" t="s">
        <v>58</v>
      </c>
      <c r="C1419" t="s">
        <v>59</v>
      </c>
      <c r="D1419" t="s">
        <v>60</v>
      </c>
      <c r="E1419">
        <v>166</v>
      </c>
      <c r="F1419">
        <v>5</v>
      </c>
      <c r="G1419">
        <f t="shared" si="66"/>
        <v>830</v>
      </c>
      <c r="H1419">
        <v>3</v>
      </c>
      <c r="I1419">
        <f t="shared" si="67"/>
        <v>498</v>
      </c>
      <c r="J1419">
        <f t="shared" si="68"/>
        <v>332</v>
      </c>
      <c r="K1419" t="s">
        <v>35</v>
      </c>
      <c r="L1419" t="s">
        <v>36</v>
      </c>
      <c r="M1419" t="s">
        <v>37</v>
      </c>
      <c r="N1419" t="s">
        <v>38</v>
      </c>
      <c r="O1419">
        <v>580</v>
      </c>
      <c r="P1419">
        <v>166</v>
      </c>
      <c r="Q1419" t="s">
        <v>67</v>
      </c>
      <c r="R1419" t="s">
        <v>68</v>
      </c>
      <c r="S1419" t="s">
        <v>69</v>
      </c>
      <c r="T1419">
        <v>2022</v>
      </c>
      <c r="U1419" t="s">
        <v>109</v>
      </c>
    </row>
    <row r="1420" spans="1:21" x14ac:dyDescent="0.35">
      <c r="A1420" s="1">
        <v>46010</v>
      </c>
      <c r="B1420" t="s">
        <v>98</v>
      </c>
      <c r="C1420" t="s">
        <v>99</v>
      </c>
      <c r="D1420" t="s">
        <v>100</v>
      </c>
      <c r="E1420">
        <v>202</v>
      </c>
      <c r="F1420">
        <v>6</v>
      </c>
      <c r="G1420">
        <f t="shared" si="66"/>
        <v>1212</v>
      </c>
      <c r="H1420">
        <v>4</v>
      </c>
      <c r="I1420">
        <f t="shared" si="67"/>
        <v>808</v>
      </c>
      <c r="J1420">
        <f t="shared" si="68"/>
        <v>404</v>
      </c>
      <c r="K1420" t="s">
        <v>42</v>
      </c>
      <c r="L1420" t="s">
        <v>36</v>
      </c>
      <c r="M1420" t="s">
        <v>26</v>
      </c>
      <c r="N1420" t="s">
        <v>27</v>
      </c>
      <c r="O1420">
        <v>765</v>
      </c>
      <c r="P1420">
        <v>202</v>
      </c>
      <c r="Q1420" t="s">
        <v>92</v>
      </c>
      <c r="R1420" t="s">
        <v>45</v>
      </c>
      <c r="S1420" t="s">
        <v>93</v>
      </c>
      <c r="T1420">
        <v>2023</v>
      </c>
      <c r="U1420" t="s">
        <v>62</v>
      </c>
    </row>
    <row r="1421" spans="1:21" x14ac:dyDescent="0.35">
      <c r="A1421" s="1">
        <v>46011</v>
      </c>
      <c r="B1421" t="s">
        <v>21</v>
      </c>
      <c r="C1421" t="s">
        <v>22</v>
      </c>
      <c r="D1421" t="s">
        <v>23</v>
      </c>
      <c r="E1421">
        <v>237</v>
      </c>
      <c r="F1421">
        <v>8</v>
      </c>
      <c r="G1421">
        <f t="shared" si="66"/>
        <v>1896</v>
      </c>
      <c r="H1421">
        <v>5</v>
      </c>
      <c r="I1421">
        <f t="shared" si="67"/>
        <v>1185</v>
      </c>
      <c r="J1421">
        <f t="shared" si="68"/>
        <v>711</v>
      </c>
      <c r="K1421" t="s">
        <v>42</v>
      </c>
      <c r="L1421" t="s">
        <v>63</v>
      </c>
      <c r="M1421" t="s">
        <v>37</v>
      </c>
      <c r="N1421" t="s">
        <v>38</v>
      </c>
      <c r="O1421">
        <v>683</v>
      </c>
      <c r="P1421">
        <v>237</v>
      </c>
      <c r="Q1421" t="s">
        <v>106</v>
      </c>
      <c r="R1421" t="s">
        <v>107</v>
      </c>
      <c r="S1421" t="s">
        <v>108</v>
      </c>
      <c r="T1421">
        <v>2023</v>
      </c>
      <c r="U1421" t="s">
        <v>86</v>
      </c>
    </row>
    <row r="1422" spans="1:21" x14ac:dyDescent="0.35">
      <c r="A1422" s="1">
        <v>46012</v>
      </c>
      <c r="B1422" t="s">
        <v>98</v>
      </c>
      <c r="C1422" t="s">
        <v>99</v>
      </c>
      <c r="D1422" t="s">
        <v>100</v>
      </c>
      <c r="E1422">
        <v>372</v>
      </c>
      <c r="F1422">
        <v>6</v>
      </c>
      <c r="G1422">
        <f t="shared" si="66"/>
        <v>2232</v>
      </c>
      <c r="H1422">
        <v>4</v>
      </c>
      <c r="I1422">
        <f t="shared" si="67"/>
        <v>1488</v>
      </c>
      <c r="J1422">
        <f t="shared" si="68"/>
        <v>744</v>
      </c>
      <c r="K1422" t="s">
        <v>24</v>
      </c>
      <c r="L1422" t="s">
        <v>73</v>
      </c>
      <c r="M1422" t="s">
        <v>61</v>
      </c>
      <c r="N1422" t="s">
        <v>38</v>
      </c>
      <c r="O1422">
        <v>854</v>
      </c>
      <c r="P1422">
        <v>372</v>
      </c>
      <c r="Q1422" t="s">
        <v>106</v>
      </c>
      <c r="R1422" t="s">
        <v>107</v>
      </c>
      <c r="S1422" t="s">
        <v>108</v>
      </c>
      <c r="T1422">
        <v>2023</v>
      </c>
      <c r="U1422" t="s">
        <v>96</v>
      </c>
    </row>
    <row r="1423" spans="1:21" x14ac:dyDescent="0.35">
      <c r="A1423" s="1">
        <v>46013</v>
      </c>
      <c r="B1423" t="s">
        <v>98</v>
      </c>
      <c r="C1423" t="s">
        <v>99</v>
      </c>
      <c r="D1423" t="s">
        <v>100</v>
      </c>
      <c r="E1423">
        <v>162</v>
      </c>
      <c r="F1423">
        <v>6</v>
      </c>
      <c r="G1423">
        <f t="shared" si="66"/>
        <v>972</v>
      </c>
      <c r="H1423">
        <v>4</v>
      </c>
      <c r="I1423">
        <f t="shared" si="67"/>
        <v>648</v>
      </c>
      <c r="J1423">
        <f t="shared" si="68"/>
        <v>324</v>
      </c>
      <c r="K1423" t="s">
        <v>35</v>
      </c>
      <c r="L1423" t="s">
        <v>36</v>
      </c>
      <c r="M1423" t="s">
        <v>37</v>
      </c>
      <c r="N1423" t="s">
        <v>38</v>
      </c>
      <c r="O1423">
        <v>581</v>
      </c>
      <c r="P1423">
        <v>162</v>
      </c>
      <c r="Q1423" t="s">
        <v>110</v>
      </c>
      <c r="R1423" t="s">
        <v>111</v>
      </c>
      <c r="S1423" t="s">
        <v>112</v>
      </c>
      <c r="T1423">
        <v>2020</v>
      </c>
      <c r="U1423" t="s">
        <v>109</v>
      </c>
    </row>
    <row r="1424" spans="1:21" x14ac:dyDescent="0.35">
      <c r="A1424" s="1">
        <v>46014</v>
      </c>
      <c r="B1424" t="s">
        <v>48</v>
      </c>
      <c r="C1424" t="s">
        <v>49</v>
      </c>
      <c r="D1424" t="s">
        <v>50</v>
      </c>
      <c r="E1424">
        <v>323</v>
      </c>
      <c r="F1424">
        <v>150</v>
      </c>
      <c r="G1424">
        <f t="shared" si="66"/>
        <v>48450</v>
      </c>
      <c r="H1424">
        <v>100</v>
      </c>
      <c r="I1424">
        <f t="shared" si="67"/>
        <v>32300</v>
      </c>
      <c r="J1424">
        <f t="shared" si="68"/>
        <v>16150</v>
      </c>
      <c r="K1424" t="s">
        <v>42</v>
      </c>
      <c r="L1424" t="s">
        <v>63</v>
      </c>
      <c r="M1424" t="s">
        <v>61</v>
      </c>
      <c r="N1424" t="s">
        <v>27</v>
      </c>
      <c r="O1424">
        <v>783</v>
      </c>
      <c r="P1424">
        <v>323</v>
      </c>
      <c r="Q1424" t="s">
        <v>92</v>
      </c>
      <c r="R1424" t="s">
        <v>45</v>
      </c>
      <c r="S1424" t="s">
        <v>93</v>
      </c>
      <c r="T1424">
        <v>2023</v>
      </c>
      <c r="U1424" t="s">
        <v>31</v>
      </c>
    </row>
    <row r="1425" spans="1:21" x14ac:dyDescent="0.35">
      <c r="A1425" s="1">
        <v>46015</v>
      </c>
      <c r="B1425" t="s">
        <v>58</v>
      </c>
      <c r="C1425" t="s">
        <v>59</v>
      </c>
      <c r="D1425" t="s">
        <v>60</v>
      </c>
      <c r="E1425">
        <v>151</v>
      </c>
      <c r="F1425">
        <v>5</v>
      </c>
      <c r="G1425">
        <f t="shared" si="66"/>
        <v>755</v>
      </c>
      <c r="H1425">
        <v>3</v>
      </c>
      <c r="I1425">
        <f t="shared" si="67"/>
        <v>453</v>
      </c>
      <c r="J1425">
        <f t="shared" si="68"/>
        <v>302</v>
      </c>
      <c r="K1425" t="s">
        <v>42</v>
      </c>
      <c r="L1425" t="s">
        <v>63</v>
      </c>
      <c r="M1425" t="s">
        <v>61</v>
      </c>
      <c r="N1425" t="s">
        <v>43</v>
      </c>
      <c r="O1425">
        <v>935</v>
      </c>
      <c r="P1425">
        <v>151</v>
      </c>
      <c r="Q1425" t="s">
        <v>90</v>
      </c>
      <c r="R1425" t="s">
        <v>55</v>
      </c>
      <c r="S1425" t="s">
        <v>85</v>
      </c>
      <c r="T1425">
        <v>2023</v>
      </c>
      <c r="U1425" t="s">
        <v>62</v>
      </c>
    </row>
    <row r="1426" spans="1:21" x14ac:dyDescent="0.35">
      <c r="A1426" s="1">
        <v>46016</v>
      </c>
      <c r="B1426" t="s">
        <v>58</v>
      </c>
      <c r="C1426" t="s">
        <v>59</v>
      </c>
      <c r="D1426" t="s">
        <v>60</v>
      </c>
      <c r="E1426">
        <v>410</v>
      </c>
      <c r="F1426">
        <v>5</v>
      </c>
      <c r="G1426">
        <f t="shared" si="66"/>
        <v>2050</v>
      </c>
      <c r="H1426">
        <v>3</v>
      </c>
      <c r="I1426">
        <f t="shared" si="67"/>
        <v>1230</v>
      </c>
      <c r="J1426">
        <f t="shared" si="68"/>
        <v>820</v>
      </c>
      <c r="K1426" t="s">
        <v>24</v>
      </c>
      <c r="L1426" t="s">
        <v>73</v>
      </c>
      <c r="M1426" t="s">
        <v>37</v>
      </c>
      <c r="N1426" t="s">
        <v>43</v>
      </c>
      <c r="O1426">
        <v>711</v>
      </c>
      <c r="P1426">
        <v>410</v>
      </c>
      <c r="Q1426" t="s">
        <v>101</v>
      </c>
      <c r="R1426" t="s">
        <v>101</v>
      </c>
      <c r="S1426" t="s">
        <v>102</v>
      </c>
      <c r="T1426">
        <v>2021</v>
      </c>
      <c r="U1426" t="s">
        <v>91</v>
      </c>
    </row>
    <row r="1427" spans="1:21" x14ac:dyDescent="0.35">
      <c r="A1427" s="1">
        <v>46017</v>
      </c>
      <c r="B1427" t="s">
        <v>80</v>
      </c>
      <c r="C1427" t="s">
        <v>81</v>
      </c>
      <c r="D1427" t="s">
        <v>82</v>
      </c>
      <c r="E1427">
        <v>150</v>
      </c>
      <c r="F1427">
        <v>2.5</v>
      </c>
      <c r="G1427">
        <f t="shared" si="66"/>
        <v>375</v>
      </c>
      <c r="H1427">
        <v>1.5</v>
      </c>
      <c r="I1427">
        <f t="shared" si="67"/>
        <v>225</v>
      </c>
      <c r="J1427">
        <f t="shared" si="68"/>
        <v>150</v>
      </c>
      <c r="K1427" t="s">
        <v>42</v>
      </c>
      <c r="L1427" t="s">
        <v>36</v>
      </c>
      <c r="M1427" t="s">
        <v>37</v>
      </c>
      <c r="N1427" t="s">
        <v>43</v>
      </c>
      <c r="O1427">
        <v>940</v>
      </c>
      <c r="P1427">
        <v>150</v>
      </c>
      <c r="Q1427" t="s">
        <v>90</v>
      </c>
      <c r="R1427" t="s">
        <v>55</v>
      </c>
      <c r="S1427" t="s">
        <v>85</v>
      </c>
      <c r="T1427">
        <v>2020</v>
      </c>
      <c r="U1427" t="s">
        <v>53</v>
      </c>
    </row>
    <row r="1428" spans="1:21" x14ac:dyDescent="0.35">
      <c r="A1428" s="1">
        <v>46018</v>
      </c>
      <c r="B1428" t="s">
        <v>58</v>
      </c>
      <c r="C1428" t="s">
        <v>59</v>
      </c>
      <c r="D1428" t="s">
        <v>60</v>
      </c>
      <c r="E1428">
        <v>204</v>
      </c>
      <c r="F1428">
        <v>5</v>
      </c>
      <c r="G1428">
        <f t="shared" si="66"/>
        <v>1020</v>
      </c>
      <c r="H1428">
        <v>3</v>
      </c>
      <c r="I1428">
        <f t="shared" si="67"/>
        <v>612</v>
      </c>
      <c r="J1428">
        <f t="shared" si="68"/>
        <v>408</v>
      </c>
      <c r="K1428" t="s">
        <v>35</v>
      </c>
      <c r="L1428" t="s">
        <v>73</v>
      </c>
      <c r="M1428" t="s">
        <v>37</v>
      </c>
      <c r="N1428" t="s">
        <v>43</v>
      </c>
      <c r="O1428">
        <v>983</v>
      </c>
      <c r="P1428">
        <v>204</v>
      </c>
      <c r="Q1428" t="s">
        <v>28</v>
      </c>
      <c r="R1428" t="s">
        <v>29</v>
      </c>
      <c r="S1428" t="s">
        <v>30</v>
      </c>
      <c r="T1428">
        <v>2021</v>
      </c>
      <c r="U1428" t="s">
        <v>105</v>
      </c>
    </row>
    <row r="1429" spans="1:21" x14ac:dyDescent="0.35">
      <c r="A1429" s="1">
        <v>46019</v>
      </c>
      <c r="B1429" t="s">
        <v>58</v>
      </c>
      <c r="C1429" t="s">
        <v>59</v>
      </c>
      <c r="D1429" t="s">
        <v>60</v>
      </c>
      <c r="E1429">
        <v>168</v>
      </c>
      <c r="F1429">
        <v>5</v>
      </c>
      <c r="G1429">
        <f t="shared" si="66"/>
        <v>840</v>
      </c>
      <c r="H1429">
        <v>3</v>
      </c>
      <c r="I1429">
        <f t="shared" si="67"/>
        <v>504</v>
      </c>
      <c r="J1429">
        <f t="shared" si="68"/>
        <v>336</v>
      </c>
      <c r="K1429" t="s">
        <v>42</v>
      </c>
      <c r="L1429" t="s">
        <v>25</v>
      </c>
      <c r="M1429" t="s">
        <v>26</v>
      </c>
      <c r="N1429" t="s">
        <v>43</v>
      </c>
      <c r="O1429">
        <v>934</v>
      </c>
      <c r="P1429">
        <v>168</v>
      </c>
      <c r="Q1429" t="s">
        <v>92</v>
      </c>
      <c r="R1429" t="s">
        <v>45</v>
      </c>
      <c r="S1429" t="s">
        <v>93</v>
      </c>
      <c r="T1429">
        <v>2022</v>
      </c>
      <c r="U1429" t="s">
        <v>96</v>
      </c>
    </row>
    <row r="1430" spans="1:21" x14ac:dyDescent="0.35">
      <c r="A1430" s="1">
        <v>46020</v>
      </c>
      <c r="B1430" t="s">
        <v>48</v>
      </c>
      <c r="C1430" t="s">
        <v>49</v>
      </c>
      <c r="D1430" t="s">
        <v>50</v>
      </c>
      <c r="E1430">
        <v>412</v>
      </c>
      <c r="F1430">
        <v>150</v>
      </c>
      <c r="G1430">
        <f t="shared" si="66"/>
        <v>61800</v>
      </c>
      <c r="H1430">
        <v>100</v>
      </c>
      <c r="I1430">
        <f t="shared" si="67"/>
        <v>41200</v>
      </c>
      <c r="J1430">
        <f t="shared" si="68"/>
        <v>20600</v>
      </c>
      <c r="K1430" t="s">
        <v>35</v>
      </c>
      <c r="L1430" t="s">
        <v>63</v>
      </c>
      <c r="M1430" t="s">
        <v>61</v>
      </c>
      <c r="N1430" t="s">
        <v>38</v>
      </c>
      <c r="O1430">
        <v>843</v>
      </c>
      <c r="P1430">
        <v>412</v>
      </c>
      <c r="Q1430" t="s">
        <v>39</v>
      </c>
      <c r="R1430" t="s">
        <v>40</v>
      </c>
      <c r="S1430" t="s">
        <v>41</v>
      </c>
      <c r="T1430">
        <v>2020</v>
      </c>
      <c r="U1430" t="s">
        <v>31</v>
      </c>
    </row>
    <row r="1431" spans="1:21" x14ac:dyDescent="0.35">
      <c r="A1431" s="1">
        <v>46021</v>
      </c>
      <c r="B1431" t="s">
        <v>21</v>
      </c>
      <c r="C1431" t="s">
        <v>22</v>
      </c>
      <c r="D1431" t="s">
        <v>23</v>
      </c>
      <c r="E1431">
        <v>177</v>
      </c>
      <c r="F1431">
        <v>8</v>
      </c>
      <c r="G1431">
        <f t="shared" si="66"/>
        <v>1416</v>
      </c>
      <c r="H1431">
        <v>5</v>
      </c>
      <c r="I1431">
        <f t="shared" si="67"/>
        <v>885</v>
      </c>
      <c r="J1431">
        <f t="shared" si="68"/>
        <v>531</v>
      </c>
      <c r="K1431" t="s">
        <v>24</v>
      </c>
      <c r="L1431" t="s">
        <v>36</v>
      </c>
      <c r="M1431" t="s">
        <v>61</v>
      </c>
      <c r="N1431" t="s">
        <v>27</v>
      </c>
      <c r="O1431">
        <v>719</v>
      </c>
      <c r="P1431">
        <v>177</v>
      </c>
      <c r="Q1431" t="s">
        <v>54</v>
      </c>
      <c r="R1431" t="s">
        <v>55</v>
      </c>
      <c r="S1431" t="s">
        <v>56</v>
      </c>
      <c r="T1431">
        <v>2021</v>
      </c>
      <c r="U1431" t="s">
        <v>53</v>
      </c>
    </row>
    <row r="1432" spans="1:21" x14ac:dyDescent="0.35">
      <c r="A1432" s="1">
        <v>46022</v>
      </c>
      <c r="B1432" t="s">
        <v>80</v>
      </c>
      <c r="C1432" t="s">
        <v>81</v>
      </c>
      <c r="D1432" t="s">
        <v>82</v>
      </c>
      <c r="E1432">
        <v>298</v>
      </c>
      <c r="F1432">
        <v>2.5</v>
      </c>
      <c r="G1432">
        <f t="shared" si="66"/>
        <v>745</v>
      </c>
      <c r="H1432">
        <v>1.5</v>
      </c>
      <c r="I1432">
        <f t="shared" si="67"/>
        <v>447</v>
      </c>
      <c r="J1432">
        <f t="shared" si="68"/>
        <v>298</v>
      </c>
      <c r="K1432" t="s">
        <v>42</v>
      </c>
      <c r="L1432" t="s">
        <v>36</v>
      </c>
      <c r="M1432" t="s">
        <v>26</v>
      </c>
      <c r="N1432" t="s">
        <v>43</v>
      </c>
      <c r="O1432">
        <v>959</v>
      </c>
      <c r="P1432">
        <v>298</v>
      </c>
      <c r="Q1432" t="s">
        <v>92</v>
      </c>
      <c r="R1432" t="s">
        <v>45</v>
      </c>
      <c r="S1432" t="s">
        <v>93</v>
      </c>
      <c r="T1432">
        <v>2024</v>
      </c>
      <c r="U1432" t="s">
        <v>97</v>
      </c>
    </row>
    <row r="1433" spans="1:21" x14ac:dyDescent="0.35">
      <c r="A1433" s="1">
        <v>46023</v>
      </c>
      <c r="B1433" t="s">
        <v>98</v>
      </c>
      <c r="C1433" t="s">
        <v>99</v>
      </c>
      <c r="D1433" t="s">
        <v>100</v>
      </c>
      <c r="E1433">
        <v>211</v>
      </c>
      <c r="F1433">
        <v>6</v>
      </c>
      <c r="G1433">
        <f t="shared" si="66"/>
        <v>1266</v>
      </c>
      <c r="H1433">
        <v>4</v>
      </c>
      <c r="I1433">
        <f t="shared" si="67"/>
        <v>844</v>
      </c>
      <c r="J1433">
        <f t="shared" si="68"/>
        <v>422</v>
      </c>
      <c r="K1433" t="s">
        <v>42</v>
      </c>
      <c r="L1433" t="s">
        <v>73</v>
      </c>
      <c r="M1433" t="s">
        <v>61</v>
      </c>
      <c r="N1433" t="s">
        <v>43</v>
      </c>
      <c r="O1433">
        <v>904</v>
      </c>
      <c r="P1433">
        <v>211</v>
      </c>
      <c r="Q1433" t="s">
        <v>106</v>
      </c>
      <c r="R1433" t="s">
        <v>107</v>
      </c>
      <c r="S1433" t="s">
        <v>108</v>
      </c>
      <c r="T1433">
        <v>2022</v>
      </c>
      <c r="U1433" t="s">
        <v>66</v>
      </c>
    </row>
    <row r="1434" spans="1:21" x14ac:dyDescent="0.35">
      <c r="A1434" s="1">
        <v>46024</v>
      </c>
      <c r="B1434" t="s">
        <v>98</v>
      </c>
      <c r="C1434" t="s">
        <v>99</v>
      </c>
      <c r="D1434" t="s">
        <v>100</v>
      </c>
      <c r="E1434">
        <v>61</v>
      </c>
      <c r="F1434">
        <v>6</v>
      </c>
      <c r="G1434">
        <f t="shared" si="66"/>
        <v>366</v>
      </c>
      <c r="H1434">
        <v>4</v>
      </c>
      <c r="I1434">
        <f t="shared" si="67"/>
        <v>244</v>
      </c>
      <c r="J1434">
        <f t="shared" si="68"/>
        <v>122</v>
      </c>
      <c r="K1434" t="s">
        <v>42</v>
      </c>
      <c r="L1434" t="s">
        <v>25</v>
      </c>
      <c r="M1434" t="s">
        <v>37</v>
      </c>
      <c r="N1434" t="s">
        <v>38</v>
      </c>
      <c r="O1434">
        <v>847</v>
      </c>
      <c r="P1434">
        <v>61</v>
      </c>
      <c r="Q1434" t="s">
        <v>83</v>
      </c>
      <c r="R1434" t="s">
        <v>84</v>
      </c>
      <c r="S1434" t="s">
        <v>85</v>
      </c>
      <c r="T1434">
        <v>2021</v>
      </c>
      <c r="U1434" t="s">
        <v>53</v>
      </c>
    </row>
    <row r="1435" spans="1:21" x14ac:dyDescent="0.35">
      <c r="A1435" s="1">
        <v>46025</v>
      </c>
      <c r="B1435" t="s">
        <v>80</v>
      </c>
      <c r="C1435" t="s">
        <v>81</v>
      </c>
      <c r="D1435" t="s">
        <v>82</v>
      </c>
      <c r="E1435">
        <v>172</v>
      </c>
      <c r="F1435">
        <v>2.5</v>
      </c>
      <c r="G1435">
        <f t="shared" si="66"/>
        <v>430</v>
      </c>
      <c r="H1435">
        <v>1.5</v>
      </c>
      <c r="I1435">
        <f t="shared" si="67"/>
        <v>258</v>
      </c>
      <c r="J1435">
        <f t="shared" si="68"/>
        <v>172</v>
      </c>
      <c r="K1435" t="s">
        <v>24</v>
      </c>
      <c r="L1435" t="s">
        <v>36</v>
      </c>
      <c r="M1435" t="s">
        <v>26</v>
      </c>
      <c r="N1435" t="s">
        <v>27</v>
      </c>
      <c r="O1435">
        <v>899</v>
      </c>
      <c r="P1435">
        <v>172</v>
      </c>
      <c r="Q1435" t="s">
        <v>70</v>
      </c>
      <c r="R1435" t="s">
        <v>71</v>
      </c>
      <c r="S1435" t="s">
        <v>72</v>
      </c>
      <c r="T1435">
        <v>2022</v>
      </c>
      <c r="U1435" t="s">
        <v>105</v>
      </c>
    </row>
    <row r="1436" spans="1:21" x14ac:dyDescent="0.35">
      <c r="A1436" s="1">
        <v>46026</v>
      </c>
      <c r="B1436" t="s">
        <v>21</v>
      </c>
      <c r="C1436" t="s">
        <v>22</v>
      </c>
      <c r="D1436" t="s">
        <v>23</v>
      </c>
      <c r="E1436">
        <v>27</v>
      </c>
      <c r="F1436">
        <v>8</v>
      </c>
      <c r="G1436">
        <f t="shared" si="66"/>
        <v>216</v>
      </c>
      <c r="H1436">
        <v>5</v>
      </c>
      <c r="I1436">
        <f t="shared" si="67"/>
        <v>135</v>
      </c>
      <c r="J1436">
        <f t="shared" si="68"/>
        <v>81</v>
      </c>
      <c r="K1436" t="s">
        <v>24</v>
      </c>
      <c r="L1436" t="s">
        <v>25</v>
      </c>
      <c r="M1436" t="s">
        <v>37</v>
      </c>
      <c r="N1436" t="s">
        <v>38</v>
      </c>
      <c r="O1436">
        <v>912</v>
      </c>
      <c r="P1436">
        <v>27</v>
      </c>
      <c r="Q1436" t="s">
        <v>101</v>
      </c>
      <c r="R1436" t="s">
        <v>101</v>
      </c>
      <c r="S1436" t="s">
        <v>102</v>
      </c>
      <c r="T1436">
        <v>2023</v>
      </c>
      <c r="U1436" t="s">
        <v>96</v>
      </c>
    </row>
    <row r="1437" spans="1:21" x14ac:dyDescent="0.35">
      <c r="A1437" s="1">
        <v>46027</v>
      </c>
      <c r="B1437" t="s">
        <v>80</v>
      </c>
      <c r="C1437" t="s">
        <v>81</v>
      </c>
      <c r="D1437" t="s">
        <v>82</v>
      </c>
      <c r="E1437">
        <v>492</v>
      </c>
      <c r="F1437">
        <v>2.5</v>
      </c>
      <c r="G1437">
        <f t="shared" si="66"/>
        <v>1230</v>
      </c>
      <c r="H1437">
        <v>1.5</v>
      </c>
      <c r="I1437">
        <f t="shared" si="67"/>
        <v>738</v>
      </c>
      <c r="J1437">
        <f t="shared" si="68"/>
        <v>492</v>
      </c>
      <c r="K1437" t="s">
        <v>35</v>
      </c>
      <c r="L1437" t="s">
        <v>63</v>
      </c>
      <c r="M1437" t="s">
        <v>61</v>
      </c>
      <c r="N1437" t="s">
        <v>43</v>
      </c>
      <c r="O1437">
        <v>509</v>
      </c>
      <c r="P1437">
        <v>492</v>
      </c>
      <c r="Q1437" t="s">
        <v>51</v>
      </c>
      <c r="R1437" t="s">
        <v>45</v>
      </c>
      <c r="S1437" t="s">
        <v>52</v>
      </c>
      <c r="T1437">
        <v>2022</v>
      </c>
      <c r="U1437" t="s">
        <v>109</v>
      </c>
    </row>
    <row r="1438" spans="1:21" x14ac:dyDescent="0.35">
      <c r="A1438" s="1">
        <v>46028</v>
      </c>
      <c r="B1438" t="s">
        <v>80</v>
      </c>
      <c r="C1438" t="s">
        <v>81</v>
      </c>
      <c r="D1438" t="s">
        <v>82</v>
      </c>
      <c r="E1438">
        <v>376</v>
      </c>
      <c r="F1438">
        <v>2.5</v>
      </c>
      <c r="G1438">
        <f t="shared" si="66"/>
        <v>940</v>
      </c>
      <c r="H1438">
        <v>1.5</v>
      </c>
      <c r="I1438">
        <f t="shared" si="67"/>
        <v>564</v>
      </c>
      <c r="J1438">
        <f t="shared" si="68"/>
        <v>376</v>
      </c>
      <c r="K1438" t="s">
        <v>24</v>
      </c>
      <c r="L1438" t="s">
        <v>36</v>
      </c>
      <c r="M1438" t="s">
        <v>37</v>
      </c>
      <c r="N1438" t="s">
        <v>43</v>
      </c>
      <c r="O1438">
        <v>564</v>
      </c>
      <c r="P1438">
        <v>376</v>
      </c>
      <c r="Q1438" t="s">
        <v>113</v>
      </c>
      <c r="R1438" t="s">
        <v>114</v>
      </c>
      <c r="S1438" t="s">
        <v>115</v>
      </c>
      <c r="T1438">
        <v>2023</v>
      </c>
      <c r="U1438" t="s">
        <v>96</v>
      </c>
    </row>
    <row r="1439" spans="1:21" x14ac:dyDescent="0.35">
      <c r="A1439" s="1">
        <v>46029</v>
      </c>
      <c r="B1439" t="s">
        <v>48</v>
      </c>
      <c r="C1439" t="s">
        <v>49</v>
      </c>
      <c r="D1439" t="s">
        <v>50</v>
      </c>
      <c r="E1439">
        <v>331</v>
      </c>
      <c r="F1439">
        <v>150</v>
      </c>
      <c r="G1439">
        <f t="shared" si="66"/>
        <v>49650</v>
      </c>
      <c r="H1439">
        <v>100</v>
      </c>
      <c r="I1439">
        <f t="shared" si="67"/>
        <v>33100</v>
      </c>
      <c r="J1439">
        <f t="shared" si="68"/>
        <v>16550</v>
      </c>
      <c r="K1439" t="s">
        <v>24</v>
      </c>
      <c r="L1439" t="s">
        <v>25</v>
      </c>
      <c r="M1439" t="s">
        <v>26</v>
      </c>
      <c r="N1439" t="s">
        <v>27</v>
      </c>
      <c r="O1439">
        <v>847</v>
      </c>
      <c r="P1439">
        <v>331</v>
      </c>
      <c r="Q1439" t="s">
        <v>94</v>
      </c>
      <c r="R1439" t="s">
        <v>75</v>
      </c>
      <c r="S1439" t="s">
        <v>95</v>
      </c>
      <c r="T1439">
        <v>2022</v>
      </c>
      <c r="U1439" t="s">
        <v>105</v>
      </c>
    </row>
    <row r="1440" spans="1:21" x14ac:dyDescent="0.35">
      <c r="A1440" s="1">
        <v>46030</v>
      </c>
      <c r="B1440" t="s">
        <v>48</v>
      </c>
      <c r="C1440" t="s">
        <v>49</v>
      </c>
      <c r="D1440" t="s">
        <v>50</v>
      </c>
      <c r="E1440">
        <v>446</v>
      </c>
      <c r="F1440">
        <v>150</v>
      </c>
      <c r="G1440">
        <f t="shared" si="66"/>
        <v>66900</v>
      </c>
      <c r="H1440">
        <v>100</v>
      </c>
      <c r="I1440">
        <f t="shared" si="67"/>
        <v>44600</v>
      </c>
      <c r="J1440">
        <f t="shared" si="68"/>
        <v>22300</v>
      </c>
      <c r="K1440" t="s">
        <v>42</v>
      </c>
      <c r="L1440" t="s">
        <v>63</v>
      </c>
      <c r="M1440" t="s">
        <v>26</v>
      </c>
      <c r="N1440" t="s">
        <v>43</v>
      </c>
      <c r="O1440">
        <v>745</v>
      </c>
      <c r="P1440">
        <v>446</v>
      </c>
      <c r="Q1440" t="s">
        <v>44</v>
      </c>
      <c r="R1440" t="s">
        <v>45</v>
      </c>
      <c r="S1440" t="s">
        <v>46</v>
      </c>
      <c r="T1440">
        <v>2021</v>
      </c>
      <c r="U1440" t="s">
        <v>86</v>
      </c>
    </row>
    <row r="1441" spans="1:21" x14ac:dyDescent="0.35">
      <c r="A1441" s="1">
        <v>46031</v>
      </c>
      <c r="B1441" t="s">
        <v>48</v>
      </c>
      <c r="C1441" t="s">
        <v>49</v>
      </c>
      <c r="D1441" t="s">
        <v>50</v>
      </c>
      <c r="E1441">
        <v>249</v>
      </c>
      <c r="F1441">
        <v>150</v>
      </c>
      <c r="G1441">
        <f t="shared" si="66"/>
        <v>37350</v>
      </c>
      <c r="H1441">
        <v>100</v>
      </c>
      <c r="I1441">
        <f t="shared" si="67"/>
        <v>24900</v>
      </c>
      <c r="J1441">
        <f t="shared" si="68"/>
        <v>12450</v>
      </c>
      <c r="K1441" t="s">
        <v>42</v>
      </c>
      <c r="L1441" t="s">
        <v>36</v>
      </c>
      <c r="M1441" t="s">
        <v>26</v>
      </c>
      <c r="N1441" t="s">
        <v>43</v>
      </c>
      <c r="O1441">
        <v>831</v>
      </c>
      <c r="P1441">
        <v>249</v>
      </c>
      <c r="Q1441" t="s">
        <v>51</v>
      </c>
      <c r="R1441" t="s">
        <v>45</v>
      </c>
      <c r="S1441" t="s">
        <v>52</v>
      </c>
      <c r="T1441">
        <v>2022</v>
      </c>
      <c r="U1441" t="s">
        <v>109</v>
      </c>
    </row>
    <row r="1442" spans="1:21" x14ac:dyDescent="0.35">
      <c r="A1442" s="1">
        <v>46032</v>
      </c>
      <c r="B1442" t="s">
        <v>21</v>
      </c>
      <c r="C1442" t="s">
        <v>22</v>
      </c>
      <c r="D1442" t="s">
        <v>23</v>
      </c>
      <c r="E1442">
        <v>74</v>
      </c>
      <c r="F1442">
        <v>8</v>
      </c>
      <c r="G1442">
        <f t="shared" si="66"/>
        <v>592</v>
      </c>
      <c r="H1442">
        <v>5</v>
      </c>
      <c r="I1442">
        <f t="shared" si="67"/>
        <v>370</v>
      </c>
      <c r="J1442">
        <f t="shared" si="68"/>
        <v>222</v>
      </c>
      <c r="K1442" t="s">
        <v>24</v>
      </c>
      <c r="L1442" t="s">
        <v>73</v>
      </c>
      <c r="M1442" t="s">
        <v>26</v>
      </c>
      <c r="N1442" t="s">
        <v>38</v>
      </c>
      <c r="O1442">
        <v>657</v>
      </c>
      <c r="P1442">
        <v>74</v>
      </c>
      <c r="Q1442" t="s">
        <v>70</v>
      </c>
      <c r="R1442" t="s">
        <v>71</v>
      </c>
      <c r="S1442" t="s">
        <v>72</v>
      </c>
      <c r="T1442">
        <v>2022</v>
      </c>
      <c r="U1442" t="s">
        <v>62</v>
      </c>
    </row>
    <row r="1443" spans="1:21" x14ac:dyDescent="0.35">
      <c r="A1443" s="1">
        <v>46033</v>
      </c>
      <c r="B1443" t="s">
        <v>80</v>
      </c>
      <c r="C1443" t="s">
        <v>81</v>
      </c>
      <c r="D1443" t="s">
        <v>82</v>
      </c>
      <c r="E1443">
        <v>31</v>
      </c>
      <c r="F1443">
        <v>2.5</v>
      </c>
      <c r="G1443">
        <f t="shared" si="66"/>
        <v>77.5</v>
      </c>
      <c r="H1443">
        <v>1.5</v>
      </c>
      <c r="I1443">
        <f t="shared" si="67"/>
        <v>46.5</v>
      </c>
      <c r="J1443">
        <f t="shared" si="68"/>
        <v>31</v>
      </c>
      <c r="K1443" t="s">
        <v>35</v>
      </c>
      <c r="L1443" t="s">
        <v>25</v>
      </c>
      <c r="M1443" t="s">
        <v>26</v>
      </c>
      <c r="N1443" t="s">
        <v>38</v>
      </c>
      <c r="O1443">
        <v>930</v>
      </c>
      <c r="P1443">
        <v>31</v>
      </c>
      <c r="Q1443" t="s">
        <v>74</v>
      </c>
      <c r="R1443" t="s">
        <v>75</v>
      </c>
      <c r="S1443" t="s">
        <v>76</v>
      </c>
      <c r="T1443">
        <v>2020</v>
      </c>
      <c r="U1443" t="s">
        <v>62</v>
      </c>
    </row>
    <row r="1444" spans="1:21" x14ac:dyDescent="0.35">
      <c r="A1444" s="1">
        <v>46034</v>
      </c>
      <c r="B1444" t="s">
        <v>48</v>
      </c>
      <c r="C1444" t="s">
        <v>49</v>
      </c>
      <c r="D1444" t="s">
        <v>50</v>
      </c>
      <c r="E1444">
        <v>114</v>
      </c>
      <c r="F1444">
        <v>150</v>
      </c>
      <c r="G1444">
        <f t="shared" si="66"/>
        <v>17100</v>
      </c>
      <c r="H1444">
        <v>100</v>
      </c>
      <c r="I1444">
        <f t="shared" si="67"/>
        <v>11400</v>
      </c>
      <c r="J1444">
        <f t="shared" si="68"/>
        <v>5700</v>
      </c>
      <c r="K1444" t="s">
        <v>35</v>
      </c>
      <c r="L1444" t="s">
        <v>36</v>
      </c>
      <c r="M1444" t="s">
        <v>61</v>
      </c>
      <c r="N1444" t="s">
        <v>43</v>
      </c>
      <c r="O1444">
        <v>976</v>
      </c>
      <c r="P1444">
        <v>114</v>
      </c>
      <c r="Q1444" t="s">
        <v>77</v>
      </c>
      <c r="R1444" t="s">
        <v>78</v>
      </c>
      <c r="S1444" t="s">
        <v>79</v>
      </c>
      <c r="T1444">
        <v>2023</v>
      </c>
      <c r="U1444" t="s">
        <v>91</v>
      </c>
    </row>
    <row r="1445" spans="1:21" x14ac:dyDescent="0.35">
      <c r="A1445" s="1">
        <v>46035</v>
      </c>
      <c r="B1445" t="s">
        <v>48</v>
      </c>
      <c r="C1445" t="s">
        <v>49</v>
      </c>
      <c r="D1445" t="s">
        <v>50</v>
      </c>
      <c r="E1445">
        <v>121</v>
      </c>
      <c r="F1445">
        <v>150</v>
      </c>
      <c r="G1445">
        <f t="shared" si="66"/>
        <v>18150</v>
      </c>
      <c r="H1445">
        <v>100</v>
      </c>
      <c r="I1445">
        <f t="shared" si="67"/>
        <v>12100</v>
      </c>
      <c r="J1445">
        <f t="shared" si="68"/>
        <v>6050</v>
      </c>
      <c r="K1445" t="s">
        <v>42</v>
      </c>
      <c r="L1445" t="s">
        <v>25</v>
      </c>
      <c r="M1445" t="s">
        <v>26</v>
      </c>
      <c r="N1445" t="s">
        <v>43</v>
      </c>
      <c r="O1445">
        <v>618</v>
      </c>
      <c r="P1445">
        <v>121</v>
      </c>
      <c r="Q1445" t="s">
        <v>113</v>
      </c>
      <c r="R1445" t="s">
        <v>114</v>
      </c>
      <c r="S1445" t="s">
        <v>115</v>
      </c>
      <c r="T1445">
        <v>2024</v>
      </c>
      <c r="U1445" t="s">
        <v>91</v>
      </c>
    </row>
    <row r="1446" spans="1:21" x14ac:dyDescent="0.35">
      <c r="A1446" s="1">
        <v>46036</v>
      </c>
      <c r="B1446" t="s">
        <v>80</v>
      </c>
      <c r="C1446" t="s">
        <v>81</v>
      </c>
      <c r="D1446" t="s">
        <v>82</v>
      </c>
      <c r="E1446">
        <v>371</v>
      </c>
      <c r="F1446">
        <v>2.5</v>
      </c>
      <c r="G1446">
        <f t="shared" si="66"/>
        <v>927.5</v>
      </c>
      <c r="H1446">
        <v>1.5</v>
      </c>
      <c r="I1446">
        <f t="shared" si="67"/>
        <v>556.5</v>
      </c>
      <c r="J1446">
        <f t="shared" si="68"/>
        <v>371</v>
      </c>
      <c r="K1446" t="s">
        <v>24</v>
      </c>
      <c r="L1446" t="s">
        <v>36</v>
      </c>
      <c r="M1446" t="s">
        <v>26</v>
      </c>
      <c r="N1446" t="s">
        <v>27</v>
      </c>
      <c r="O1446">
        <v>798</v>
      </c>
      <c r="P1446">
        <v>371</v>
      </c>
      <c r="Q1446" t="s">
        <v>70</v>
      </c>
      <c r="R1446" t="s">
        <v>71</v>
      </c>
      <c r="S1446" t="s">
        <v>72</v>
      </c>
      <c r="T1446">
        <v>2023</v>
      </c>
      <c r="U1446" t="s">
        <v>47</v>
      </c>
    </row>
    <row r="1447" spans="1:21" x14ac:dyDescent="0.35">
      <c r="A1447" s="1">
        <v>46037</v>
      </c>
      <c r="B1447" t="s">
        <v>80</v>
      </c>
      <c r="C1447" t="s">
        <v>81</v>
      </c>
      <c r="D1447" t="s">
        <v>82</v>
      </c>
      <c r="E1447">
        <v>395</v>
      </c>
      <c r="F1447">
        <v>2.5</v>
      </c>
      <c r="G1447">
        <f t="shared" si="66"/>
        <v>987.5</v>
      </c>
      <c r="H1447">
        <v>1.5</v>
      </c>
      <c r="I1447">
        <f t="shared" si="67"/>
        <v>592.5</v>
      </c>
      <c r="J1447">
        <f t="shared" si="68"/>
        <v>395</v>
      </c>
      <c r="K1447" t="s">
        <v>24</v>
      </c>
      <c r="L1447" t="s">
        <v>63</v>
      </c>
      <c r="M1447" t="s">
        <v>26</v>
      </c>
      <c r="N1447" t="s">
        <v>38</v>
      </c>
      <c r="O1447">
        <v>664</v>
      </c>
      <c r="P1447">
        <v>395</v>
      </c>
      <c r="Q1447" t="s">
        <v>74</v>
      </c>
      <c r="R1447" t="s">
        <v>75</v>
      </c>
      <c r="S1447" t="s">
        <v>76</v>
      </c>
      <c r="T1447">
        <v>2024</v>
      </c>
      <c r="U1447" t="s">
        <v>53</v>
      </c>
    </row>
    <row r="1448" spans="1:21" x14ac:dyDescent="0.35">
      <c r="A1448" s="1">
        <v>46038</v>
      </c>
      <c r="B1448" t="s">
        <v>58</v>
      </c>
      <c r="C1448" t="s">
        <v>59</v>
      </c>
      <c r="D1448" t="s">
        <v>60</v>
      </c>
      <c r="E1448">
        <v>63</v>
      </c>
      <c r="F1448">
        <v>5</v>
      </c>
      <c r="G1448">
        <f t="shared" si="66"/>
        <v>315</v>
      </c>
      <c r="H1448">
        <v>3</v>
      </c>
      <c r="I1448">
        <f t="shared" si="67"/>
        <v>189</v>
      </c>
      <c r="J1448">
        <f t="shared" si="68"/>
        <v>126</v>
      </c>
      <c r="K1448" t="s">
        <v>42</v>
      </c>
      <c r="L1448" t="s">
        <v>73</v>
      </c>
      <c r="M1448" t="s">
        <v>37</v>
      </c>
      <c r="N1448" t="s">
        <v>27</v>
      </c>
      <c r="O1448">
        <v>933</v>
      </c>
      <c r="P1448">
        <v>63</v>
      </c>
      <c r="Q1448" t="s">
        <v>51</v>
      </c>
      <c r="R1448" t="s">
        <v>45</v>
      </c>
      <c r="S1448" t="s">
        <v>52</v>
      </c>
      <c r="T1448">
        <v>2023</v>
      </c>
      <c r="U1448" t="s">
        <v>47</v>
      </c>
    </row>
    <row r="1449" spans="1:21" x14ac:dyDescent="0.35">
      <c r="A1449" s="1">
        <v>46039</v>
      </c>
      <c r="B1449" t="s">
        <v>98</v>
      </c>
      <c r="C1449" t="s">
        <v>99</v>
      </c>
      <c r="D1449" t="s">
        <v>100</v>
      </c>
      <c r="E1449">
        <v>332</v>
      </c>
      <c r="F1449">
        <v>6</v>
      </c>
      <c r="G1449">
        <f t="shared" si="66"/>
        <v>1992</v>
      </c>
      <c r="H1449">
        <v>4</v>
      </c>
      <c r="I1449">
        <f t="shared" si="67"/>
        <v>1328</v>
      </c>
      <c r="J1449">
        <f t="shared" si="68"/>
        <v>664</v>
      </c>
      <c r="K1449" t="s">
        <v>42</v>
      </c>
      <c r="L1449" t="s">
        <v>25</v>
      </c>
      <c r="M1449" t="s">
        <v>37</v>
      </c>
      <c r="N1449" t="s">
        <v>27</v>
      </c>
      <c r="O1449">
        <v>704</v>
      </c>
      <c r="P1449">
        <v>332</v>
      </c>
      <c r="Q1449" t="s">
        <v>90</v>
      </c>
      <c r="R1449" t="s">
        <v>55</v>
      </c>
      <c r="S1449" t="s">
        <v>85</v>
      </c>
      <c r="T1449">
        <v>2024</v>
      </c>
      <c r="U1449" t="s">
        <v>97</v>
      </c>
    </row>
    <row r="1450" spans="1:21" x14ac:dyDescent="0.35">
      <c r="A1450" s="1">
        <v>46040</v>
      </c>
      <c r="B1450" t="s">
        <v>80</v>
      </c>
      <c r="C1450" t="s">
        <v>81</v>
      </c>
      <c r="D1450" t="s">
        <v>82</v>
      </c>
      <c r="E1450">
        <v>203</v>
      </c>
      <c r="F1450">
        <v>2.5</v>
      </c>
      <c r="G1450">
        <f t="shared" si="66"/>
        <v>507.5</v>
      </c>
      <c r="H1450">
        <v>1.5</v>
      </c>
      <c r="I1450">
        <f t="shared" si="67"/>
        <v>304.5</v>
      </c>
      <c r="J1450">
        <f t="shared" si="68"/>
        <v>203</v>
      </c>
      <c r="K1450" t="s">
        <v>42</v>
      </c>
      <c r="L1450" t="s">
        <v>36</v>
      </c>
      <c r="M1450" t="s">
        <v>37</v>
      </c>
      <c r="N1450" t="s">
        <v>38</v>
      </c>
      <c r="O1450">
        <v>584</v>
      </c>
      <c r="P1450">
        <v>203</v>
      </c>
      <c r="Q1450" t="s">
        <v>77</v>
      </c>
      <c r="R1450" t="s">
        <v>78</v>
      </c>
      <c r="S1450" t="s">
        <v>79</v>
      </c>
      <c r="T1450">
        <v>2021</v>
      </c>
      <c r="U1450" t="s">
        <v>105</v>
      </c>
    </row>
    <row r="1451" spans="1:21" x14ac:dyDescent="0.35">
      <c r="A1451" s="1">
        <v>46041</v>
      </c>
      <c r="B1451" t="s">
        <v>21</v>
      </c>
      <c r="C1451" t="s">
        <v>22</v>
      </c>
      <c r="D1451" t="s">
        <v>23</v>
      </c>
      <c r="E1451">
        <v>43</v>
      </c>
      <c r="F1451">
        <v>8</v>
      </c>
      <c r="G1451">
        <f t="shared" si="66"/>
        <v>344</v>
      </c>
      <c r="H1451">
        <v>5</v>
      </c>
      <c r="I1451">
        <f t="shared" si="67"/>
        <v>215</v>
      </c>
      <c r="J1451">
        <f t="shared" si="68"/>
        <v>129</v>
      </c>
      <c r="K1451" t="s">
        <v>24</v>
      </c>
      <c r="L1451" t="s">
        <v>73</v>
      </c>
      <c r="M1451" t="s">
        <v>37</v>
      </c>
      <c r="N1451" t="s">
        <v>43</v>
      </c>
      <c r="O1451">
        <v>680</v>
      </c>
      <c r="P1451">
        <v>43</v>
      </c>
      <c r="Q1451" t="s">
        <v>90</v>
      </c>
      <c r="R1451" t="s">
        <v>55</v>
      </c>
      <c r="S1451" t="s">
        <v>85</v>
      </c>
      <c r="T1451">
        <v>2023</v>
      </c>
      <c r="U1451" t="s">
        <v>96</v>
      </c>
    </row>
    <row r="1452" spans="1:21" x14ac:dyDescent="0.35">
      <c r="A1452" s="1">
        <v>46042</v>
      </c>
      <c r="B1452" t="s">
        <v>80</v>
      </c>
      <c r="C1452" t="s">
        <v>81</v>
      </c>
      <c r="D1452" t="s">
        <v>82</v>
      </c>
      <c r="E1452">
        <v>71</v>
      </c>
      <c r="F1452">
        <v>2.5</v>
      </c>
      <c r="G1452">
        <f t="shared" si="66"/>
        <v>177.5</v>
      </c>
      <c r="H1452">
        <v>1.5</v>
      </c>
      <c r="I1452">
        <f t="shared" si="67"/>
        <v>106.5</v>
      </c>
      <c r="J1452">
        <f t="shared" si="68"/>
        <v>71</v>
      </c>
      <c r="K1452" t="s">
        <v>42</v>
      </c>
      <c r="L1452" t="s">
        <v>25</v>
      </c>
      <c r="M1452" t="s">
        <v>26</v>
      </c>
      <c r="N1452" t="s">
        <v>38</v>
      </c>
      <c r="O1452">
        <v>951</v>
      </c>
      <c r="P1452">
        <v>71</v>
      </c>
      <c r="Q1452" t="s">
        <v>67</v>
      </c>
      <c r="R1452" t="s">
        <v>68</v>
      </c>
      <c r="S1452" t="s">
        <v>69</v>
      </c>
      <c r="T1452">
        <v>2020</v>
      </c>
      <c r="U1452" t="s">
        <v>105</v>
      </c>
    </row>
    <row r="1453" spans="1:21" x14ac:dyDescent="0.35">
      <c r="A1453" s="1">
        <v>46043</v>
      </c>
      <c r="B1453" t="s">
        <v>32</v>
      </c>
      <c r="C1453" t="s">
        <v>33</v>
      </c>
      <c r="D1453" t="s">
        <v>34</v>
      </c>
      <c r="E1453">
        <v>85</v>
      </c>
      <c r="F1453">
        <v>20</v>
      </c>
      <c r="G1453">
        <f t="shared" si="66"/>
        <v>1700</v>
      </c>
      <c r="H1453">
        <v>12</v>
      </c>
      <c r="I1453">
        <f t="shared" si="67"/>
        <v>1020</v>
      </c>
      <c r="J1453">
        <f t="shared" si="68"/>
        <v>680</v>
      </c>
      <c r="K1453" t="s">
        <v>35</v>
      </c>
      <c r="L1453" t="s">
        <v>63</v>
      </c>
      <c r="M1453" t="s">
        <v>37</v>
      </c>
      <c r="N1453" t="s">
        <v>27</v>
      </c>
      <c r="O1453">
        <v>905</v>
      </c>
      <c r="P1453">
        <v>85</v>
      </c>
      <c r="Q1453" t="s">
        <v>101</v>
      </c>
      <c r="R1453" t="s">
        <v>101</v>
      </c>
      <c r="S1453" t="s">
        <v>102</v>
      </c>
      <c r="T1453">
        <v>2022</v>
      </c>
      <c r="U1453" t="s">
        <v>57</v>
      </c>
    </row>
    <row r="1454" spans="1:21" x14ac:dyDescent="0.35">
      <c r="A1454" s="1">
        <v>46044</v>
      </c>
      <c r="B1454" t="s">
        <v>58</v>
      </c>
      <c r="C1454" t="s">
        <v>59</v>
      </c>
      <c r="D1454" t="s">
        <v>60</v>
      </c>
      <c r="E1454">
        <v>12</v>
      </c>
      <c r="F1454">
        <v>5</v>
      </c>
      <c r="G1454">
        <f t="shared" si="66"/>
        <v>60</v>
      </c>
      <c r="H1454">
        <v>3</v>
      </c>
      <c r="I1454">
        <f t="shared" si="67"/>
        <v>36</v>
      </c>
      <c r="J1454">
        <f t="shared" si="68"/>
        <v>24</v>
      </c>
      <c r="K1454" t="s">
        <v>42</v>
      </c>
      <c r="L1454" t="s">
        <v>25</v>
      </c>
      <c r="M1454" t="s">
        <v>61</v>
      </c>
      <c r="N1454" t="s">
        <v>38</v>
      </c>
      <c r="O1454">
        <v>941</v>
      </c>
      <c r="P1454">
        <v>12</v>
      </c>
      <c r="Q1454" t="s">
        <v>113</v>
      </c>
      <c r="R1454" t="s">
        <v>114</v>
      </c>
      <c r="S1454" t="s">
        <v>115</v>
      </c>
      <c r="T1454">
        <v>2023</v>
      </c>
      <c r="U1454" t="s">
        <v>96</v>
      </c>
    </row>
    <row r="1455" spans="1:21" x14ac:dyDescent="0.35">
      <c r="A1455" s="1">
        <v>46045</v>
      </c>
      <c r="B1455" t="s">
        <v>48</v>
      </c>
      <c r="C1455" t="s">
        <v>49</v>
      </c>
      <c r="D1455" t="s">
        <v>50</v>
      </c>
      <c r="E1455">
        <v>328</v>
      </c>
      <c r="F1455">
        <v>150</v>
      </c>
      <c r="G1455">
        <f t="shared" si="66"/>
        <v>49200</v>
      </c>
      <c r="H1455">
        <v>100</v>
      </c>
      <c r="I1455">
        <f t="shared" si="67"/>
        <v>32800</v>
      </c>
      <c r="J1455">
        <f t="shared" si="68"/>
        <v>16400</v>
      </c>
      <c r="K1455" t="s">
        <v>35</v>
      </c>
      <c r="L1455" t="s">
        <v>73</v>
      </c>
      <c r="M1455" t="s">
        <v>26</v>
      </c>
      <c r="N1455" t="s">
        <v>27</v>
      </c>
      <c r="O1455">
        <v>699</v>
      </c>
      <c r="P1455">
        <v>328</v>
      </c>
      <c r="Q1455" t="s">
        <v>64</v>
      </c>
      <c r="R1455" t="s">
        <v>29</v>
      </c>
      <c r="S1455" t="s">
        <v>65</v>
      </c>
      <c r="T1455">
        <v>2020</v>
      </c>
      <c r="U1455" t="s">
        <v>96</v>
      </c>
    </row>
    <row r="1456" spans="1:21" x14ac:dyDescent="0.35">
      <c r="A1456" s="1">
        <v>46046</v>
      </c>
      <c r="B1456" t="s">
        <v>48</v>
      </c>
      <c r="C1456" t="s">
        <v>49</v>
      </c>
      <c r="D1456" t="s">
        <v>50</v>
      </c>
      <c r="E1456">
        <v>234</v>
      </c>
      <c r="F1456">
        <v>150</v>
      </c>
      <c r="G1456">
        <f t="shared" si="66"/>
        <v>35100</v>
      </c>
      <c r="H1456">
        <v>100</v>
      </c>
      <c r="I1456">
        <f t="shared" si="67"/>
        <v>23400</v>
      </c>
      <c r="J1456">
        <f t="shared" si="68"/>
        <v>11700</v>
      </c>
      <c r="K1456" t="s">
        <v>35</v>
      </c>
      <c r="L1456" t="s">
        <v>63</v>
      </c>
      <c r="M1456" t="s">
        <v>37</v>
      </c>
      <c r="N1456" t="s">
        <v>27</v>
      </c>
      <c r="O1456">
        <v>840</v>
      </c>
      <c r="P1456">
        <v>234</v>
      </c>
      <c r="Q1456" t="s">
        <v>70</v>
      </c>
      <c r="R1456" t="s">
        <v>71</v>
      </c>
      <c r="S1456" t="s">
        <v>72</v>
      </c>
      <c r="T1456">
        <v>2024</v>
      </c>
      <c r="U1456" t="s">
        <v>62</v>
      </c>
    </row>
    <row r="1457" spans="1:21" x14ac:dyDescent="0.35">
      <c r="A1457" s="1">
        <v>46047</v>
      </c>
      <c r="B1457" t="s">
        <v>21</v>
      </c>
      <c r="C1457" t="s">
        <v>22</v>
      </c>
      <c r="D1457" t="s">
        <v>23</v>
      </c>
      <c r="E1457">
        <v>414</v>
      </c>
      <c r="F1457">
        <v>8</v>
      </c>
      <c r="G1457">
        <f t="shared" si="66"/>
        <v>3312</v>
      </c>
      <c r="H1457">
        <v>5</v>
      </c>
      <c r="I1457">
        <f t="shared" si="67"/>
        <v>2070</v>
      </c>
      <c r="J1457">
        <f t="shared" si="68"/>
        <v>1242</v>
      </c>
      <c r="K1457" t="s">
        <v>24</v>
      </c>
      <c r="L1457" t="s">
        <v>73</v>
      </c>
      <c r="M1457" t="s">
        <v>37</v>
      </c>
      <c r="N1457" t="s">
        <v>43</v>
      </c>
      <c r="O1457">
        <v>600</v>
      </c>
      <c r="P1457">
        <v>414</v>
      </c>
      <c r="Q1457" t="s">
        <v>64</v>
      </c>
      <c r="R1457" t="s">
        <v>29</v>
      </c>
      <c r="S1457" t="s">
        <v>65</v>
      </c>
      <c r="T1457">
        <v>2023</v>
      </c>
      <c r="U1457" t="s">
        <v>53</v>
      </c>
    </row>
    <row r="1458" spans="1:21" x14ac:dyDescent="0.35">
      <c r="A1458" s="1">
        <v>46048</v>
      </c>
      <c r="B1458" t="s">
        <v>21</v>
      </c>
      <c r="C1458" t="s">
        <v>22</v>
      </c>
      <c r="D1458" t="s">
        <v>23</v>
      </c>
      <c r="E1458">
        <v>90</v>
      </c>
      <c r="F1458">
        <v>8</v>
      </c>
      <c r="G1458">
        <f t="shared" si="66"/>
        <v>720</v>
      </c>
      <c r="H1458">
        <v>5</v>
      </c>
      <c r="I1458">
        <f t="shared" si="67"/>
        <v>450</v>
      </c>
      <c r="J1458">
        <f t="shared" si="68"/>
        <v>270</v>
      </c>
      <c r="K1458" t="s">
        <v>42</v>
      </c>
      <c r="L1458" t="s">
        <v>73</v>
      </c>
      <c r="M1458" t="s">
        <v>37</v>
      </c>
      <c r="N1458" t="s">
        <v>27</v>
      </c>
      <c r="O1458">
        <v>551</v>
      </c>
      <c r="P1458">
        <v>90</v>
      </c>
      <c r="Q1458" t="s">
        <v>67</v>
      </c>
      <c r="R1458" t="s">
        <v>68</v>
      </c>
      <c r="S1458" t="s">
        <v>69</v>
      </c>
      <c r="T1458">
        <v>2021</v>
      </c>
      <c r="U1458" t="s">
        <v>91</v>
      </c>
    </row>
    <row r="1459" spans="1:21" x14ac:dyDescent="0.35">
      <c r="A1459" s="1">
        <v>46049</v>
      </c>
      <c r="B1459" t="s">
        <v>80</v>
      </c>
      <c r="C1459" t="s">
        <v>81</v>
      </c>
      <c r="D1459" t="s">
        <v>82</v>
      </c>
      <c r="E1459">
        <v>442</v>
      </c>
      <c r="F1459">
        <v>2.5</v>
      </c>
      <c r="G1459">
        <f t="shared" si="66"/>
        <v>1105</v>
      </c>
      <c r="H1459">
        <v>1.5</v>
      </c>
      <c r="I1459">
        <f t="shared" si="67"/>
        <v>663</v>
      </c>
      <c r="J1459">
        <f t="shared" si="68"/>
        <v>442</v>
      </c>
      <c r="K1459" t="s">
        <v>42</v>
      </c>
      <c r="L1459" t="s">
        <v>73</v>
      </c>
      <c r="M1459" t="s">
        <v>37</v>
      </c>
      <c r="N1459" t="s">
        <v>27</v>
      </c>
      <c r="O1459">
        <v>925</v>
      </c>
      <c r="P1459">
        <v>442</v>
      </c>
      <c r="Q1459" t="s">
        <v>64</v>
      </c>
      <c r="R1459" t="s">
        <v>29</v>
      </c>
      <c r="S1459" t="s">
        <v>65</v>
      </c>
      <c r="T1459">
        <v>2021</v>
      </c>
      <c r="U1459" t="s">
        <v>109</v>
      </c>
    </row>
    <row r="1460" spans="1:21" x14ac:dyDescent="0.35">
      <c r="A1460" s="1">
        <v>46050</v>
      </c>
      <c r="B1460" t="s">
        <v>48</v>
      </c>
      <c r="C1460" t="s">
        <v>49</v>
      </c>
      <c r="D1460" t="s">
        <v>50</v>
      </c>
      <c r="E1460">
        <v>282</v>
      </c>
      <c r="F1460">
        <v>150</v>
      </c>
      <c r="G1460">
        <f t="shared" si="66"/>
        <v>42300</v>
      </c>
      <c r="H1460">
        <v>100</v>
      </c>
      <c r="I1460">
        <f t="shared" si="67"/>
        <v>28200</v>
      </c>
      <c r="J1460">
        <f t="shared" si="68"/>
        <v>14100</v>
      </c>
      <c r="K1460" t="s">
        <v>35</v>
      </c>
      <c r="L1460" t="s">
        <v>73</v>
      </c>
      <c r="M1460" t="s">
        <v>37</v>
      </c>
      <c r="N1460" t="s">
        <v>38</v>
      </c>
      <c r="O1460">
        <v>709</v>
      </c>
      <c r="P1460">
        <v>282</v>
      </c>
      <c r="Q1460" t="s">
        <v>44</v>
      </c>
      <c r="R1460" t="s">
        <v>45</v>
      </c>
      <c r="S1460" t="s">
        <v>46</v>
      </c>
      <c r="T1460">
        <v>2021</v>
      </c>
      <c r="U1460" t="s">
        <v>86</v>
      </c>
    </row>
    <row r="1461" spans="1:21" x14ac:dyDescent="0.35">
      <c r="A1461" s="1">
        <v>46051</v>
      </c>
      <c r="B1461" t="s">
        <v>80</v>
      </c>
      <c r="C1461" t="s">
        <v>81</v>
      </c>
      <c r="D1461" t="s">
        <v>82</v>
      </c>
      <c r="E1461">
        <v>474</v>
      </c>
      <c r="F1461">
        <v>2.5</v>
      </c>
      <c r="G1461">
        <f t="shared" si="66"/>
        <v>1185</v>
      </c>
      <c r="H1461">
        <v>1.5</v>
      </c>
      <c r="I1461">
        <f t="shared" si="67"/>
        <v>711</v>
      </c>
      <c r="J1461">
        <f t="shared" si="68"/>
        <v>474</v>
      </c>
      <c r="K1461" t="s">
        <v>35</v>
      </c>
      <c r="L1461" t="s">
        <v>73</v>
      </c>
      <c r="M1461" t="s">
        <v>61</v>
      </c>
      <c r="N1461" t="s">
        <v>43</v>
      </c>
      <c r="O1461">
        <v>781</v>
      </c>
      <c r="P1461">
        <v>474</v>
      </c>
      <c r="Q1461" t="s">
        <v>83</v>
      </c>
      <c r="R1461" t="s">
        <v>84</v>
      </c>
      <c r="S1461" t="s">
        <v>85</v>
      </c>
      <c r="T1461">
        <v>2020</v>
      </c>
      <c r="U1461" t="s">
        <v>86</v>
      </c>
    </row>
    <row r="1462" spans="1:21" x14ac:dyDescent="0.35">
      <c r="A1462" s="1">
        <v>46052</v>
      </c>
      <c r="B1462" t="s">
        <v>21</v>
      </c>
      <c r="C1462" t="s">
        <v>22</v>
      </c>
      <c r="D1462" t="s">
        <v>23</v>
      </c>
      <c r="E1462">
        <v>200</v>
      </c>
      <c r="F1462">
        <v>8</v>
      </c>
      <c r="G1462">
        <f t="shared" si="66"/>
        <v>1600</v>
      </c>
      <c r="H1462">
        <v>5</v>
      </c>
      <c r="I1462">
        <f t="shared" si="67"/>
        <v>1000</v>
      </c>
      <c r="J1462">
        <f t="shared" si="68"/>
        <v>600</v>
      </c>
      <c r="K1462" t="s">
        <v>24</v>
      </c>
      <c r="L1462" t="s">
        <v>73</v>
      </c>
      <c r="M1462" t="s">
        <v>37</v>
      </c>
      <c r="N1462" t="s">
        <v>43</v>
      </c>
      <c r="O1462">
        <v>611</v>
      </c>
      <c r="P1462">
        <v>200</v>
      </c>
      <c r="Q1462" t="s">
        <v>39</v>
      </c>
      <c r="R1462" t="s">
        <v>40</v>
      </c>
      <c r="S1462" t="s">
        <v>41</v>
      </c>
      <c r="T1462">
        <v>2021</v>
      </c>
      <c r="U1462" t="s">
        <v>97</v>
      </c>
    </row>
    <row r="1463" spans="1:21" x14ac:dyDescent="0.35">
      <c r="A1463" s="1">
        <v>46053</v>
      </c>
      <c r="B1463" t="s">
        <v>58</v>
      </c>
      <c r="C1463" t="s">
        <v>59</v>
      </c>
      <c r="D1463" t="s">
        <v>60</v>
      </c>
      <c r="E1463">
        <v>412</v>
      </c>
      <c r="F1463">
        <v>5</v>
      </c>
      <c r="G1463">
        <f t="shared" si="66"/>
        <v>2060</v>
      </c>
      <c r="H1463">
        <v>3</v>
      </c>
      <c r="I1463">
        <f t="shared" si="67"/>
        <v>1236</v>
      </c>
      <c r="J1463">
        <f t="shared" si="68"/>
        <v>824</v>
      </c>
      <c r="K1463" t="s">
        <v>35</v>
      </c>
      <c r="L1463" t="s">
        <v>63</v>
      </c>
      <c r="M1463" t="s">
        <v>26</v>
      </c>
      <c r="N1463" t="s">
        <v>27</v>
      </c>
      <c r="O1463">
        <v>925</v>
      </c>
      <c r="P1463">
        <v>412</v>
      </c>
      <c r="Q1463" t="s">
        <v>64</v>
      </c>
      <c r="R1463" t="s">
        <v>29</v>
      </c>
      <c r="S1463" t="s">
        <v>65</v>
      </c>
      <c r="T1463">
        <v>2021</v>
      </c>
      <c r="U1463" t="s">
        <v>66</v>
      </c>
    </row>
    <row r="1464" spans="1:21" x14ac:dyDescent="0.35">
      <c r="A1464" s="1">
        <v>46054</v>
      </c>
      <c r="B1464" t="s">
        <v>98</v>
      </c>
      <c r="C1464" t="s">
        <v>99</v>
      </c>
      <c r="D1464" t="s">
        <v>100</v>
      </c>
      <c r="E1464">
        <v>172</v>
      </c>
      <c r="F1464">
        <v>6</v>
      </c>
      <c r="G1464">
        <f t="shared" si="66"/>
        <v>1032</v>
      </c>
      <c r="H1464">
        <v>4</v>
      </c>
      <c r="I1464">
        <f t="shared" si="67"/>
        <v>688</v>
      </c>
      <c r="J1464">
        <f t="shared" si="68"/>
        <v>344</v>
      </c>
      <c r="K1464" t="s">
        <v>42</v>
      </c>
      <c r="L1464" t="s">
        <v>63</v>
      </c>
      <c r="M1464" t="s">
        <v>61</v>
      </c>
      <c r="N1464" t="s">
        <v>27</v>
      </c>
      <c r="O1464">
        <v>697</v>
      </c>
      <c r="P1464">
        <v>172</v>
      </c>
      <c r="Q1464" t="s">
        <v>54</v>
      </c>
      <c r="R1464" t="s">
        <v>55</v>
      </c>
      <c r="S1464" t="s">
        <v>56</v>
      </c>
      <c r="T1464">
        <v>2024</v>
      </c>
      <c r="U1464" t="s">
        <v>109</v>
      </c>
    </row>
    <row r="1465" spans="1:21" x14ac:dyDescent="0.35">
      <c r="A1465" s="1">
        <v>46055</v>
      </c>
      <c r="B1465" t="s">
        <v>32</v>
      </c>
      <c r="C1465" t="s">
        <v>33</v>
      </c>
      <c r="D1465" t="s">
        <v>34</v>
      </c>
      <c r="E1465">
        <v>196</v>
      </c>
      <c r="F1465">
        <v>20</v>
      </c>
      <c r="G1465">
        <f t="shared" si="66"/>
        <v>3920</v>
      </c>
      <c r="H1465">
        <v>12</v>
      </c>
      <c r="I1465">
        <f t="shared" si="67"/>
        <v>2352</v>
      </c>
      <c r="J1465">
        <f t="shared" si="68"/>
        <v>1568</v>
      </c>
      <c r="K1465" t="s">
        <v>24</v>
      </c>
      <c r="L1465" t="s">
        <v>36</v>
      </c>
      <c r="M1465" t="s">
        <v>26</v>
      </c>
      <c r="N1465" t="s">
        <v>43</v>
      </c>
      <c r="O1465">
        <v>907</v>
      </c>
      <c r="P1465">
        <v>196</v>
      </c>
      <c r="Q1465" t="s">
        <v>74</v>
      </c>
      <c r="R1465" t="s">
        <v>75</v>
      </c>
      <c r="S1465" t="s">
        <v>76</v>
      </c>
      <c r="T1465">
        <v>2020</v>
      </c>
      <c r="U1465" t="s">
        <v>57</v>
      </c>
    </row>
    <row r="1466" spans="1:21" x14ac:dyDescent="0.35">
      <c r="A1466" s="1">
        <v>46056</v>
      </c>
      <c r="B1466" t="s">
        <v>58</v>
      </c>
      <c r="C1466" t="s">
        <v>59</v>
      </c>
      <c r="D1466" t="s">
        <v>60</v>
      </c>
      <c r="E1466">
        <v>368</v>
      </c>
      <c r="F1466">
        <v>5</v>
      </c>
      <c r="G1466">
        <f t="shared" si="66"/>
        <v>1840</v>
      </c>
      <c r="H1466">
        <v>3</v>
      </c>
      <c r="I1466">
        <f t="shared" si="67"/>
        <v>1104</v>
      </c>
      <c r="J1466">
        <f t="shared" si="68"/>
        <v>736</v>
      </c>
      <c r="K1466" t="s">
        <v>42</v>
      </c>
      <c r="L1466" t="s">
        <v>36</v>
      </c>
      <c r="M1466" t="s">
        <v>37</v>
      </c>
      <c r="N1466" t="s">
        <v>27</v>
      </c>
      <c r="O1466">
        <v>766</v>
      </c>
      <c r="P1466">
        <v>368</v>
      </c>
      <c r="Q1466" t="s">
        <v>94</v>
      </c>
      <c r="R1466" t="s">
        <v>75</v>
      </c>
      <c r="S1466" t="s">
        <v>95</v>
      </c>
      <c r="T1466">
        <v>2023</v>
      </c>
      <c r="U1466" t="s">
        <v>105</v>
      </c>
    </row>
    <row r="1467" spans="1:21" x14ac:dyDescent="0.35">
      <c r="A1467" s="1">
        <v>46057</v>
      </c>
      <c r="B1467" t="s">
        <v>80</v>
      </c>
      <c r="C1467" t="s">
        <v>81</v>
      </c>
      <c r="D1467" t="s">
        <v>82</v>
      </c>
      <c r="E1467">
        <v>213</v>
      </c>
      <c r="F1467">
        <v>2.5</v>
      </c>
      <c r="G1467">
        <f t="shared" si="66"/>
        <v>532.5</v>
      </c>
      <c r="H1467">
        <v>1.5</v>
      </c>
      <c r="I1467">
        <f t="shared" si="67"/>
        <v>319.5</v>
      </c>
      <c r="J1467">
        <f t="shared" si="68"/>
        <v>213</v>
      </c>
      <c r="K1467" t="s">
        <v>42</v>
      </c>
      <c r="L1467" t="s">
        <v>73</v>
      </c>
      <c r="M1467" t="s">
        <v>37</v>
      </c>
      <c r="N1467" t="s">
        <v>38</v>
      </c>
      <c r="O1467">
        <v>650</v>
      </c>
      <c r="P1467">
        <v>213</v>
      </c>
      <c r="Q1467" t="s">
        <v>28</v>
      </c>
      <c r="R1467" t="s">
        <v>29</v>
      </c>
      <c r="S1467" t="s">
        <v>30</v>
      </c>
      <c r="T1467">
        <v>2024</v>
      </c>
      <c r="U1467" t="s">
        <v>91</v>
      </c>
    </row>
    <row r="1468" spans="1:21" x14ac:dyDescent="0.35">
      <c r="A1468" s="1">
        <v>46058</v>
      </c>
      <c r="B1468" t="s">
        <v>32</v>
      </c>
      <c r="C1468" t="s">
        <v>33</v>
      </c>
      <c r="D1468" t="s">
        <v>34</v>
      </c>
      <c r="E1468">
        <v>307</v>
      </c>
      <c r="F1468">
        <v>20</v>
      </c>
      <c r="G1468">
        <f t="shared" si="66"/>
        <v>6140</v>
      </c>
      <c r="H1468">
        <v>12</v>
      </c>
      <c r="I1468">
        <f t="shared" si="67"/>
        <v>3684</v>
      </c>
      <c r="J1468">
        <f t="shared" si="68"/>
        <v>2456</v>
      </c>
      <c r="K1468" t="s">
        <v>35</v>
      </c>
      <c r="L1468" t="s">
        <v>73</v>
      </c>
      <c r="M1468" t="s">
        <v>37</v>
      </c>
      <c r="N1468" t="s">
        <v>38</v>
      </c>
      <c r="O1468">
        <v>617</v>
      </c>
      <c r="P1468">
        <v>307</v>
      </c>
      <c r="Q1468" t="s">
        <v>87</v>
      </c>
      <c r="R1468" t="s">
        <v>88</v>
      </c>
      <c r="S1468" t="s">
        <v>89</v>
      </c>
      <c r="T1468">
        <v>2023</v>
      </c>
      <c r="U1468" t="s">
        <v>31</v>
      </c>
    </row>
    <row r="1469" spans="1:21" x14ac:dyDescent="0.35">
      <c r="A1469" s="1">
        <v>46059</v>
      </c>
      <c r="B1469" t="s">
        <v>58</v>
      </c>
      <c r="C1469" t="s">
        <v>59</v>
      </c>
      <c r="D1469" t="s">
        <v>60</v>
      </c>
      <c r="E1469">
        <v>262</v>
      </c>
      <c r="F1469">
        <v>5</v>
      </c>
      <c r="G1469">
        <f t="shared" si="66"/>
        <v>1310</v>
      </c>
      <c r="H1469">
        <v>3</v>
      </c>
      <c r="I1469">
        <f t="shared" si="67"/>
        <v>786</v>
      </c>
      <c r="J1469">
        <f t="shared" si="68"/>
        <v>524</v>
      </c>
      <c r="K1469" t="s">
        <v>42</v>
      </c>
      <c r="L1469" t="s">
        <v>25</v>
      </c>
      <c r="M1469" t="s">
        <v>37</v>
      </c>
      <c r="N1469" t="s">
        <v>27</v>
      </c>
      <c r="O1469">
        <v>968</v>
      </c>
      <c r="P1469">
        <v>262</v>
      </c>
      <c r="Q1469" t="s">
        <v>83</v>
      </c>
      <c r="R1469" t="s">
        <v>84</v>
      </c>
      <c r="S1469" t="s">
        <v>85</v>
      </c>
      <c r="T1469">
        <v>2020</v>
      </c>
      <c r="U1469" t="s">
        <v>109</v>
      </c>
    </row>
    <row r="1470" spans="1:21" x14ac:dyDescent="0.35">
      <c r="A1470" s="1">
        <v>46060</v>
      </c>
      <c r="B1470" t="s">
        <v>21</v>
      </c>
      <c r="C1470" t="s">
        <v>22</v>
      </c>
      <c r="D1470" t="s">
        <v>23</v>
      </c>
      <c r="E1470">
        <v>202</v>
      </c>
      <c r="F1470">
        <v>8</v>
      </c>
      <c r="G1470">
        <f t="shared" si="66"/>
        <v>1616</v>
      </c>
      <c r="H1470">
        <v>5</v>
      </c>
      <c r="I1470">
        <f t="shared" si="67"/>
        <v>1010</v>
      </c>
      <c r="J1470">
        <f t="shared" si="68"/>
        <v>606</v>
      </c>
      <c r="K1470" t="s">
        <v>24</v>
      </c>
      <c r="L1470" t="s">
        <v>73</v>
      </c>
      <c r="M1470" t="s">
        <v>37</v>
      </c>
      <c r="N1470" t="s">
        <v>27</v>
      </c>
      <c r="O1470">
        <v>949</v>
      </c>
      <c r="P1470">
        <v>202</v>
      </c>
      <c r="Q1470" t="s">
        <v>28</v>
      </c>
      <c r="R1470" t="s">
        <v>29</v>
      </c>
      <c r="S1470" t="s">
        <v>30</v>
      </c>
      <c r="T1470">
        <v>2021</v>
      </c>
      <c r="U1470" t="s">
        <v>31</v>
      </c>
    </row>
    <row r="1471" spans="1:21" x14ac:dyDescent="0.35">
      <c r="A1471" s="1">
        <v>46061</v>
      </c>
      <c r="B1471" t="s">
        <v>58</v>
      </c>
      <c r="C1471" t="s">
        <v>59</v>
      </c>
      <c r="D1471" t="s">
        <v>60</v>
      </c>
      <c r="E1471">
        <v>395</v>
      </c>
      <c r="F1471">
        <v>5</v>
      </c>
      <c r="G1471">
        <f t="shared" si="66"/>
        <v>1975</v>
      </c>
      <c r="H1471">
        <v>3</v>
      </c>
      <c r="I1471">
        <f t="shared" si="67"/>
        <v>1185</v>
      </c>
      <c r="J1471">
        <f t="shared" si="68"/>
        <v>790</v>
      </c>
      <c r="K1471" t="s">
        <v>24</v>
      </c>
      <c r="L1471" t="s">
        <v>63</v>
      </c>
      <c r="M1471" t="s">
        <v>26</v>
      </c>
      <c r="N1471" t="s">
        <v>27</v>
      </c>
      <c r="O1471">
        <v>696</v>
      </c>
      <c r="P1471">
        <v>395</v>
      </c>
      <c r="Q1471" t="s">
        <v>77</v>
      </c>
      <c r="R1471" t="s">
        <v>78</v>
      </c>
      <c r="S1471" t="s">
        <v>79</v>
      </c>
      <c r="T1471">
        <v>2022</v>
      </c>
      <c r="U1471" t="s">
        <v>97</v>
      </c>
    </row>
    <row r="1472" spans="1:21" x14ac:dyDescent="0.35">
      <c r="A1472" s="1">
        <v>46062</v>
      </c>
      <c r="B1472" t="s">
        <v>48</v>
      </c>
      <c r="C1472" t="s">
        <v>49</v>
      </c>
      <c r="D1472" t="s">
        <v>50</v>
      </c>
      <c r="E1472">
        <v>362</v>
      </c>
      <c r="F1472">
        <v>150</v>
      </c>
      <c r="G1472">
        <f t="shared" si="66"/>
        <v>54300</v>
      </c>
      <c r="H1472">
        <v>100</v>
      </c>
      <c r="I1472">
        <f t="shared" si="67"/>
        <v>36200</v>
      </c>
      <c r="J1472">
        <f t="shared" si="68"/>
        <v>18100</v>
      </c>
      <c r="K1472" t="s">
        <v>35</v>
      </c>
      <c r="L1472" t="s">
        <v>25</v>
      </c>
      <c r="M1472" t="s">
        <v>37</v>
      </c>
      <c r="N1472" t="s">
        <v>38</v>
      </c>
      <c r="O1472">
        <v>676</v>
      </c>
      <c r="P1472">
        <v>362</v>
      </c>
      <c r="Q1472" t="s">
        <v>74</v>
      </c>
      <c r="R1472" t="s">
        <v>75</v>
      </c>
      <c r="S1472" t="s">
        <v>76</v>
      </c>
      <c r="T1472">
        <v>2022</v>
      </c>
      <c r="U1472" t="s">
        <v>97</v>
      </c>
    </row>
    <row r="1473" spans="1:21" x14ac:dyDescent="0.35">
      <c r="A1473" s="1">
        <v>46063</v>
      </c>
      <c r="B1473" t="s">
        <v>98</v>
      </c>
      <c r="C1473" t="s">
        <v>99</v>
      </c>
      <c r="D1473" t="s">
        <v>100</v>
      </c>
      <c r="E1473">
        <v>266</v>
      </c>
      <c r="F1473">
        <v>6</v>
      </c>
      <c r="G1473">
        <f t="shared" si="66"/>
        <v>1596</v>
      </c>
      <c r="H1473">
        <v>4</v>
      </c>
      <c r="I1473">
        <f t="shared" si="67"/>
        <v>1064</v>
      </c>
      <c r="J1473">
        <f t="shared" si="68"/>
        <v>532</v>
      </c>
      <c r="K1473" t="s">
        <v>42</v>
      </c>
      <c r="L1473" t="s">
        <v>73</v>
      </c>
      <c r="M1473" t="s">
        <v>26</v>
      </c>
      <c r="N1473" t="s">
        <v>38</v>
      </c>
      <c r="O1473">
        <v>730</v>
      </c>
      <c r="P1473">
        <v>266</v>
      </c>
      <c r="Q1473" t="s">
        <v>77</v>
      </c>
      <c r="R1473" t="s">
        <v>78</v>
      </c>
      <c r="S1473" t="s">
        <v>79</v>
      </c>
      <c r="T1473">
        <v>2020</v>
      </c>
      <c r="U1473" t="s">
        <v>97</v>
      </c>
    </row>
    <row r="1474" spans="1:21" x14ac:dyDescent="0.35">
      <c r="A1474" s="1">
        <v>46064</v>
      </c>
      <c r="B1474" t="s">
        <v>98</v>
      </c>
      <c r="C1474" t="s">
        <v>99</v>
      </c>
      <c r="D1474" t="s">
        <v>100</v>
      </c>
      <c r="E1474">
        <v>359</v>
      </c>
      <c r="F1474">
        <v>6</v>
      </c>
      <c r="G1474">
        <f t="shared" si="66"/>
        <v>2154</v>
      </c>
      <c r="H1474">
        <v>4</v>
      </c>
      <c r="I1474">
        <f t="shared" si="67"/>
        <v>1436</v>
      </c>
      <c r="J1474">
        <f t="shared" si="68"/>
        <v>718</v>
      </c>
      <c r="K1474" t="s">
        <v>24</v>
      </c>
      <c r="L1474" t="s">
        <v>63</v>
      </c>
      <c r="M1474" t="s">
        <v>37</v>
      </c>
      <c r="N1474" t="s">
        <v>43</v>
      </c>
      <c r="O1474">
        <v>500</v>
      </c>
      <c r="P1474">
        <v>359</v>
      </c>
      <c r="Q1474" t="s">
        <v>54</v>
      </c>
      <c r="R1474" t="s">
        <v>55</v>
      </c>
      <c r="S1474" t="s">
        <v>56</v>
      </c>
      <c r="T1474">
        <v>2021</v>
      </c>
      <c r="U1474" t="s">
        <v>47</v>
      </c>
    </row>
    <row r="1475" spans="1:21" x14ac:dyDescent="0.35">
      <c r="A1475" s="1">
        <v>46065</v>
      </c>
      <c r="B1475" t="s">
        <v>21</v>
      </c>
      <c r="C1475" t="s">
        <v>22</v>
      </c>
      <c r="D1475" t="s">
        <v>23</v>
      </c>
      <c r="E1475">
        <v>323</v>
      </c>
      <c r="F1475">
        <v>8</v>
      </c>
      <c r="G1475">
        <f t="shared" ref="G1475:G1538" si="69">E1475*F1475</f>
        <v>2584</v>
      </c>
      <c r="H1475">
        <v>5</v>
      </c>
      <c r="I1475">
        <f t="shared" ref="I1475:I1538" si="70">E1475*H1475</f>
        <v>1615</v>
      </c>
      <c r="J1475">
        <f t="shared" ref="J1475:J1538" si="71">G1475-I1475</f>
        <v>969</v>
      </c>
      <c r="K1475" t="s">
        <v>35</v>
      </c>
      <c r="L1475" t="s">
        <v>36</v>
      </c>
      <c r="M1475" t="s">
        <v>61</v>
      </c>
      <c r="N1475" t="s">
        <v>27</v>
      </c>
      <c r="O1475">
        <v>737</v>
      </c>
      <c r="P1475">
        <v>323</v>
      </c>
      <c r="Q1475" t="s">
        <v>113</v>
      </c>
      <c r="R1475" t="s">
        <v>114</v>
      </c>
      <c r="S1475" t="s">
        <v>115</v>
      </c>
      <c r="T1475">
        <v>2022</v>
      </c>
      <c r="U1475" t="s">
        <v>53</v>
      </c>
    </row>
    <row r="1476" spans="1:21" x14ac:dyDescent="0.35">
      <c r="A1476" s="1">
        <v>46066</v>
      </c>
      <c r="B1476" t="s">
        <v>98</v>
      </c>
      <c r="C1476" t="s">
        <v>99</v>
      </c>
      <c r="D1476" t="s">
        <v>100</v>
      </c>
      <c r="E1476">
        <v>69</v>
      </c>
      <c r="F1476">
        <v>6</v>
      </c>
      <c r="G1476">
        <f t="shared" si="69"/>
        <v>414</v>
      </c>
      <c r="H1476">
        <v>4</v>
      </c>
      <c r="I1476">
        <f t="shared" si="70"/>
        <v>276</v>
      </c>
      <c r="J1476">
        <f t="shared" si="71"/>
        <v>138</v>
      </c>
      <c r="K1476" t="s">
        <v>35</v>
      </c>
      <c r="L1476" t="s">
        <v>73</v>
      </c>
      <c r="M1476" t="s">
        <v>26</v>
      </c>
      <c r="N1476" t="s">
        <v>27</v>
      </c>
      <c r="O1476">
        <v>854</v>
      </c>
      <c r="P1476">
        <v>69</v>
      </c>
      <c r="Q1476" t="s">
        <v>90</v>
      </c>
      <c r="R1476" t="s">
        <v>55</v>
      </c>
      <c r="S1476" t="s">
        <v>85</v>
      </c>
      <c r="T1476">
        <v>2020</v>
      </c>
      <c r="U1476" t="s">
        <v>53</v>
      </c>
    </row>
    <row r="1477" spans="1:21" x14ac:dyDescent="0.35">
      <c r="A1477" s="1">
        <v>46067</v>
      </c>
      <c r="B1477" t="s">
        <v>32</v>
      </c>
      <c r="C1477" t="s">
        <v>33</v>
      </c>
      <c r="D1477" t="s">
        <v>34</v>
      </c>
      <c r="E1477">
        <v>442</v>
      </c>
      <c r="F1477">
        <v>20</v>
      </c>
      <c r="G1477">
        <f t="shared" si="69"/>
        <v>8840</v>
      </c>
      <c r="H1477">
        <v>12</v>
      </c>
      <c r="I1477">
        <f t="shared" si="70"/>
        <v>5304</v>
      </c>
      <c r="J1477">
        <f t="shared" si="71"/>
        <v>3536</v>
      </c>
      <c r="K1477" t="s">
        <v>35</v>
      </c>
      <c r="L1477" t="s">
        <v>73</v>
      </c>
      <c r="M1477" t="s">
        <v>61</v>
      </c>
      <c r="N1477" t="s">
        <v>27</v>
      </c>
      <c r="O1477">
        <v>722</v>
      </c>
      <c r="P1477">
        <v>442</v>
      </c>
      <c r="Q1477" t="s">
        <v>70</v>
      </c>
      <c r="R1477" t="s">
        <v>71</v>
      </c>
      <c r="S1477" t="s">
        <v>72</v>
      </c>
      <c r="T1477">
        <v>2023</v>
      </c>
      <c r="U1477" t="s">
        <v>66</v>
      </c>
    </row>
    <row r="1478" spans="1:21" x14ac:dyDescent="0.35">
      <c r="A1478" s="1">
        <v>46068</v>
      </c>
      <c r="B1478" t="s">
        <v>48</v>
      </c>
      <c r="C1478" t="s">
        <v>49</v>
      </c>
      <c r="D1478" t="s">
        <v>50</v>
      </c>
      <c r="E1478">
        <v>74</v>
      </c>
      <c r="F1478">
        <v>150</v>
      </c>
      <c r="G1478">
        <f t="shared" si="69"/>
        <v>11100</v>
      </c>
      <c r="H1478">
        <v>100</v>
      </c>
      <c r="I1478">
        <f t="shared" si="70"/>
        <v>7400</v>
      </c>
      <c r="J1478">
        <f t="shared" si="71"/>
        <v>3700</v>
      </c>
      <c r="K1478" t="s">
        <v>42</v>
      </c>
      <c r="L1478" t="s">
        <v>36</v>
      </c>
      <c r="M1478" t="s">
        <v>37</v>
      </c>
      <c r="N1478" t="s">
        <v>27</v>
      </c>
      <c r="O1478">
        <v>580</v>
      </c>
      <c r="P1478">
        <v>74</v>
      </c>
      <c r="Q1478" t="s">
        <v>51</v>
      </c>
      <c r="R1478" t="s">
        <v>45</v>
      </c>
      <c r="S1478" t="s">
        <v>52</v>
      </c>
      <c r="T1478">
        <v>2020</v>
      </c>
      <c r="U1478" t="s">
        <v>31</v>
      </c>
    </row>
    <row r="1479" spans="1:21" x14ac:dyDescent="0.35">
      <c r="A1479" s="1">
        <v>46069</v>
      </c>
      <c r="B1479" t="s">
        <v>98</v>
      </c>
      <c r="C1479" t="s">
        <v>99</v>
      </c>
      <c r="D1479" t="s">
        <v>100</v>
      </c>
      <c r="E1479">
        <v>66</v>
      </c>
      <c r="F1479">
        <v>6</v>
      </c>
      <c r="G1479">
        <f t="shared" si="69"/>
        <v>396</v>
      </c>
      <c r="H1479">
        <v>4</v>
      </c>
      <c r="I1479">
        <f t="shared" si="70"/>
        <v>264</v>
      </c>
      <c r="J1479">
        <f t="shared" si="71"/>
        <v>132</v>
      </c>
      <c r="K1479" t="s">
        <v>35</v>
      </c>
      <c r="L1479" t="s">
        <v>25</v>
      </c>
      <c r="M1479" t="s">
        <v>26</v>
      </c>
      <c r="N1479" t="s">
        <v>27</v>
      </c>
      <c r="O1479">
        <v>549</v>
      </c>
      <c r="P1479">
        <v>66</v>
      </c>
      <c r="Q1479" t="s">
        <v>64</v>
      </c>
      <c r="R1479" t="s">
        <v>29</v>
      </c>
      <c r="S1479" t="s">
        <v>65</v>
      </c>
      <c r="T1479">
        <v>2023</v>
      </c>
      <c r="U1479" t="s">
        <v>105</v>
      </c>
    </row>
    <row r="1480" spans="1:21" x14ac:dyDescent="0.35">
      <c r="A1480" s="1">
        <v>46070</v>
      </c>
      <c r="B1480" t="s">
        <v>21</v>
      </c>
      <c r="C1480" t="s">
        <v>22</v>
      </c>
      <c r="D1480" t="s">
        <v>23</v>
      </c>
      <c r="E1480">
        <v>155</v>
      </c>
      <c r="F1480">
        <v>8</v>
      </c>
      <c r="G1480">
        <f t="shared" si="69"/>
        <v>1240</v>
      </c>
      <c r="H1480">
        <v>5</v>
      </c>
      <c r="I1480">
        <f t="shared" si="70"/>
        <v>775</v>
      </c>
      <c r="J1480">
        <f t="shared" si="71"/>
        <v>465</v>
      </c>
      <c r="K1480" t="s">
        <v>42</v>
      </c>
      <c r="L1480" t="s">
        <v>25</v>
      </c>
      <c r="M1480" t="s">
        <v>61</v>
      </c>
      <c r="N1480" t="s">
        <v>38</v>
      </c>
      <c r="O1480">
        <v>507</v>
      </c>
      <c r="P1480">
        <v>155</v>
      </c>
      <c r="Q1480" t="s">
        <v>106</v>
      </c>
      <c r="R1480" t="s">
        <v>107</v>
      </c>
      <c r="S1480" t="s">
        <v>108</v>
      </c>
      <c r="T1480">
        <v>2022</v>
      </c>
      <c r="U1480" t="s">
        <v>91</v>
      </c>
    </row>
    <row r="1481" spans="1:21" x14ac:dyDescent="0.35">
      <c r="A1481" s="1">
        <v>46071</v>
      </c>
      <c r="B1481" t="s">
        <v>58</v>
      </c>
      <c r="C1481" t="s">
        <v>59</v>
      </c>
      <c r="D1481" t="s">
        <v>60</v>
      </c>
      <c r="E1481">
        <v>459</v>
      </c>
      <c r="F1481">
        <v>5</v>
      </c>
      <c r="G1481">
        <f t="shared" si="69"/>
        <v>2295</v>
      </c>
      <c r="H1481">
        <v>3</v>
      </c>
      <c r="I1481">
        <f t="shared" si="70"/>
        <v>1377</v>
      </c>
      <c r="J1481">
        <f t="shared" si="71"/>
        <v>918</v>
      </c>
      <c r="K1481" t="s">
        <v>35</v>
      </c>
      <c r="L1481" t="s">
        <v>25</v>
      </c>
      <c r="M1481" t="s">
        <v>26</v>
      </c>
      <c r="N1481" t="s">
        <v>27</v>
      </c>
      <c r="O1481">
        <v>810</v>
      </c>
      <c r="P1481">
        <v>459</v>
      </c>
      <c r="Q1481" t="s">
        <v>74</v>
      </c>
      <c r="R1481" t="s">
        <v>75</v>
      </c>
      <c r="S1481" t="s">
        <v>76</v>
      </c>
      <c r="T1481">
        <v>2023</v>
      </c>
      <c r="U1481" t="s">
        <v>47</v>
      </c>
    </row>
    <row r="1482" spans="1:21" x14ac:dyDescent="0.35">
      <c r="A1482" s="1">
        <v>46072</v>
      </c>
      <c r="B1482" t="s">
        <v>98</v>
      </c>
      <c r="C1482" t="s">
        <v>99</v>
      </c>
      <c r="D1482" t="s">
        <v>100</v>
      </c>
      <c r="E1482">
        <v>339</v>
      </c>
      <c r="F1482">
        <v>6</v>
      </c>
      <c r="G1482">
        <f t="shared" si="69"/>
        <v>2034</v>
      </c>
      <c r="H1482">
        <v>4</v>
      </c>
      <c r="I1482">
        <f t="shared" si="70"/>
        <v>1356</v>
      </c>
      <c r="J1482">
        <f t="shared" si="71"/>
        <v>678</v>
      </c>
      <c r="K1482" t="s">
        <v>35</v>
      </c>
      <c r="L1482" t="s">
        <v>73</v>
      </c>
      <c r="M1482" t="s">
        <v>26</v>
      </c>
      <c r="N1482" t="s">
        <v>38</v>
      </c>
      <c r="O1482">
        <v>906</v>
      </c>
      <c r="P1482">
        <v>339</v>
      </c>
      <c r="Q1482" t="s">
        <v>74</v>
      </c>
      <c r="R1482" t="s">
        <v>75</v>
      </c>
      <c r="S1482" t="s">
        <v>76</v>
      </c>
      <c r="T1482">
        <v>2021</v>
      </c>
      <c r="U1482" t="s">
        <v>66</v>
      </c>
    </row>
    <row r="1483" spans="1:21" x14ac:dyDescent="0.35">
      <c r="A1483" s="1">
        <v>46073</v>
      </c>
      <c r="B1483" t="s">
        <v>48</v>
      </c>
      <c r="C1483" t="s">
        <v>49</v>
      </c>
      <c r="D1483" t="s">
        <v>50</v>
      </c>
      <c r="E1483">
        <v>290</v>
      </c>
      <c r="F1483">
        <v>150</v>
      </c>
      <c r="G1483">
        <f t="shared" si="69"/>
        <v>43500</v>
      </c>
      <c r="H1483">
        <v>100</v>
      </c>
      <c r="I1483">
        <f t="shared" si="70"/>
        <v>29000</v>
      </c>
      <c r="J1483">
        <f t="shared" si="71"/>
        <v>14500</v>
      </c>
      <c r="K1483" t="s">
        <v>42</v>
      </c>
      <c r="L1483" t="s">
        <v>63</v>
      </c>
      <c r="M1483" t="s">
        <v>61</v>
      </c>
      <c r="N1483" t="s">
        <v>27</v>
      </c>
      <c r="O1483">
        <v>995</v>
      </c>
      <c r="P1483">
        <v>290</v>
      </c>
      <c r="Q1483" t="s">
        <v>92</v>
      </c>
      <c r="R1483" t="s">
        <v>45</v>
      </c>
      <c r="S1483" t="s">
        <v>93</v>
      </c>
      <c r="T1483">
        <v>2022</v>
      </c>
      <c r="U1483" t="s">
        <v>97</v>
      </c>
    </row>
    <row r="1484" spans="1:21" x14ac:dyDescent="0.35">
      <c r="A1484" s="1">
        <v>46074</v>
      </c>
      <c r="B1484" t="s">
        <v>58</v>
      </c>
      <c r="C1484" t="s">
        <v>59</v>
      </c>
      <c r="D1484" t="s">
        <v>60</v>
      </c>
      <c r="E1484">
        <v>52</v>
      </c>
      <c r="F1484">
        <v>5</v>
      </c>
      <c r="G1484">
        <f t="shared" si="69"/>
        <v>260</v>
      </c>
      <c r="H1484">
        <v>3</v>
      </c>
      <c r="I1484">
        <f t="shared" si="70"/>
        <v>156</v>
      </c>
      <c r="J1484">
        <f t="shared" si="71"/>
        <v>104</v>
      </c>
      <c r="K1484" t="s">
        <v>42</v>
      </c>
      <c r="L1484" t="s">
        <v>63</v>
      </c>
      <c r="M1484" t="s">
        <v>26</v>
      </c>
      <c r="N1484" t="s">
        <v>38</v>
      </c>
      <c r="O1484">
        <v>653</v>
      </c>
      <c r="P1484">
        <v>52</v>
      </c>
      <c r="Q1484" t="s">
        <v>103</v>
      </c>
      <c r="R1484" t="s">
        <v>68</v>
      </c>
      <c r="S1484" t="s">
        <v>104</v>
      </c>
      <c r="T1484">
        <v>2020</v>
      </c>
      <c r="U1484" t="s">
        <v>91</v>
      </c>
    </row>
    <row r="1485" spans="1:21" x14ac:dyDescent="0.35">
      <c r="A1485" s="1">
        <v>46075</v>
      </c>
      <c r="B1485" t="s">
        <v>98</v>
      </c>
      <c r="C1485" t="s">
        <v>99</v>
      </c>
      <c r="D1485" t="s">
        <v>100</v>
      </c>
      <c r="E1485">
        <v>373</v>
      </c>
      <c r="F1485">
        <v>6</v>
      </c>
      <c r="G1485">
        <f t="shared" si="69"/>
        <v>2238</v>
      </c>
      <c r="H1485">
        <v>4</v>
      </c>
      <c r="I1485">
        <f t="shared" si="70"/>
        <v>1492</v>
      </c>
      <c r="J1485">
        <f t="shared" si="71"/>
        <v>746</v>
      </c>
      <c r="K1485" t="s">
        <v>24</v>
      </c>
      <c r="L1485" t="s">
        <v>25</v>
      </c>
      <c r="M1485" t="s">
        <v>37</v>
      </c>
      <c r="N1485" t="s">
        <v>43</v>
      </c>
      <c r="O1485">
        <v>902</v>
      </c>
      <c r="P1485">
        <v>373</v>
      </c>
      <c r="Q1485" t="s">
        <v>101</v>
      </c>
      <c r="R1485" t="s">
        <v>101</v>
      </c>
      <c r="S1485" t="s">
        <v>102</v>
      </c>
      <c r="T1485">
        <v>2024</v>
      </c>
      <c r="U1485" t="s">
        <v>31</v>
      </c>
    </row>
    <row r="1486" spans="1:21" x14ac:dyDescent="0.35">
      <c r="A1486" s="1">
        <v>46076</v>
      </c>
      <c r="B1486" t="s">
        <v>80</v>
      </c>
      <c r="C1486" t="s">
        <v>81</v>
      </c>
      <c r="D1486" t="s">
        <v>82</v>
      </c>
      <c r="E1486">
        <v>102</v>
      </c>
      <c r="F1486">
        <v>2.5</v>
      </c>
      <c r="G1486">
        <f t="shared" si="69"/>
        <v>255</v>
      </c>
      <c r="H1486">
        <v>1.5</v>
      </c>
      <c r="I1486">
        <f t="shared" si="70"/>
        <v>153</v>
      </c>
      <c r="J1486">
        <f t="shared" si="71"/>
        <v>102</v>
      </c>
      <c r="K1486" t="s">
        <v>42</v>
      </c>
      <c r="L1486" t="s">
        <v>25</v>
      </c>
      <c r="M1486" t="s">
        <v>37</v>
      </c>
      <c r="N1486" t="s">
        <v>27</v>
      </c>
      <c r="O1486">
        <v>910</v>
      </c>
      <c r="P1486">
        <v>102</v>
      </c>
      <c r="Q1486" t="s">
        <v>74</v>
      </c>
      <c r="R1486" t="s">
        <v>75</v>
      </c>
      <c r="S1486" t="s">
        <v>76</v>
      </c>
      <c r="T1486">
        <v>2024</v>
      </c>
      <c r="U1486" t="s">
        <v>57</v>
      </c>
    </row>
    <row r="1487" spans="1:21" x14ac:dyDescent="0.35">
      <c r="A1487" s="1">
        <v>46077</v>
      </c>
      <c r="B1487" t="s">
        <v>98</v>
      </c>
      <c r="C1487" t="s">
        <v>99</v>
      </c>
      <c r="D1487" t="s">
        <v>100</v>
      </c>
      <c r="E1487">
        <v>108</v>
      </c>
      <c r="F1487">
        <v>6</v>
      </c>
      <c r="G1487">
        <f t="shared" si="69"/>
        <v>648</v>
      </c>
      <c r="H1487">
        <v>4</v>
      </c>
      <c r="I1487">
        <f t="shared" si="70"/>
        <v>432</v>
      </c>
      <c r="J1487">
        <f t="shared" si="71"/>
        <v>216</v>
      </c>
      <c r="K1487" t="s">
        <v>42</v>
      </c>
      <c r="L1487" t="s">
        <v>25</v>
      </c>
      <c r="M1487" t="s">
        <v>37</v>
      </c>
      <c r="N1487" t="s">
        <v>27</v>
      </c>
      <c r="O1487">
        <v>907</v>
      </c>
      <c r="P1487">
        <v>108</v>
      </c>
      <c r="Q1487" t="s">
        <v>110</v>
      </c>
      <c r="R1487" t="s">
        <v>111</v>
      </c>
      <c r="S1487" t="s">
        <v>112</v>
      </c>
      <c r="T1487">
        <v>2022</v>
      </c>
      <c r="U1487" t="s">
        <v>47</v>
      </c>
    </row>
    <row r="1488" spans="1:21" x14ac:dyDescent="0.35">
      <c r="A1488" s="1">
        <v>46078</v>
      </c>
      <c r="B1488" t="s">
        <v>32</v>
      </c>
      <c r="C1488" t="s">
        <v>33</v>
      </c>
      <c r="D1488" t="s">
        <v>34</v>
      </c>
      <c r="E1488">
        <v>84</v>
      </c>
      <c r="F1488">
        <v>20</v>
      </c>
      <c r="G1488">
        <f t="shared" si="69"/>
        <v>1680</v>
      </c>
      <c r="H1488">
        <v>12</v>
      </c>
      <c r="I1488">
        <f t="shared" si="70"/>
        <v>1008</v>
      </c>
      <c r="J1488">
        <f t="shared" si="71"/>
        <v>672</v>
      </c>
      <c r="K1488" t="s">
        <v>24</v>
      </c>
      <c r="L1488" t="s">
        <v>36</v>
      </c>
      <c r="M1488" t="s">
        <v>37</v>
      </c>
      <c r="N1488" t="s">
        <v>27</v>
      </c>
      <c r="O1488">
        <v>527</v>
      </c>
      <c r="P1488">
        <v>84</v>
      </c>
      <c r="Q1488" t="s">
        <v>103</v>
      </c>
      <c r="R1488" t="s">
        <v>68</v>
      </c>
      <c r="S1488" t="s">
        <v>104</v>
      </c>
      <c r="T1488">
        <v>2023</v>
      </c>
      <c r="U1488" t="s">
        <v>109</v>
      </c>
    </row>
    <row r="1489" spans="1:21" x14ac:dyDescent="0.35">
      <c r="A1489" s="1">
        <v>46079</v>
      </c>
      <c r="B1489" t="s">
        <v>80</v>
      </c>
      <c r="C1489" t="s">
        <v>81</v>
      </c>
      <c r="D1489" t="s">
        <v>82</v>
      </c>
      <c r="E1489">
        <v>149</v>
      </c>
      <c r="F1489">
        <v>2.5</v>
      </c>
      <c r="G1489">
        <f t="shared" si="69"/>
        <v>372.5</v>
      </c>
      <c r="H1489">
        <v>1.5</v>
      </c>
      <c r="I1489">
        <f t="shared" si="70"/>
        <v>223.5</v>
      </c>
      <c r="J1489">
        <f t="shared" si="71"/>
        <v>149</v>
      </c>
      <c r="K1489" t="s">
        <v>35</v>
      </c>
      <c r="L1489" t="s">
        <v>25</v>
      </c>
      <c r="M1489" t="s">
        <v>37</v>
      </c>
      <c r="N1489" t="s">
        <v>43</v>
      </c>
      <c r="O1489">
        <v>755</v>
      </c>
      <c r="P1489">
        <v>149</v>
      </c>
      <c r="Q1489" t="s">
        <v>74</v>
      </c>
      <c r="R1489" t="s">
        <v>75</v>
      </c>
      <c r="S1489" t="s">
        <v>76</v>
      </c>
      <c r="T1489">
        <v>2020</v>
      </c>
      <c r="U1489" t="s">
        <v>91</v>
      </c>
    </row>
    <row r="1490" spans="1:21" x14ac:dyDescent="0.35">
      <c r="A1490" s="1">
        <v>46080</v>
      </c>
      <c r="B1490" t="s">
        <v>58</v>
      </c>
      <c r="C1490" t="s">
        <v>59</v>
      </c>
      <c r="D1490" t="s">
        <v>60</v>
      </c>
      <c r="E1490">
        <v>197</v>
      </c>
      <c r="F1490">
        <v>5</v>
      </c>
      <c r="G1490">
        <f t="shared" si="69"/>
        <v>985</v>
      </c>
      <c r="H1490">
        <v>3</v>
      </c>
      <c r="I1490">
        <f t="shared" si="70"/>
        <v>591</v>
      </c>
      <c r="J1490">
        <f t="shared" si="71"/>
        <v>394</v>
      </c>
      <c r="K1490" t="s">
        <v>35</v>
      </c>
      <c r="L1490" t="s">
        <v>25</v>
      </c>
      <c r="M1490" t="s">
        <v>26</v>
      </c>
      <c r="N1490" t="s">
        <v>43</v>
      </c>
      <c r="O1490">
        <v>645</v>
      </c>
      <c r="P1490">
        <v>197</v>
      </c>
      <c r="Q1490" t="s">
        <v>67</v>
      </c>
      <c r="R1490" t="s">
        <v>68</v>
      </c>
      <c r="S1490" t="s">
        <v>69</v>
      </c>
      <c r="T1490">
        <v>2020</v>
      </c>
      <c r="U1490" t="s">
        <v>97</v>
      </c>
    </row>
    <row r="1491" spans="1:21" x14ac:dyDescent="0.35">
      <c r="A1491" s="1">
        <v>46081</v>
      </c>
      <c r="B1491" t="s">
        <v>48</v>
      </c>
      <c r="C1491" t="s">
        <v>49</v>
      </c>
      <c r="D1491" t="s">
        <v>50</v>
      </c>
      <c r="E1491">
        <v>53</v>
      </c>
      <c r="F1491">
        <v>150</v>
      </c>
      <c r="G1491">
        <f t="shared" si="69"/>
        <v>7950</v>
      </c>
      <c r="H1491">
        <v>100</v>
      </c>
      <c r="I1491">
        <f t="shared" si="70"/>
        <v>5300</v>
      </c>
      <c r="J1491">
        <f t="shared" si="71"/>
        <v>2650</v>
      </c>
      <c r="K1491" t="s">
        <v>24</v>
      </c>
      <c r="L1491" t="s">
        <v>63</v>
      </c>
      <c r="M1491" t="s">
        <v>26</v>
      </c>
      <c r="N1491" t="s">
        <v>43</v>
      </c>
      <c r="O1491">
        <v>731</v>
      </c>
      <c r="P1491">
        <v>53</v>
      </c>
      <c r="Q1491" t="s">
        <v>83</v>
      </c>
      <c r="R1491" t="s">
        <v>84</v>
      </c>
      <c r="S1491" t="s">
        <v>85</v>
      </c>
      <c r="T1491">
        <v>2021</v>
      </c>
      <c r="U1491" t="s">
        <v>105</v>
      </c>
    </row>
    <row r="1492" spans="1:21" x14ac:dyDescent="0.35">
      <c r="A1492" s="1">
        <v>46082</v>
      </c>
      <c r="B1492" t="s">
        <v>58</v>
      </c>
      <c r="C1492" t="s">
        <v>59</v>
      </c>
      <c r="D1492" t="s">
        <v>60</v>
      </c>
      <c r="E1492">
        <v>304</v>
      </c>
      <c r="F1492">
        <v>5</v>
      </c>
      <c r="G1492">
        <f t="shared" si="69"/>
        <v>1520</v>
      </c>
      <c r="H1492">
        <v>3</v>
      </c>
      <c r="I1492">
        <f t="shared" si="70"/>
        <v>912</v>
      </c>
      <c r="J1492">
        <f t="shared" si="71"/>
        <v>608</v>
      </c>
      <c r="K1492" t="s">
        <v>24</v>
      </c>
      <c r="L1492" t="s">
        <v>73</v>
      </c>
      <c r="M1492" t="s">
        <v>26</v>
      </c>
      <c r="N1492" t="s">
        <v>38</v>
      </c>
      <c r="O1492">
        <v>585</v>
      </c>
      <c r="P1492">
        <v>304</v>
      </c>
      <c r="Q1492" t="s">
        <v>51</v>
      </c>
      <c r="R1492" t="s">
        <v>45</v>
      </c>
      <c r="S1492" t="s">
        <v>52</v>
      </c>
      <c r="T1492">
        <v>2022</v>
      </c>
      <c r="U1492" t="s">
        <v>91</v>
      </c>
    </row>
    <row r="1493" spans="1:21" x14ac:dyDescent="0.35">
      <c r="A1493" s="1">
        <v>46083</v>
      </c>
      <c r="B1493" t="s">
        <v>58</v>
      </c>
      <c r="C1493" t="s">
        <v>59</v>
      </c>
      <c r="D1493" t="s">
        <v>60</v>
      </c>
      <c r="E1493">
        <v>476</v>
      </c>
      <c r="F1493">
        <v>5</v>
      </c>
      <c r="G1493">
        <f t="shared" si="69"/>
        <v>2380</v>
      </c>
      <c r="H1493">
        <v>3</v>
      </c>
      <c r="I1493">
        <f t="shared" si="70"/>
        <v>1428</v>
      </c>
      <c r="J1493">
        <f t="shared" si="71"/>
        <v>952</v>
      </c>
      <c r="K1493" t="s">
        <v>24</v>
      </c>
      <c r="L1493" t="s">
        <v>36</v>
      </c>
      <c r="M1493" t="s">
        <v>61</v>
      </c>
      <c r="N1493" t="s">
        <v>43</v>
      </c>
      <c r="O1493">
        <v>691</v>
      </c>
      <c r="P1493">
        <v>476</v>
      </c>
      <c r="Q1493" t="s">
        <v>83</v>
      </c>
      <c r="R1493" t="s">
        <v>84</v>
      </c>
      <c r="S1493" t="s">
        <v>85</v>
      </c>
      <c r="T1493">
        <v>2023</v>
      </c>
      <c r="U1493" t="s">
        <v>66</v>
      </c>
    </row>
    <row r="1494" spans="1:21" x14ac:dyDescent="0.35">
      <c r="A1494" s="1">
        <v>46084</v>
      </c>
      <c r="B1494" t="s">
        <v>48</v>
      </c>
      <c r="C1494" t="s">
        <v>49</v>
      </c>
      <c r="D1494" t="s">
        <v>50</v>
      </c>
      <c r="E1494">
        <v>315</v>
      </c>
      <c r="F1494">
        <v>150</v>
      </c>
      <c r="G1494">
        <f t="shared" si="69"/>
        <v>47250</v>
      </c>
      <c r="H1494">
        <v>100</v>
      </c>
      <c r="I1494">
        <f t="shared" si="70"/>
        <v>31500</v>
      </c>
      <c r="J1494">
        <f t="shared" si="71"/>
        <v>15750</v>
      </c>
      <c r="K1494" t="s">
        <v>24</v>
      </c>
      <c r="L1494" t="s">
        <v>63</v>
      </c>
      <c r="M1494" t="s">
        <v>37</v>
      </c>
      <c r="N1494" t="s">
        <v>27</v>
      </c>
      <c r="O1494">
        <v>659</v>
      </c>
      <c r="P1494">
        <v>315</v>
      </c>
      <c r="Q1494" t="s">
        <v>67</v>
      </c>
      <c r="R1494" t="s">
        <v>68</v>
      </c>
      <c r="S1494" t="s">
        <v>69</v>
      </c>
      <c r="T1494">
        <v>2020</v>
      </c>
      <c r="U1494" t="s">
        <v>105</v>
      </c>
    </row>
    <row r="1495" spans="1:21" x14ac:dyDescent="0.35">
      <c r="A1495" s="1">
        <v>46085</v>
      </c>
      <c r="B1495" t="s">
        <v>58</v>
      </c>
      <c r="C1495" t="s">
        <v>59</v>
      </c>
      <c r="D1495" t="s">
        <v>60</v>
      </c>
      <c r="E1495">
        <v>180</v>
      </c>
      <c r="F1495">
        <v>5</v>
      </c>
      <c r="G1495">
        <f t="shared" si="69"/>
        <v>900</v>
      </c>
      <c r="H1495">
        <v>3</v>
      </c>
      <c r="I1495">
        <f t="shared" si="70"/>
        <v>540</v>
      </c>
      <c r="J1495">
        <f t="shared" si="71"/>
        <v>360</v>
      </c>
      <c r="K1495" t="s">
        <v>35</v>
      </c>
      <c r="L1495" t="s">
        <v>63</v>
      </c>
      <c r="M1495" t="s">
        <v>61</v>
      </c>
      <c r="N1495" t="s">
        <v>27</v>
      </c>
      <c r="O1495">
        <v>611</v>
      </c>
      <c r="P1495">
        <v>180</v>
      </c>
      <c r="Q1495" t="s">
        <v>67</v>
      </c>
      <c r="R1495" t="s">
        <v>68</v>
      </c>
      <c r="S1495" t="s">
        <v>69</v>
      </c>
      <c r="T1495">
        <v>2023</v>
      </c>
      <c r="U1495" t="s">
        <v>109</v>
      </c>
    </row>
    <row r="1496" spans="1:21" x14ac:dyDescent="0.35">
      <c r="A1496" s="1">
        <v>46086</v>
      </c>
      <c r="B1496" t="s">
        <v>58</v>
      </c>
      <c r="C1496" t="s">
        <v>59</v>
      </c>
      <c r="D1496" t="s">
        <v>60</v>
      </c>
      <c r="E1496">
        <v>148</v>
      </c>
      <c r="F1496">
        <v>5</v>
      </c>
      <c r="G1496">
        <f t="shared" si="69"/>
        <v>740</v>
      </c>
      <c r="H1496">
        <v>3</v>
      </c>
      <c r="I1496">
        <f t="shared" si="70"/>
        <v>444</v>
      </c>
      <c r="J1496">
        <f t="shared" si="71"/>
        <v>296</v>
      </c>
      <c r="K1496" t="s">
        <v>42</v>
      </c>
      <c r="L1496" t="s">
        <v>73</v>
      </c>
      <c r="M1496" t="s">
        <v>37</v>
      </c>
      <c r="N1496" t="s">
        <v>43</v>
      </c>
      <c r="O1496">
        <v>717</v>
      </c>
      <c r="P1496">
        <v>148</v>
      </c>
      <c r="Q1496" t="s">
        <v>90</v>
      </c>
      <c r="R1496" t="s">
        <v>55</v>
      </c>
      <c r="S1496" t="s">
        <v>85</v>
      </c>
      <c r="T1496">
        <v>2023</v>
      </c>
      <c r="U1496" t="s">
        <v>47</v>
      </c>
    </row>
    <row r="1497" spans="1:21" x14ac:dyDescent="0.35">
      <c r="A1497" s="1">
        <v>46087</v>
      </c>
      <c r="B1497" t="s">
        <v>48</v>
      </c>
      <c r="C1497" t="s">
        <v>49</v>
      </c>
      <c r="D1497" t="s">
        <v>50</v>
      </c>
      <c r="E1497">
        <v>317</v>
      </c>
      <c r="F1497">
        <v>150</v>
      </c>
      <c r="G1497">
        <f t="shared" si="69"/>
        <v>47550</v>
      </c>
      <c r="H1497">
        <v>100</v>
      </c>
      <c r="I1497">
        <f t="shared" si="70"/>
        <v>31700</v>
      </c>
      <c r="J1497">
        <f t="shared" si="71"/>
        <v>15850</v>
      </c>
      <c r="K1497" t="s">
        <v>42</v>
      </c>
      <c r="L1497" t="s">
        <v>36</v>
      </c>
      <c r="M1497" t="s">
        <v>26</v>
      </c>
      <c r="N1497" t="s">
        <v>27</v>
      </c>
      <c r="O1497">
        <v>541</v>
      </c>
      <c r="P1497">
        <v>317</v>
      </c>
      <c r="Q1497" t="s">
        <v>74</v>
      </c>
      <c r="R1497" t="s">
        <v>75</v>
      </c>
      <c r="S1497" t="s">
        <v>76</v>
      </c>
      <c r="T1497">
        <v>2020</v>
      </c>
      <c r="U1497" t="s">
        <v>97</v>
      </c>
    </row>
    <row r="1498" spans="1:21" x14ac:dyDescent="0.35">
      <c r="A1498" s="1">
        <v>46088</v>
      </c>
      <c r="B1498" t="s">
        <v>58</v>
      </c>
      <c r="C1498" t="s">
        <v>59</v>
      </c>
      <c r="D1498" t="s">
        <v>60</v>
      </c>
      <c r="E1498">
        <v>404</v>
      </c>
      <c r="F1498">
        <v>5</v>
      </c>
      <c r="G1498">
        <f t="shared" si="69"/>
        <v>2020</v>
      </c>
      <c r="H1498">
        <v>3</v>
      </c>
      <c r="I1498">
        <f t="shared" si="70"/>
        <v>1212</v>
      </c>
      <c r="J1498">
        <f t="shared" si="71"/>
        <v>808</v>
      </c>
      <c r="K1498" t="s">
        <v>35</v>
      </c>
      <c r="L1498" t="s">
        <v>73</v>
      </c>
      <c r="M1498" t="s">
        <v>37</v>
      </c>
      <c r="N1498" t="s">
        <v>43</v>
      </c>
      <c r="O1498">
        <v>736</v>
      </c>
      <c r="P1498">
        <v>404</v>
      </c>
      <c r="Q1498" t="s">
        <v>39</v>
      </c>
      <c r="R1498" t="s">
        <v>40</v>
      </c>
      <c r="S1498" t="s">
        <v>41</v>
      </c>
      <c r="T1498">
        <v>2024</v>
      </c>
      <c r="U1498" t="s">
        <v>86</v>
      </c>
    </row>
    <row r="1499" spans="1:21" x14ac:dyDescent="0.35">
      <c r="A1499" s="1">
        <v>46089</v>
      </c>
      <c r="B1499" t="s">
        <v>98</v>
      </c>
      <c r="C1499" t="s">
        <v>99</v>
      </c>
      <c r="D1499" t="s">
        <v>100</v>
      </c>
      <c r="E1499">
        <v>188</v>
      </c>
      <c r="F1499">
        <v>6</v>
      </c>
      <c r="G1499">
        <f t="shared" si="69"/>
        <v>1128</v>
      </c>
      <c r="H1499">
        <v>4</v>
      </c>
      <c r="I1499">
        <f t="shared" si="70"/>
        <v>752</v>
      </c>
      <c r="J1499">
        <f t="shared" si="71"/>
        <v>376</v>
      </c>
      <c r="K1499" t="s">
        <v>42</v>
      </c>
      <c r="L1499" t="s">
        <v>63</v>
      </c>
      <c r="M1499" t="s">
        <v>26</v>
      </c>
      <c r="N1499" t="s">
        <v>43</v>
      </c>
      <c r="O1499">
        <v>850</v>
      </c>
      <c r="P1499">
        <v>188</v>
      </c>
      <c r="Q1499" t="s">
        <v>113</v>
      </c>
      <c r="R1499" t="s">
        <v>114</v>
      </c>
      <c r="S1499" t="s">
        <v>115</v>
      </c>
      <c r="T1499">
        <v>2021</v>
      </c>
      <c r="U1499" t="s">
        <v>109</v>
      </c>
    </row>
    <row r="1500" spans="1:21" x14ac:dyDescent="0.35">
      <c r="A1500" s="1">
        <v>46090</v>
      </c>
      <c r="B1500" t="s">
        <v>48</v>
      </c>
      <c r="C1500" t="s">
        <v>49</v>
      </c>
      <c r="D1500" t="s">
        <v>50</v>
      </c>
      <c r="E1500">
        <v>286</v>
      </c>
      <c r="F1500">
        <v>150</v>
      </c>
      <c r="G1500">
        <f t="shared" si="69"/>
        <v>42900</v>
      </c>
      <c r="H1500">
        <v>100</v>
      </c>
      <c r="I1500">
        <f t="shared" si="70"/>
        <v>28600</v>
      </c>
      <c r="J1500">
        <f t="shared" si="71"/>
        <v>14300</v>
      </c>
      <c r="K1500" t="s">
        <v>35</v>
      </c>
      <c r="L1500" t="s">
        <v>73</v>
      </c>
      <c r="M1500" t="s">
        <v>26</v>
      </c>
      <c r="N1500" t="s">
        <v>43</v>
      </c>
      <c r="O1500">
        <v>590</v>
      </c>
      <c r="P1500">
        <v>286</v>
      </c>
      <c r="Q1500" t="s">
        <v>83</v>
      </c>
      <c r="R1500" t="s">
        <v>84</v>
      </c>
      <c r="S1500" t="s">
        <v>85</v>
      </c>
      <c r="T1500">
        <v>2022</v>
      </c>
      <c r="U1500" t="s">
        <v>53</v>
      </c>
    </row>
    <row r="1501" spans="1:21" x14ac:dyDescent="0.35">
      <c r="A1501" s="1">
        <v>46091</v>
      </c>
      <c r="B1501" t="s">
        <v>58</v>
      </c>
      <c r="C1501" t="s">
        <v>59</v>
      </c>
      <c r="D1501" t="s">
        <v>60</v>
      </c>
      <c r="E1501">
        <v>11</v>
      </c>
      <c r="F1501">
        <v>5</v>
      </c>
      <c r="G1501">
        <f t="shared" si="69"/>
        <v>55</v>
      </c>
      <c r="H1501">
        <v>3</v>
      </c>
      <c r="I1501">
        <f t="shared" si="70"/>
        <v>33</v>
      </c>
      <c r="J1501">
        <f t="shared" si="71"/>
        <v>22</v>
      </c>
      <c r="K1501" t="s">
        <v>42</v>
      </c>
      <c r="L1501" t="s">
        <v>36</v>
      </c>
      <c r="M1501" t="s">
        <v>61</v>
      </c>
      <c r="N1501" t="s">
        <v>27</v>
      </c>
      <c r="O1501">
        <v>954</v>
      </c>
      <c r="P1501">
        <v>11</v>
      </c>
      <c r="Q1501" t="s">
        <v>44</v>
      </c>
      <c r="R1501" t="s">
        <v>45</v>
      </c>
      <c r="S1501" t="s">
        <v>46</v>
      </c>
      <c r="T1501">
        <v>2022</v>
      </c>
      <c r="U1501" t="s">
        <v>96</v>
      </c>
    </row>
    <row r="1502" spans="1:21" x14ac:dyDescent="0.35">
      <c r="A1502" s="1">
        <v>46092</v>
      </c>
      <c r="B1502" t="s">
        <v>48</v>
      </c>
      <c r="C1502" t="s">
        <v>49</v>
      </c>
      <c r="D1502" t="s">
        <v>50</v>
      </c>
      <c r="E1502">
        <v>422</v>
      </c>
      <c r="F1502">
        <v>150</v>
      </c>
      <c r="G1502">
        <f t="shared" si="69"/>
        <v>63300</v>
      </c>
      <c r="H1502">
        <v>100</v>
      </c>
      <c r="I1502">
        <f t="shared" si="70"/>
        <v>42200</v>
      </c>
      <c r="J1502">
        <f t="shared" si="71"/>
        <v>21100</v>
      </c>
      <c r="K1502" t="s">
        <v>42</v>
      </c>
      <c r="L1502" t="s">
        <v>63</v>
      </c>
      <c r="M1502" t="s">
        <v>26</v>
      </c>
      <c r="N1502" t="s">
        <v>27</v>
      </c>
      <c r="O1502">
        <v>962</v>
      </c>
      <c r="P1502">
        <v>422</v>
      </c>
      <c r="Q1502" t="s">
        <v>74</v>
      </c>
      <c r="R1502" t="s">
        <v>75</v>
      </c>
      <c r="S1502" t="s">
        <v>76</v>
      </c>
      <c r="T1502">
        <v>2023</v>
      </c>
      <c r="U1502" t="s">
        <v>66</v>
      </c>
    </row>
    <row r="1503" spans="1:21" x14ac:dyDescent="0.35">
      <c r="A1503" s="1">
        <v>46093</v>
      </c>
      <c r="B1503" t="s">
        <v>98</v>
      </c>
      <c r="C1503" t="s">
        <v>99</v>
      </c>
      <c r="D1503" t="s">
        <v>100</v>
      </c>
      <c r="E1503">
        <v>31</v>
      </c>
      <c r="F1503">
        <v>6</v>
      </c>
      <c r="G1503">
        <f t="shared" si="69"/>
        <v>186</v>
      </c>
      <c r="H1503">
        <v>4</v>
      </c>
      <c r="I1503">
        <f t="shared" si="70"/>
        <v>124</v>
      </c>
      <c r="J1503">
        <f t="shared" si="71"/>
        <v>62</v>
      </c>
      <c r="K1503" t="s">
        <v>42</v>
      </c>
      <c r="L1503" t="s">
        <v>25</v>
      </c>
      <c r="M1503" t="s">
        <v>37</v>
      </c>
      <c r="N1503" t="s">
        <v>38</v>
      </c>
      <c r="O1503">
        <v>642</v>
      </c>
      <c r="P1503">
        <v>31</v>
      </c>
      <c r="Q1503" t="s">
        <v>67</v>
      </c>
      <c r="R1503" t="s">
        <v>68</v>
      </c>
      <c r="S1503" t="s">
        <v>69</v>
      </c>
      <c r="T1503">
        <v>2020</v>
      </c>
      <c r="U1503" t="s">
        <v>86</v>
      </c>
    </row>
    <row r="1504" spans="1:21" x14ac:dyDescent="0.35">
      <c r="A1504" s="1">
        <v>46094</v>
      </c>
      <c r="B1504" t="s">
        <v>58</v>
      </c>
      <c r="C1504" t="s">
        <v>59</v>
      </c>
      <c r="D1504" t="s">
        <v>60</v>
      </c>
      <c r="E1504">
        <v>419</v>
      </c>
      <c r="F1504">
        <v>5</v>
      </c>
      <c r="G1504">
        <f t="shared" si="69"/>
        <v>2095</v>
      </c>
      <c r="H1504">
        <v>3</v>
      </c>
      <c r="I1504">
        <f t="shared" si="70"/>
        <v>1257</v>
      </c>
      <c r="J1504">
        <f t="shared" si="71"/>
        <v>838</v>
      </c>
      <c r="K1504" t="s">
        <v>42</v>
      </c>
      <c r="L1504" t="s">
        <v>63</v>
      </c>
      <c r="M1504" t="s">
        <v>37</v>
      </c>
      <c r="N1504" t="s">
        <v>27</v>
      </c>
      <c r="O1504">
        <v>509</v>
      </c>
      <c r="P1504">
        <v>419</v>
      </c>
      <c r="Q1504" t="s">
        <v>103</v>
      </c>
      <c r="R1504" t="s">
        <v>68</v>
      </c>
      <c r="S1504" t="s">
        <v>104</v>
      </c>
      <c r="T1504">
        <v>2021</v>
      </c>
      <c r="U1504" t="s">
        <v>105</v>
      </c>
    </row>
    <row r="1505" spans="1:21" x14ac:dyDescent="0.35">
      <c r="A1505" s="1">
        <v>46095</v>
      </c>
      <c r="B1505" t="s">
        <v>80</v>
      </c>
      <c r="C1505" t="s">
        <v>81</v>
      </c>
      <c r="D1505" t="s">
        <v>82</v>
      </c>
      <c r="E1505">
        <v>246</v>
      </c>
      <c r="F1505">
        <v>2.5</v>
      </c>
      <c r="G1505">
        <f t="shared" si="69"/>
        <v>615</v>
      </c>
      <c r="H1505">
        <v>1.5</v>
      </c>
      <c r="I1505">
        <f t="shared" si="70"/>
        <v>369</v>
      </c>
      <c r="J1505">
        <f t="shared" si="71"/>
        <v>246</v>
      </c>
      <c r="K1505" t="s">
        <v>42</v>
      </c>
      <c r="L1505" t="s">
        <v>73</v>
      </c>
      <c r="M1505" t="s">
        <v>37</v>
      </c>
      <c r="N1505" t="s">
        <v>43</v>
      </c>
      <c r="O1505">
        <v>630</v>
      </c>
      <c r="P1505">
        <v>246</v>
      </c>
      <c r="Q1505" t="s">
        <v>87</v>
      </c>
      <c r="R1505" t="s">
        <v>88</v>
      </c>
      <c r="S1505" t="s">
        <v>89</v>
      </c>
      <c r="T1505">
        <v>2020</v>
      </c>
      <c r="U1505" t="s">
        <v>47</v>
      </c>
    </row>
    <row r="1506" spans="1:21" x14ac:dyDescent="0.35">
      <c r="A1506" s="1">
        <v>46096</v>
      </c>
      <c r="B1506" t="s">
        <v>48</v>
      </c>
      <c r="C1506" t="s">
        <v>49</v>
      </c>
      <c r="D1506" t="s">
        <v>50</v>
      </c>
      <c r="E1506">
        <v>287</v>
      </c>
      <c r="F1506">
        <v>150</v>
      </c>
      <c r="G1506">
        <f t="shared" si="69"/>
        <v>43050</v>
      </c>
      <c r="H1506">
        <v>100</v>
      </c>
      <c r="I1506">
        <f t="shared" si="70"/>
        <v>28700</v>
      </c>
      <c r="J1506">
        <f t="shared" si="71"/>
        <v>14350</v>
      </c>
      <c r="K1506" t="s">
        <v>42</v>
      </c>
      <c r="L1506" t="s">
        <v>25</v>
      </c>
      <c r="M1506" t="s">
        <v>61</v>
      </c>
      <c r="N1506" t="s">
        <v>27</v>
      </c>
      <c r="O1506">
        <v>514</v>
      </c>
      <c r="P1506">
        <v>287</v>
      </c>
      <c r="Q1506" t="s">
        <v>28</v>
      </c>
      <c r="R1506" t="s">
        <v>29</v>
      </c>
      <c r="S1506" t="s">
        <v>30</v>
      </c>
      <c r="T1506">
        <v>2023</v>
      </c>
      <c r="U1506" t="s">
        <v>47</v>
      </c>
    </row>
    <row r="1507" spans="1:21" x14ac:dyDescent="0.35">
      <c r="A1507" s="1">
        <v>46097</v>
      </c>
      <c r="B1507" t="s">
        <v>98</v>
      </c>
      <c r="C1507" t="s">
        <v>99</v>
      </c>
      <c r="D1507" t="s">
        <v>100</v>
      </c>
      <c r="E1507">
        <v>224</v>
      </c>
      <c r="F1507">
        <v>6</v>
      </c>
      <c r="G1507">
        <f t="shared" si="69"/>
        <v>1344</v>
      </c>
      <c r="H1507">
        <v>4</v>
      </c>
      <c r="I1507">
        <f t="shared" si="70"/>
        <v>896</v>
      </c>
      <c r="J1507">
        <f t="shared" si="71"/>
        <v>448</v>
      </c>
      <c r="K1507" t="s">
        <v>24</v>
      </c>
      <c r="L1507" t="s">
        <v>25</v>
      </c>
      <c r="M1507" t="s">
        <v>37</v>
      </c>
      <c r="N1507" t="s">
        <v>43</v>
      </c>
      <c r="O1507">
        <v>842</v>
      </c>
      <c r="P1507">
        <v>224</v>
      </c>
      <c r="Q1507" t="s">
        <v>83</v>
      </c>
      <c r="R1507" t="s">
        <v>84</v>
      </c>
      <c r="S1507" t="s">
        <v>85</v>
      </c>
      <c r="T1507">
        <v>2023</v>
      </c>
      <c r="U1507" t="s">
        <v>66</v>
      </c>
    </row>
    <row r="1508" spans="1:21" x14ac:dyDescent="0.35">
      <c r="A1508" s="1">
        <v>46098</v>
      </c>
      <c r="B1508" t="s">
        <v>80</v>
      </c>
      <c r="C1508" t="s">
        <v>81</v>
      </c>
      <c r="D1508" t="s">
        <v>82</v>
      </c>
      <c r="E1508">
        <v>470</v>
      </c>
      <c r="F1508">
        <v>2.5</v>
      </c>
      <c r="G1508">
        <f t="shared" si="69"/>
        <v>1175</v>
      </c>
      <c r="H1508">
        <v>1.5</v>
      </c>
      <c r="I1508">
        <f t="shared" si="70"/>
        <v>705</v>
      </c>
      <c r="J1508">
        <f t="shared" si="71"/>
        <v>470</v>
      </c>
      <c r="K1508" t="s">
        <v>24</v>
      </c>
      <c r="L1508" t="s">
        <v>63</v>
      </c>
      <c r="M1508" t="s">
        <v>37</v>
      </c>
      <c r="N1508" t="s">
        <v>43</v>
      </c>
      <c r="O1508">
        <v>958</v>
      </c>
      <c r="P1508">
        <v>470</v>
      </c>
      <c r="Q1508" t="s">
        <v>54</v>
      </c>
      <c r="R1508" t="s">
        <v>55</v>
      </c>
      <c r="S1508" t="s">
        <v>56</v>
      </c>
      <c r="T1508">
        <v>2023</v>
      </c>
      <c r="U1508" t="s">
        <v>31</v>
      </c>
    </row>
    <row r="1509" spans="1:21" x14ac:dyDescent="0.35">
      <c r="A1509" s="1">
        <v>46099</v>
      </c>
      <c r="B1509" t="s">
        <v>58</v>
      </c>
      <c r="C1509" t="s">
        <v>59</v>
      </c>
      <c r="D1509" t="s">
        <v>60</v>
      </c>
      <c r="E1509">
        <v>394</v>
      </c>
      <c r="F1509">
        <v>5</v>
      </c>
      <c r="G1509">
        <f t="shared" si="69"/>
        <v>1970</v>
      </c>
      <c r="H1509">
        <v>3</v>
      </c>
      <c r="I1509">
        <f t="shared" si="70"/>
        <v>1182</v>
      </c>
      <c r="J1509">
        <f t="shared" si="71"/>
        <v>788</v>
      </c>
      <c r="K1509" t="s">
        <v>42</v>
      </c>
      <c r="L1509" t="s">
        <v>73</v>
      </c>
      <c r="M1509" t="s">
        <v>26</v>
      </c>
      <c r="N1509" t="s">
        <v>38</v>
      </c>
      <c r="O1509">
        <v>655</v>
      </c>
      <c r="P1509">
        <v>394</v>
      </c>
      <c r="Q1509" t="s">
        <v>39</v>
      </c>
      <c r="R1509" t="s">
        <v>40</v>
      </c>
      <c r="S1509" t="s">
        <v>41</v>
      </c>
      <c r="T1509">
        <v>2022</v>
      </c>
      <c r="U1509" t="s">
        <v>47</v>
      </c>
    </row>
    <row r="1510" spans="1:21" x14ac:dyDescent="0.35">
      <c r="A1510" s="1">
        <v>46100</v>
      </c>
      <c r="B1510" t="s">
        <v>80</v>
      </c>
      <c r="C1510" t="s">
        <v>81</v>
      </c>
      <c r="D1510" t="s">
        <v>82</v>
      </c>
      <c r="E1510">
        <v>97</v>
      </c>
      <c r="F1510">
        <v>2.5</v>
      </c>
      <c r="G1510">
        <f t="shared" si="69"/>
        <v>242.5</v>
      </c>
      <c r="H1510">
        <v>1.5</v>
      </c>
      <c r="I1510">
        <f t="shared" si="70"/>
        <v>145.5</v>
      </c>
      <c r="J1510">
        <f t="shared" si="71"/>
        <v>97</v>
      </c>
      <c r="K1510" t="s">
        <v>24</v>
      </c>
      <c r="L1510" t="s">
        <v>73</v>
      </c>
      <c r="M1510" t="s">
        <v>37</v>
      </c>
      <c r="N1510" t="s">
        <v>43</v>
      </c>
      <c r="O1510">
        <v>839</v>
      </c>
      <c r="P1510">
        <v>97</v>
      </c>
      <c r="Q1510" t="s">
        <v>103</v>
      </c>
      <c r="R1510" t="s">
        <v>68</v>
      </c>
      <c r="S1510" t="s">
        <v>104</v>
      </c>
      <c r="T1510">
        <v>2021</v>
      </c>
      <c r="U1510" t="s">
        <v>97</v>
      </c>
    </row>
    <row r="1511" spans="1:21" x14ac:dyDescent="0.35">
      <c r="A1511" s="1">
        <v>46101</v>
      </c>
      <c r="B1511" t="s">
        <v>21</v>
      </c>
      <c r="C1511" t="s">
        <v>22</v>
      </c>
      <c r="D1511" t="s">
        <v>23</v>
      </c>
      <c r="E1511">
        <v>286</v>
      </c>
      <c r="F1511">
        <v>8</v>
      </c>
      <c r="G1511">
        <f t="shared" si="69"/>
        <v>2288</v>
      </c>
      <c r="H1511">
        <v>5</v>
      </c>
      <c r="I1511">
        <f t="shared" si="70"/>
        <v>1430</v>
      </c>
      <c r="J1511">
        <f t="shared" si="71"/>
        <v>858</v>
      </c>
      <c r="K1511" t="s">
        <v>42</v>
      </c>
      <c r="L1511" t="s">
        <v>25</v>
      </c>
      <c r="M1511" t="s">
        <v>61</v>
      </c>
      <c r="N1511" t="s">
        <v>43</v>
      </c>
      <c r="O1511">
        <v>562</v>
      </c>
      <c r="P1511">
        <v>286</v>
      </c>
      <c r="Q1511" t="s">
        <v>106</v>
      </c>
      <c r="R1511" t="s">
        <v>107</v>
      </c>
      <c r="S1511" t="s">
        <v>108</v>
      </c>
      <c r="T1511">
        <v>2021</v>
      </c>
      <c r="U1511" t="s">
        <v>96</v>
      </c>
    </row>
    <row r="1512" spans="1:21" x14ac:dyDescent="0.35">
      <c r="A1512" s="1">
        <v>46102</v>
      </c>
      <c r="B1512" t="s">
        <v>80</v>
      </c>
      <c r="C1512" t="s">
        <v>81</v>
      </c>
      <c r="D1512" t="s">
        <v>82</v>
      </c>
      <c r="E1512">
        <v>179</v>
      </c>
      <c r="F1512">
        <v>2.5</v>
      </c>
      <c r="G1512">
        <f t="shared" si="69"/>
        <v>447.5</v>
      </c>
      <c r="H1512">
        <v>1.5</v>
      </c>
      <c r="I1512">
        <f t="shared" si="70"/>
        <v>268.5</v>
      </c>
      <c r="J1512">
        <f t="shared" si="71"/>
        <v>179</v>
      </c>
      <c r="K1512" t="s">
        <v>24</v>
      </c>
      <c r="L1512" t="s">
        <v>73</v>
      </c>
      <c r="M1512" t="s">
        <v>26</v>
      </c>
      <c r="N1512" t="s">
        <v>27</v>
      </c>
      <c r="O1512">
        <v>680</v>
      </c>
      <c r="P1512">
        <v>179</v>
      </c>
      <c r="Q1512" t="s">
        <v>83</v>
      </c>
      <c r="R1512" t="s">
        <v>84</v>
      </c>
      <c r="S1512" t="s">
        <v>85</v>
      </c>
      <c r="T1512">
        <v>2020</v>
      </c>
      <c r="U1512" t="s">
        <v>66</v>
      </c>
    </row>
    <row r="1513" spans="1:21" x14ac:dyDescent="0.35">
      <c r="A1513" s="1">
        <v>46103</v>
      </c>
      <c r="B1513" t="s">
        <v>80</v>
      </c>
      <c r="C1513" t="s">
        <v>81</v>
      </c>
      <c r="D1513" t="s">
        <v>82</v>
      </c>
      <c r="E1513">
        <v>385</v>
      </c>
      <c r="F1513">
        <v>2.5</v>
      </c>
      <c r="G1513">
        <f t="shared" si="69"/>
        <v>962.5</v>
      </c>
      <c r="H1513">
        <v>1.5</v>
      </c>
      <c r="I1513">
        <f t="shared" si="70"/>
        <v>577.5</v>
      </c>
      <c r="J1513">
        <f t="shared" si="71"/>
        <v>385</v>
      </c>
      <c r="K1513" t="s">
        <v>35</v>
      </c>
      <c r="L1513" t="s">
        <v>36</v>
      </c>
      <c r="M1513" t="s">
        <v>26</v>
      </c>
      <c r="N1513" t="s">
        <v>38</v>
      </c>
      <c r="O1513">
        <v>833</v>
      </c>
      <c r="P1513">
        <v>385</v>
      </c>
      <c r="Q1513" t="s">
        <v>110</v>
      </c>
      <c r="R1513" t="s">
        <v>111</v>
      </c>
      <c r="S1513" t="s">
        <v>112</v>
      </c>
      <c r="T1513">
        <v>2020</v>
      </c>
      <c r="U1513" t="s">
        <v>97</v>
      </c>
    </row>
    <row r="1514" spans="1:21" x14ac:dyDescent="0.35">
      <c r="A1514" s="1">
        <v>46104</v>
      </c>
      <c r="B1514" t="s">
        <v>32</v>
      </c>
      <c r="C1514" t="s">
        <v>33</v>
      </c>
      <c r="D1514" t="s">
        <v>34</v>
      </c>
      <c r="E1514">
        <v>461</v>
      </c>
      <c r="F1514">
        <v>20</v>
      </c>
      <c r="G1514">
        <f t="shared" si="69"/>
        <v>9220</v>
      </c>
      <c r="H1514">
        <v>12</v>
      </c>
      <c r="I1514">
        <f t="shared" si="70"/>
        <v>5532</v>
      </c>
      <c r="J1514">
        <f t="shared" si="71"/>
        <v>3688</v>
      </c>
      <c r="K1514" t="s">
        <v>42</v>
      </c>
      <c r="L1514" t="s">
        <v>63</v>
      </c>
      <c r="M1514" t="s">
        <v>26</v>
      </c>
      <c r="N1514" t="s">
        <v>38</v>
      </c>
      <c r="O1514">
        <v>641</v>
      </c>
      <c r="P1514">
        <v>461</v>
      </c>
      <c r="Q1514" t="s">
        <v>54</v>
      </c>
      <c r="R1514" t="s">
        <v>55</v>
      </c>
      <c r="S1514" t="s">
        <v>56</v>
      </c>
      <c r="T1514">
        <v>2021</v>
      </c>
      <c r="U1514" t="s">
        <v>96</v>
      </c>
    </row>
    <row r="1515" spans="1:21" x14ac:dyDescent="0.35">
      <c r="A1515" s="1">
        <v>46105</v>
      </c>
      <c r="B1515" t="s">
        <v>32</v>
      </c>
      <c r="C1515" t="s">
        <v>33</v>
      </c>
      <c r="D1515" t="s">
        <v>34</v>
      </c>
      <c r="E1515">
        <v>324</v>
      </c>
      <c r="F1515">
        <v>20</v>
      </c>
      <c r="G1515">
        <f t="shared" si="69"/>
        <v>6480</v>
      </c>
      <c r="H1515">
        <v>12</v>
      </c>
      <c r="I1515">
        <f t="shared" si="70"/>
        <v>3888</v>
      </c>
      <c r="J1515">
        <f t="shared" si="71"/>
        <v>2592</v>
      </c>
      <c r="K1515" t="s">
        <v>42</v>
      </c>
      <c r="L1515" t="s">
        <v>36</v>
      </c>
      <c r="M1515" t="s">
        <v>37</v>
      </c>
      <c r="N1515" t="s">
        <v>27</v>
      </c>
      <c r="O1515">
        <v>979</v>
      </c>
      <c r="P1515">
        <v>324</v>
      </c>
      <c r="Q1515" t="s">
        <v>83</v>
      </c>
      <c r="R1515" t="s">
        <v>84</v>
      </c>
      <c r="S1515" t="s">
        <v>85</v>
      </c>
      <c r="T1515">
        <v>2024</v>
      </c>
      <c r="U1515" t="s">
        <v>57</v>
      </c>
    </row>
    <row r="1516" spans="1:21" x14ac:dyDescent="0.35">
      <c r="A1516" s="1">
        <v>46106</v>
      </c>
      <c r="B1516" t="s">
        <v>32</v>
      </c>
      <c r="C1516" t="s">
        <v>33</v>
      </c>
      <c r="D1516" t="s">
        <v>34</v>
      </c>
      <c r="E1516">
        <v>38</v>
      </c>
      <c r="F1516">
        <v>20</v>
      </c>
      <c r="G1516">
        <f t="shared" si="69"/>
        <v>760</v>
      </c>
      <c r="H1516">
        <v>12</v>
      </c>
      <c r="I1516">
        <f t="shared" si="70"/>
        <v>456</v>
      </c>
      <c r="J1516">
        <f t="shared" si="71"/>
        <v>304</v>
      </c>
      <c r="K1516" t="s">
        <v>42</v>
      </c>
      <c r="L1516" t="s">
        <v>25</v>
      </c>
      <c r="M1516" t="s">
        <v>26</v>
      </c>
      <c r="N1516" t="s">
        <v>27</v>
      </c>
      <c r="O1516">
        <v>643</v>
      </c>
      <c r="P1516">
        <v>38</v>
      </c>
      <c r="Q1516" t="s">
        <v>106</v>
      </c>
      <c r="R1516" t="s">
        <v>107</v>
      </c>
      <c r="S1516" t="s">
        <v>108</v>
      </c>
      <c r="T1516">
        <v>2021</v>
      </c>
      <c r="U1516" t="s">
        <v>109</v>
      </c>
    </row>
    <row r="1517" spans="1:21" x14ac:dyDescent="0.35">
      <c r="A1517" s="1">
        <v>46107</v>
      </c>
      <c r="B1517" t="s">
        <v>21</v>
      </c>
      <c r="C1517" t="s">
        <v>22</v>
      </c>
      <c r="D1517" t="s">
        <v>23</v>
      </c>
      <c r="E1517">
        <v>112</v>
      </c>
      <c r="F1517">
        <v>8</v>
      </c>
      <c r="G1517">
        <f t="shared" si="69"/>
        <v>896</v>
      </c>
      <c r="H1517">
        <v>5</v>
      </c>
      <c r="I1517">
        <f t="shared" si="70"/>
        <v>560</v>
      </c>
      <c r="J1517">
        <f t="shared" si="71"/>
        <v>336</v>
      </c>
      <c r="K1517" t="s">
        <v>35</v>
      </c>
      <c r="L1517" t="s">
        <v>63</v>
      </c>
      <c r="M1517" t="s">
        <v>61</v>
      </c>
      <c r="N1517" t="s">
        <v>27</v>
      </c>
      <c r="O1517">
        <v>537</v>
      </c>
      <c r="P1517">
        <v>112</v>
      </c>
      <c r="Q1517" t="s">
        <v>70</v>
      </c>
      <c r="R1517" t="s">
        <v>71</v>
      </c>
      <c r="S1517" t="s">
        <v>72</v>
      </c>
      <c r="T1517">
        <v>2021</v>
      </c>
      <c r="U1517" t="s">
        <v>53</v>
      </c>
    </row>
    <row r="1518" spans="1:21" x14ac:dyDescent="0.35">
      <c r="A1518" s="1">
        <v>46108</v>
      </c>
      <c r="B1518" t="s">
        <v>80</v>
      </c>
      <c r="C1518" t="s">
        <v>81</v>
      </c>
      <c r="D1518" t="s">
        <v>82</v>
      </c>
      <c r="E1518">
        <v>416</v>
      </c>
      <c r="F1518">
        <v>2.5</v>
      </c>
      <c r="G1518">
        <f t="shared" si="69"/>
        <v>1040</v>
      </c>
      <c r="H1518">
        <v>1.5</v>
      </c>
      <c r="I1518">
        <f t="shared" si="70"/>
        <v>624</v>
      </c>
      <c r="J1518">
        <f t="shared" si="71"/>
        <v>416</v>
      </c>
      <c r="K1518" t="s">
        <v>35</v>
      </c>
      <c r="L1518" t="s">
        <v>25</v>
      </c>
      <c r="M1518" t="s">
        <v>61</v>
      </c>
      <c r="N1518" t="s">
        <v>43</v>
      </c>
      <c r="O1518">
        <v>676</v>
      </c>
      <c r="P1518">
        <v>416</v>
      </c>
      <c r="Q1518" t="s">
        <v>103</v>
      </c>
      <c r="R1518" t="s">
        <v>68</v>
      </c>
      <c r="S1518" t="s">
        <v>104</v>
      </c>
      <c r="T1518">
        <v>2021</v>
      </c>
      <c r="U1518" t="s">
        <v>66</v>
      </c>
    </row>
    <row r="1519" spans="1:21" x14ac:dyDescent="0.35">
      <c r="A1519" s="1">
        <v>46109</v>
      </c>
      <c r="B1519" t="s">
        <v>32</v>
      </c>
      <c r="C1519" t="s">
        <v>33</v>
      </c>
      <c r="D1519" t="s">
        <v>34</v>
      </c>
      <c r="E1519">
        <v>211</v>
      </c>
      <c r="F1519">
        <v>20</v>
      </c>
      <c r="G1519">
        <f t="shared" si="69"/>
        <v>4220</v>
      </c>
      <c r="H1519">
        <v>12</v>
      </c>
      <c r="I1519">
        <f t="shared" si="70"/>
        <v>2532</v>
      </c>
      <c r="J1519">
        <f t="shared" si="71"/>
        <v>1688</v>
      </c>
      <c r="K1519" t="s">
        <v>42</v>
      </c>
      <c r="L1519" t="s">
        <v>63</v>
      </c>
      <c r="M1519" t="s">
        <v>61</v>
      </c>
      <c r="N1519" t="s">
        <v>43</v>
      </c>
      <c r="O1519">
        <v>657</v>
      </c>
      <c r="P1519">
        <v>211</v>
      </c>
      <c r="Q1519" t="s">
        <v>74</v>
      </c>
      <c r="R1519" t="s">
        <v>75</v>
      </c>
      <c r="S1519" t="s">
        <v>76</v>
      </c>
      <c r="T1519">
        <v>2024</v>
      </c>
      <c r="U1519" t="s">
        <v>97</v>
      </c>
    </row>
    <row r="1520" spans="1:21" x14ac:dyDescent="0.35">
      <c r="A1520" s="1">
        <v>46110</v>
      </c>
      <c r="B1520" t="s">
        <v>58</v>
      </c>
      <c r="C1520" t="s">
        <v>59</v>
      </c>
      <c r="D1520" t="s">
        <v>60</v>
      </c>
      <c r="E1520">
        <v>283</v>
      </c>
      <c r="F1520">
        <v>5</v>
      </c>
      <c r="G1520">
        <f t="shared" si="69"/>
        <v>1415</v>
      </c>
      <c r="H1520">
        <v>3</v>
      </c>
      <c r="I1520">
        <f t="shared" si="70"/>
        <v>849</v>
      </c>
      <c r="J1520">
        <f t="shared" si="71"/>
        <v>566</v>
      </c>
      <c r="K1520" t="s">
        <v>35</v>
      </c>
      <c r="L1520" t="s">
        <v>36</v>
      </c>
      <c r="M1520" t="s">
        <v>37</v>
      </c>
      <c r="N1520" t="s">
        <v>27</v>
      </c>
      <c r="O1520">
        <v>616</v>
      </c>
      <c r="P1520">
        <v>283</v>
      </c>
      <c r="Q1520" t="s">
        <v>106</v>
      </c>
      <c r="R1520" t="s">
        <v>107</v>
      </c>
      <c r="S1520" t="s">
        <v>108</v>
      </c>
      <c r="T1520">
        <v>2022</v>
      </c>
      <c r="U1520" t="s">
        <v>105</v>
      </c>
    </row>
    <row r="1521" spans="1:21" x14ac:dyDescent="0.35">
      <c r="A1521" s="1">
        <v>46111</v>
      </c>
      <c r="B1521" t="s">
        <v>80</v>
      </c>
      <c r="C1521" t="s">
        <v>81</v>
      </c>
      <c r="D1521" t="s">
        <v>82</v>
      </c>
      <c r="E1521">
        <v>206</v>
      </c>
      <c r="F1521">
        <v>2.5</v>
      </c>
      <c r="G1521">
        <f t="shared" si="69"/>
        <v>515</v>
      </c>
      <c r="H1521">
        <v>1.5</v>
      </c>
      <c r="I1521">
        <f t="shared" si="70"/>
        <v>309</v>
      </c>
      <c r="J1521">
        <f t="shared" si="71"/>
        <v>206</v>
      </c>
      <c r="K1521" t="s">
        <v>42</v>
      </c>
      <c r="L1521" t="s">
        <v>63</v>
      </c>
      <c r="M1521" t="s">
        <v>61</v>
      </c>
      <c r="N1521" t="s">
        <v>27</v>
      </c>
      <c r="O1521">
        <v>878</v>
      </c>
      <c r="P1521">
        <v>206</v>
      </c>
      <c r="Q1521" t="s">
        <v>39</v>
      </c>
      <c r="R1521" t="s">
        <v>40</v>
      </c>
      <c r="S1521" t="s">
        <v>41</v>
      </c>
      <c r="T1521">
        <v>2024</v>
      </c>
      <c r="U1521" t="s">
        <v>91</v>
      </c>
    </row>
    <row r="1522" spans="1:21" x14ac:dyDescent="0.35">
      <c r="A1522" s="1">
        <v>46112</v>
      </c>
      <c r="B1522" t="s">
        <v>98</v>
      </c>
      <c r="C1522" t="s">
        <v>99</v>
      </c>
      <c r="D1522" t="s">
        <v>100</v>
      </c>
      <c r="E1522">
        <v>478</v>
      </c>
      <c r="F1522">
        <v>6</v>
      </c>
      <c r="G1522">
        <f t="shared" si="69"/>
        <v>2868</v>
      </c>
      <c r="H1522">
        <v>4</v>
      </c>
      <c r="I1522">
        <f t="shared" si="70"/>
        <v>1912</v>
      </c>
      <c r="J1522">
        <f t="shared" si="71"/>
        <v>956</v>
      </c>
      <c r="K1522" t="s">
        <v>42</v>
      </c>
      <c r="L1522" t="s">
        <v>63</v>
      </c>
      <c r="M1522" t="s">
        <v>37</v>
      </c>
      <c r="N1522" t="s">
        <v>27</v>
      </c>
      <c r="O1522">
        <v>515</v>
      </c>
      <c r="P1522">
        <v>478</v>
      </c>
      <c r="Q1522" t="s">
        <v>110</v>
      </c>
      <c r="R1522" t="s">
        <v>111</v>
      </c>
      <c r="S1522" t="s">
        <v>112</v>
      </c>
      <c r="T1522">
        <v>2022</v>
      </c>
      <c r="U1522" t="s">
        <v>66</v>
      </c>
    </row>
    <row r="1523" spans="1:21" x14ac:dyDescent="0.35">
      <c r="A1523" s="1">
        <v>46113</v>
      </c>
      <c r="B1523" t="s">
        <v>98</v>
      </c>
      <c r="C1523" t="s">
        <v>99</v>
      </c>
      <c r="D1523" t="s">
        <v>100</v>
      </c>
      <c r="E1523">
        <v>299</v>
      </c>
      <c r="F1523">
        <v>6</v>
      </c>
      <c r="G1523">
        <f t="shared" si="69"/>
        <v>1794</v>
      </c>
      <c r="H1523">
        <v>4</v>
      </c>
      <c r="I1523">
        <f t="shared" si="70"/>
        <v>1196</v>
      </c>
      <c r="J1523">
        <f t="shared" si="71"/>
        <v>598</v>
      </c>
      <c r="K1523" t="s">
        <v>42</v>
      </c>
      <c r="L1523" t="s">
        <v>25</v>
      </c>
      <c r="M1523" t="s">
        <v>61</v>
      </c>
      <c r="N1523" t="s">
        <v>38</v>
      </c>
      <c r="O1523">
        <v>706</v>
      </c>
      <c r="P1523">
        <v>299</v>
      </c>
      <c r="Q1523" t="s">
        <v>54</v>
      </c>
      <c r="R1523" t="s">
        <v>55</v>
      </c>
      <c r="S1523" t="s">
        <v>56</v>
      </c>
      <c r="T1523">
        <v>2024</v>
      </c>
      <c r="U1523" t="s">
        <v>97</v>
      </c>
    </row>
    <row r="1524" spans="1:21" x14ac:dyDescent="0.35">
      <c r="A1524" s="1">
        <v>46114</v>
      </c>
      <c r="B1524" t="s">
        <v>48</v>
      </c>
      <c r="C1524" t="s">
        <v>49</v>
      </c>
      <c r="D1524" t="s">
        <v>50</v>
      </c>
      <c r="E1524">
        <v>244</v>
      </c>
      <c r="F1524">
        <v>150</v>
      </c>
      <c r="G1524">
        <f t="shared" si="69"/>
        <v>36600</v>
      </c>
      <c r="H1524">
        <v>100</v>
      </c>
      <c r="I1524">
        <f t="shared" si="70"/>
        <v>24400</v>
      </c>
      <c r="J1524">
        <f t="shared" si="71"/>
        <v>12200</v>
      </c>
      <c r="K1524" t="s">
        <v>35</v>
      </c>
      <c r="L1524" t="s">
        <v>73</v>
      </c>
      <c r="M1524" t="s">
        <v>37</v>
      </c>
      <c r="N1524" t="s">
        <v>27</v>
      </c>
      <c r="O1524">
        <v>874</v>
      </c>
      <c r="P1524">
        <v>244</v>
      </c>
      <c r="Q1524" t="s">
        <v>67</v>
      </c>
      <c r="R1524" t="s">
        <v>68</v>
      </c>
      <c r="S1524" t="s">
        <v>69</v>
      </c>
      <c r="T1524">
        <v>2020</v>
      </c>
      <c r="U1524" t="s">
        <v>105</v>
      </c>
    </row>
    <row r="1525" spans="1:21" x14ac:dyDescent="0.35">
      <c r="A1525" s="1">
        <v>46115</v>
      </c>
      <c r="B1525" t="s">
        <v>21</v>
      </c>
      <c r="C1525" t="s">
        <v>22</v>
      </c>
      <c r="D1525" t="s">
        <v>23</v>
      </c>
      <c r="E1525">
        <v>430</v>
      </c>
      <c r="F1525">
        <v>8</v>
      </c>
      <c r="G1525">
        <f t="shared" si="69"/>
        <v>3440</v>
      </c>
      <c r="H1525">
        <v>5</v>
      </c>
      <c r="I1525">
        <f t="shared" si="70"/>
        <v>2150</v>
      </c>
      <c r="J1525">
        <f t="shared" si="71"/>
        <v>1290</v>
      </c>
      <c r="K1525" t="s">
        <v>24</v>
      </c>
      <c r="L1525" t="s">
        <v>63</v>
      </c>
      <c r="M1525" t="s">
        <v>26</v>
      </c>
      <c r="N1525" t="s">
        <v>27</v>
      </c>
      <c r="O1525">
        <v>539</v>
      </c>
      <c r="P1525">
        <v>430</v>
      </c>
      <c r="Q1525" t="s">
        <v>74</v>
      </c>
      <c r="R1525" t="s">
        <v>75</v>
      </c>
      <c r="S1525" t="s">
        <v>76</v>
      </c>
      <c r="T1525">
        <v>2024</v>
      </c>
      <c r="U1525" t="s">
        <v>57</v>
      </c>
    </row>
    <row r="1526" spans="1:21" x14ac:dyDescent="0.35">
      <c r="A1526" s="1">
        <v>46116</v>
      </c>
      <c r="B1526" t="s">
        <v>32</v>
      </c>
      <c r="C1526" t="s">
        <v>33</v>
      </c>
      <c r="D1526" t="s">
        <v>34</v>
      </c>
      <c r="E1526">
        <v>482</v>
      </c>
      <c r="F1526">
        <v>20</v>
      </c>
      <c r="G1526">
        <f t="shared" si="69"/>
        <v>9640</v>
      </c>
      <c r="H1526">
        <v>12</v>
      </c>
      <c r="I1526">
        <f t="shared" si="70"/>
        <v>5784</v>
      </c>
      <c r="J1526">
        <f t="shared" si="71"/>
        <v>3856</v>
      </c>
      <c r="K1526" t="s">
        <v>42</v>
      </c>
      <c r="L1526" t="s">
        <v>36</v>
      </c>
      <c r="M1526" t="s">
        <v>26</v>
      </c>
      <c r="N1526" t="s">
        <v>38</v>
      </c>
      <c r="O1526">
        <v>557</v>
      </c>
      <c r="P1526">
        <v>482</v>
      </c>
      <c r="Q1526" t="s">
        <v>51</v>
      </c>
      <c r="R1526" t="s">
        <v>45</v>
      </c>
      <c r="S1526" t="s">
        <v>52</v>
      </c>
      <c r="T1526">
        <v>2022</v>
      </c>
      <c r="U1526" t="s">
        <v>31</v>
      </c>
    </row>
    <row r="1527" spans="1:21" x14ac:dyDescent="0.35">
      <c r="A1527" s="1">
        <v>46117</v>
      </c>
      <c r="B1527" t="s">
        <v>32</v>
      </c>
      <c r="C1527" t="s">
        <v>33</v>
      </c>
      <c r="D1527" t="s">
        <v>34</v>
      </c>
      <c r="E1527">
        <v>138</v>
      </c>
      <c r="F1527">
        <v>20</v>
      </c>
      <c r="G1527">
        <f t="shared" si="69"/>
        <v>2760</v>
      </c>
      <c r="H1527">
        <v>12</v>
      </c>
      <c r="I1527">
        <f t="shared" si="70"/>
        <v>1656</v>
      </c>
      <c r="J1527">
        <f t="shared" si="71"/>
        <v>1104</v>
      </c>
      <c r="K1527" t="s">
        <v>24</v>
      </c>
      <c r="L1527" t="s">
        <v>36</v>
      </c>
      <c r="M1527" t="s">
        <v>61</v>
      </c>
      <c r="N1527" t="s">
        <v>27</v>
      </c>
      <c r="O1527">
        <v>972</v>
      </c>
      <c r="P1527">
        <v>138</v>
      </c>
      <c r="Q1527" t="s">
        <v>83</v>
      </c>
      <c r="R1527" t="s">
        <v>84</v>
      </c>
      <c r="S1527" t="s">
        <v>85</v>
      </c>
      <c r="T1527">
        <v>2021</v>
      </c>
      <c r="U1527" t="s">
        <v>47</v>
      </c>
    </row>
    <row r="1528" spans="1:21" x14ac:dyDescent="0.35">
      <c r="A1528" s="1">
        <v>46118</v>
      </c>
      <c r="B1528" t="s">
        <v>48</v>
      </c>
      <c r="C1528" t="s">
        <v>49</v>
      </c>
      <c r="D1528" t="s">
        <v>50</v>
      </c>
      <c r="E1528">
        <v>143</v>
      </c>
      <c r="F1528">
        <v>150</v>
      </c>
      <c r="G1528">
        <f t="shared" si="69"/>
        <v>21450</v>
      </c>
      <c r="H1528">
        <v>100</v>
      </c>
      <c r="I1528">
        <f t="shared" si="70"/>
        <v>14300</v>
      </c>
      <c r="J1528">
        <f t="shared" si="71"/>
        <v>7150</v>
      </c>
      <c r="K1528" t="s">
        <v>35</v>
      </c>
      <c r="L1528" t="s">
        <v>25</v>
      </c>
      <c r="M1528" t="s">
        <v>26</v>
      </c>
      <c r="N1528" t="s">
        <v>27</v>
      </c>
      <c r="O1528">
        <v>600</v>
      </c>
      <c r="P1528">
        <v>143</v>
      </c>
      <c r="Q1528" t="s">
        <v>64</v>
      </c>
      <c r="R1528" t="s">
        <v>29</v>
      </c>
      <c r="S1528" t="s">
        <v>65</v>
      </c>
      <c r="T1528">
        <v>2022</v>
      </c>
      <c r="U1528" t="s">
        <v>57</v>
      </c>
    </row>
    <row r="1529" spans="1:21" x14ac:dyDescent="0.35">
      <c r="A1529" s="1">
        <v>46119</v>
      </c>
      <c r="B1529" t="s">
        <v>48</v>
      </c>
      <c r="C1529" t="s">
        <v>49</v>
      </c>
      <c r="D1529" t="s">
        <v>50</v>
      </c>
      <c r="E1529">
        <v>24</v>
      </c>
      <c r="F1529">
        <v>150</v>
      </c>
      <c r="G1529">
        <f t="shared" si="69"/>
        <v>3600</v>
      </c>
      <c r="H1529">
        <v>100</v>
      </c>
      <c r="I1529">
        <f t="shared" si="70"/>
        <v>2400</v>
      </c>
      <c r="J1529">
        <f t="shared" si="71"/>
        <v>1200</v>
      </c>
      <c r="K1529" t="s">
        <v>42</v>
      </c>
      <c r="L1529" t="s">
        <v>63</v>
      </c>
      <c r="M1529" t="s">
        <v>37</v>
      </c>
      <c r="N1529" t="s">
        <v>27</v>
      </c>
      <c r="O1529">
        <v>840</v>
      </c>
      <c r="P1529">
        <v>24</v>
      </c>
      <c r="Q1529" t="s">
        <v>28</v>
      </c>
      <c r="R1529" t="s">
        <v>29</v>
      </c>
      <c r="S1529" t="s">
        <v>30</v>
      </c>
      <c r="T1529">
        <v>2022</v>
      </c>
      <c r="U1529" t="s">
        <v>31</v>
      </c>
    </row>
    <row r="1530" spans="1:21" x14ac:dyDescent="0.35">
      <c r="A1530" s="1">
        <v>46120</v>
      </c>
      <c r="B1530" t="s">
        <v>58</v>
      </c>
      <c r="C1530" t="s">
        <v>59</v>
      </c>
      <c r="D1530" t="s">
        <v>60</v>
      </c>
      <c r="E1530">
        <v>52</v>
      </c>
      <c r="F1530">
        <v>5</v>
      </c>
      <c r="G1530">
        <f t="shared" si="69"/>
        <v>260</v>
      </c>
      <c r="H1530">
        <v>3</v>
      </c>
      <c r="I1530">
        <f t="shared" si="70"/>
        <v>156</v>
      </c>
      <c r="J1530">
        <f t="shared" si="71"/>
        <v>104</v>
      </c>
      <c r="K1530" t="s">
        <v>35</v>
      </c>
      <c r="L1530" t="s">
        <v>25</v>
      </c>
      <c r="M1530" t="s">
        <v>26</v>
      </c>
      <c r="N1530" t="s">
        <v>27</v>
      </c>
      <c r="O1530">
        <v>854</v>
      </c>
      <c r="P1530">
        <v>52</v>
      </c>
      <c r="Q1530" t="s">
        <v>70</v>
      </c>
      <c r="R1530" t="s">
        <v>71</v>
      </c>
      <c r="S1530" t="s">
        <v>72</v>
      </c>
      <c r="T1530">
        <v>2022</v>
      </c>
      <c r="U1530" t="s">
        <v>57</v>
      </c>
    </row>
    <row r="1531" spans="1:21" x14ac:dyDescent="0.35">
      <c r="A1531" s="1">
        <v>46121</v>
      </c>
      <c r="B1531" t="s">
        <v>21</v>
      </c>
      <c r="C1531" t="s">
        <v>22</v>
      </c>
      <c r="D1531" t="s">
        <v>23</v>
      </c>
      <c r="E1531">
        <v>16</v>
      </c>
      <c r="F1531">
        <v>8</v>
      </c>
      <c r="G1531">
        <f t="shared" si="69"/>
        <v>128</v>
      </c>
      <c r="H1531">
        <v>5</v>
      </c>
      <c r="I1531">
        <f t="shared" si="70"/>
        <v>80</v>
      </c>
      <c r="J1531">
        <f t="shared" si="71"/>
        <v>48</v>
      </c>
      <c r="K1531" t="s">
        <v>35</v>
      </c>
      <c r="L1531" t="s">
        <v>63</v>
      </c>
      <c r="M1531" t="s">
        <v>37</v>
      </c>
      <c r="N1531" t="s">
        <v>38</v>
      </c>
      <c r="O1531">
        <v>946</v>
      </c>
      <c r="P1531">
        <v>16</v>
      </c>
      <c r="Q1531" t="s">
        <v>67</v>
      </c>
      <c r="R1531" t="s">
        <v>68</v>
      </c>
      <c r="S1531" t="s">
        <v>69</v>
      </c>
      <c r="T1531">
        <v>2024</v>
      </c>
      <c r="U1531" t="s">
        <v>91</v>
      </c>
    </row>
    <row r="1532" spans="1:21" x14ac:dyDescent="0.35">
      <c r="A1532" s="1">
        <v>46122</v>
      </c>
      <c r="B1532" t="s">
        <v>21</v>
      </c>
      <c r="C1532" t="s">
        <v>22</v>
      </c>
      <c r="D1532" t="s">
        <v>23</v>
      </c>
      <c r="E1532">
        <v>254</v>
      </c>
      <c r="F1532">
        <v>8</v>
      </c>
      <c r="G1532">
        <f t="shared" si="69"/>
        <v>2032</v>
      </c>
      <c r="H1532">
        <v>5</v>
      </c>
      <c r="I1532">
        <f t="shared" si="70"/>
        <v>1270</v>
      </c>
      <c r="J1532">
        <f t="shared" si="71"/>
        <v>762</v>
      </c>
      <c r="K1532" t="s">
        <v>42</v>
      </c>
      <c r="L1532" t="s">
        <v>63</v>
      </c>
      <c r="M1532" t="s">
        <v>61</v>
      </c>
      <c r="N1532" t="s">
        <v>27</v>
      </c>
      <c r="O1532">
        <v>941</v>
      </c>
      <c r="P1532">
        <v>254</v>
      </c>
      <c r="Q1532" t="s">
        <v>94</v>
      </c>
      <c r="R1532" t="s">
        <v>75</v>
      </c>
      <c r="S1532" t="s">
        <v>95</v>
      </c>
      <c r="T1532">
        <v>2024</v>
      </c>
      <c r="U1532" t="s">
        <v>62</v>
      </c>
    </row>
    <row r="1533" spans="1:21" x14ac:dyDescent="0.35">
      <c r="A1533" s="1">
        <v>46123</v>
      </c>
      <c r="B1533" t="s">
        <v>58</v>
      </c>
      <c r="C1533" t="s">
        <v>59</v>
      </c>
      <c r="D1533" t="s">
        <v>60</v>
      </c>
      <c r="E1533">
        <v>28</v>
      </c>
      <c r="F1533">
        <v>5</v>
      </c>
      <c r="G1533">
        <f t="shared" si="69"/>
        <v>140</v>
      </c>
      <c r="H1533">
        <v>3</v>
      </c>
      <c r="I1533">
        <f t="shared" si="70"/>
        <v>84</v>
      </c>
      <c r="J1533">
        <f t="shared" si="71"/>
        <v>56</v>
      </c>
      <c r="K1533" t="s">
        <v>42</v>
      </c>
      <c r="L1533" t="s">
        <v>63</v>
      </c>
      <c r="M1533" t="s">
        <v>26</v>
      </c>
      <c r="N1533" t="s">
        <v>38</v>
      </c>
      <c r="O1533">
        <v>838</v>
      </c>
      <c r="P1533">
        <v>28</v>
      </c>
      <c r="Q1533" t="s">
        <v>106</v>
      </c>
      <c r="R1533" t="s">
        <v>107</v>
      </c>
      <c r="S1533" t="s">
        <v>108</v>
      </c>
      <c r="T1533">
        <v>2024</v>
      </c>
      <c r="U1533" t="s">
        <v>96</v>
      </c>
    </row>
    <row r="1534" spans="1:21" x14ac:dyDescent="0.35">
      <c r="A1534" s="1">
        <v>46124</v>
      </c>
      <c r="B1534" t="s">
        <v>80</v>
      </c>
      <c r="C1534" t="s">
        <v>81</v>
      </c>
      <c r="D1534" t="s">
        <v>82</v>
      </c>
      <c r="E1534">
        <v>149</v>
      </c>
      <c r="F1534">
        <v>2.5</v>
      </c>
      <c r="G1534">
        <f t="shared" si="69"/>
        <v>372.5</v>
      </c>
      <c r="H1534">
        <v>1.5</v>
      </c>
      <c r="I1534">
        <f t="shared" si="70"/>
        <v>223.5</v>
      </c>
      <c r="J1534">
        <f t="shared" si="71"/>
        <v>149</v>
      </c>
      <c r="K1534" t="s">
        <v>24</v>
      </c>
      <c r="L1534" t="s">
        <v>36</v>
      </c>
      <c r="M1534" t="s">
        <v>37</v>
      </c>
      <c r="N1534" t="s">
        <v>43</v>
      </c>
      <c r="O1534">
        <v>510</v>
      </c>
      <c r="P1534">
        <v>149</v>
      </c>
      <c r="Q1534" t="s">
        <v>74</v>
      </c>
      <c r="R1534" t="s">
        <v>75</v>
      </c>
      <c r="S1534" t="s">
        <v>76</v>
      </c>
      <c r="T1534">
        <v>2023</v>
      </c>
      <c r="U1534" t="s">
        <v>66</v>
      </c>
    </row>
    <row r="1535" spans="1:21" x14ac:dyDescent="0.35">
      <c r="A1535" s="1">
        <v>46125</v>
      </c>
      <c r="B1535" t="s">
        <v>48</v>
      </c>
      <c r="C1535" t="s">
        <v>49</v>
      </c>
      <c r="D1535" t="s">
        <v>50</v>
      </c>
      <c r="E1535">
        <v>19</v>
      </c>
      <c r="F1535">
        <v>150</v>
      </c>
      <c r="G1535">
        <f t="shared" si="69"/>
        <v>2850</v>
      </c>
      <c r="H1535">
        <v>100</v>
      </c>
      <c r="I1535">
        <f t="shared" si="70"/>
        <v>1900</v>
      </c>
      <c r="J1535">
        <f t="shared" si="71"/>
        <v>950</v>
      </c>
      <c r="K1535" t="s">
        <v>24</v>
      </c>
      <c r="L1535" t="s">
        <v>63</v>
      </c>
      <c r="M1535" t="s">
        <v>37</v>
      </c>
      <c r="N1535" t="s">
        <v>38</v>
      </c>
      <c r="O1535">
        <v>750</v>
      </c>
      <c r="P1535">
        <v>19</v>
      </c>
      <c r="Q1535" t="s">
        <v>90</v>
      </c>
      <c r="R1535" t="s">
        <v>55</v>
      </c>
      <c r="S1535" t="s">
        <v>85</v>
      </c>
      <c r="T1535">
        <v>2021</v>
      </c>
      <c r="U1535" t="s">
        <v>57</v>
      </c>
    </row>
    <row r="1536" spans="1:21" x14ac:dyDescent="0.35">
      <c r="A1536" s="1">
        <v>46126</v>
      </c>
      <c r="B1536" t="s">
        <v>58</v>
      </c>
      <c r="C1536" t="s">
        <v>59</v>
      </c>
      <c r="D1536" t="s">
        <v>60</v>
      </c>
      <c r="E1536">
        <v>193</v>
      </c>
      <c r="F1536">
        <v>5</v>
      </c>
      <c r="G1536">
        <f t="shared" si="69"/>
        <v>965</v>
      </c>
      <c r="H1536">
        <v>3</v>
      </c>
      <c r="I1536">
        <f t="shared" si="70"/>
        <v>579</v>
      </c>
      <c r="J1536">
        <f t="shared" si="71"/>
        <v>386</v>
      </c>
      <c r="K1536" t="s">
        <v>35</v>
      </c>
      <c r="L1536" t="s">
        <v>25</v>
      </c>
      <c r="M1536" t="s">
        <v>37</v>
      </c>
      <c r="N1536" t="s">
        <v>27</v>
      </c>
      <c r="O1536">
        <v>761</v>
      </c>
      <c r="P1536">
        <v>193</v>
      </c>
      <c r="Q1536" t="s">
        <v>39</v>
      </c>
      <c r="R1536" t="s">
        <v>40</v>
      </c>
      <c r="S1536" t="s">
        <v>41</v>
      </c>
      <c r="T1536">
        <v>2024</v>
      </c>
      <c r="U1536" t="s">
        <v>109</v>
      </c>
    </row>
    <row r="1537" spans="1:21" x14ac:dyDescent="0.35">
      <c r="A1537" s="1">
        <v>46127</v>
      </c>
      <c r="B1537" t="s">
        <v>80</v>
      </c>
      <c r="C1537" t="s">
        <v>81</v>
      </c>
      <c r="D1537" t="s">
        <v>82</v>
      </c>
      <c r="E1537">
        <v>427</v>
      </c>
      <c r="F1537">
        <v>2.5</v>
      </c>
      <c r="G1537">
        <f t="shared" si="69"/>
        <v>1067.5</v>
      </c>
      <c r="H1537">
        <v>1.5</v>
      </c>
      <c r="I1537">
        <f t="shared" si="70"/>
        <v>640.5</v>
      </c>
      <c r="J1537">
        <f t="shared" si="71"/>
        <v>427</v>
      </c>
      <c r="K1537" t="s">
        <v>24</v>
      </c>
      <c r="L1537" t="s">
        <v>36</v>
      </c>
      <c r="M1537" t="s">
        <v>61</v>
      </c>
      <c r="N1537" t="s">
        <v>43</v>
      </c>
      <c r="O1537">
        <v>805</v>
      </c>
      <c r="P1537">
        <v>427</v>
      </c>
      <c r="Q1537" t="s">
        <v>54</v>
      </c>
      <c r="R1537" t="s">
        <v>55</v>
      </c>
      <c r="S1537" t="s">
        <v>56</v>
      </c>
      <c r="T1537">
        <v>2023</v>
      </c>
      <c r="U1537" t="s">
        <v>97</v>
      </c>
    </row>
    <row r="1538" spans="1:21" x14ac:dyDescent="0.35">
      <c r="A1538" s="1">
        <v>46128</v>
      </c>
      <c r="B1538" t="s">
        <v>48</v>
      </c>
      <c r="C1538" t="s">
        <v>49</v>
      </c>
      <c r="D1538" t="s">
        <v>50</v>
      </c>
      <c r="E1538">
        <v>90</v>
      </c>
      <c r="F1538">
        <v>150</v>
      </c>
      <c r="G1538">
        <f t="shared" si="69"/>
        <v>13500</v>
      </c>
      <c r="H1538">
        <v>100</v>
      </c>
      <c r="I1538">
        <f t="shared" si="70"/>
        <v>9000</v>
      </c>
      <c r="J1538">
        <f t="shared" si="71"/>
        <v>4500</v>
      </c>
      <c r="K1538" t="s">
        <v>24</v>
      </c>
      <c r="L1538" t="s">
        <v>25</v>
      </c>
      <c r="M1538" t="s">
        <v>37</v>
      </c>
      <c r="N1538" t="s">
        <v>38</v>
      </c>
      <c r="O1538">
        <v>766</v>
      </c>
      <c r="P1538">
        <v>90</v>
      </c>
      <c r="Q1538" t="s">
        <v>101</v>
      </c>
      <c r="R1538" t="s">
        <v>101</v>
      </c>
      <c r="S1538" t="s">
        <v>102</v>
      </c>
      <c r="T1538">
        <v>2024</v>
      </c>
      <c r="U1538" t="s">
        <v>57</v>
      </c>
    </row>
    <row r="1539" spans="1:21" x14ac:dyDescent="0.35">
      <c r="A1539" s="1">
        <v>46129</v>
      </c>
      <c r="B1539" t="s">
        <v>48</v>
      </c>
      <c r="C1539" t="s">
        <v>49</v>
      </c>
      <c r="D1539" t="s">
        <v>50</v>
      </c>
      <c r="E1539">
        <v>337</v>
      </c>
      <c r="F1539">
        <v>150</v>
      </c>
      <c r="G1539">
        <f t="shared" ref="G1539:G1602" si="72">E1539*F1539</f>
        <v>50550</v>
      </c>
      <c r="H1539">
        <v>100</v>
      </c>
      <c r="I1539">
        <f t="shared" ref="I1539:I1602" si="73">E1539*H1539</f>
        <v>33700</v>
      </c>
      <c r="J1539">
        <f t="shared" ref="J1539:J1602" si="74">G1539-I1539</f>
        <v>16850</v>
      </c>
      <c r="K1539" t="s">
        <v>24</v>
      </c>
      <c r="L1539" t="s">
        <v>36</v>
      </c>
      <c r="M1539" t="s">
        <v>37</v>
      </c>
      <c r="N1539" t="s">
        <v>38</v>
      </c>
      <c r="O1539">
        <v>582</v>
      </c>
      <c r="P1539">
        <v>337</v>
      </c>
      <c r="Q1539" t="s">
        <v>51</v>
      </c>
      <c r="R1539" t="s">
        <v>45</v>
      </c>
      <c r="S1539" t="s">
        <v>52</v>
      </c>
      <c r="T1539">
        <v>2021</v>
      </c>
      <c r="U1539" t="s">
        <v>31</v>
      </c>
    </row>
    <row r="1540" spans="1:21" x14ac:dyDescent="0.35">
      <c r="A1540" s="1">
        <v>46130</v>
      </c>
      <c r="B1540" t="s">
        <v>80</v>
      </c>
      <c r="C1540" t="s">
        <v>81</v>
      </c>
      <c r="D1540" t="s">
        <v>82</v>
      </c>
      <c r="E1540">
        <v>361</v>
      </c>
      <c r="F1540">
        <v>2.5</v>
      </c>
      <c r="G1540">
        <f t="shared" si="72"/>
        <v>902.5</v>
      </c>
      <c r="H1540">
        <v>1.5</v>
      </c>
      <c r="I1540">
        <f t="shared" si="73"/>
        <v>541.5</v>
      </c>
      <c r="J1540">
        <f t="shared" si="74"/>
        <v>361</v>
      </c>
      <c r="K1540" t="s">
        <v>24</v>
      </c>
      <c r="L1540" t="s">
        <v>25</v>
      </c>
      <c r="M1540" t="s">
        <v>61</v>
      </c>
      <c r="N1540" t="s">
        <v>27</v>
      </c>
      <c r="O1540">
        <v>633</v>
      </c>
      <c r="P1540">
        <v>361</v>
      </c>
      <c r="Q1540" t="s">
        <v>70</v>
      </c>
      <c r="R1540" t="s">
        <v>71</v>
      </c>
      <c r="S1540" t="s">
        <v>72</v>
      </c>
      <c r="T1540">
        <v>2021</v>
      </c>
      <c r="U1540" t="s">
        <v>91</v>
      </c>
    </row>
    <row r="1541" spans="1:21" x14ac:dyDescent="0.35">
      <c r="A1541" s="1">
        <v>46131</v>
      </c>
      <c r="B1541" t="s">
        <v>48</v>
      </c>
      <c r="C1541" t="s">
        <v>49</v>
      </c>
      <c r="D1541" t="s">
        <v>50</v>
      </c>
      <c r="E1541">
        <v>303</v>
      </c>
      <c r="F1541">
        <v>150</v>
      </c>
      <c r="G1541">
        <f t="shared" si="72"/>
        <v>45450</v>
      </c>
      <c r="H1541">
        <v>100</v>
      </c>
      <c r="I1541">
        <f t="shared" si="73"/>
        <v>30300</v>
      </c>
      <c r="J1541">
        <f t="shared" si="74"/>
        <v>15150</v>
      </c>
      <c r="K1541" t="s">
        <v>42</v>
      </c>
      <c r="L1541" t="s">
        <v>63</v>
      </c>
      <c r="M1541" t="s">
        <v>26</v>
      </c>
      <c r="N1541" t="s">
        <v>27</v>
      </c>
      <c r="O1541">
        <v>898</v>
      </c>
      <c r="P1541">
        <v>303</v>
      </c>
      <c r="Q1541" t="s">
        <v>54</v>
      </c>
      <c r="R1541" t="s">
        <v>55</v>
      </c>
      <c r="S1541" t="s">
        <v>56</v>
      </c>
      <c r="T1541">
        <v>2024</v>
      </c>
      <c r="U1541" t="s">
        <v>97</v>
      </c>
    </row>
    <row r="1542" spans="1:21" x14ac:dyDescent="0.35">
      <c r="A1542" s="1">
        <v>46132</v>
      </c>
      <c r="B1542" t="s">
        <v>21</v>
      </c>
      <c r="C1542" t="s">
        <v>22</v>
      </c>
      <c r="D1542" t="s">
        <v>23</v>
      </c>
      <c r="E1542">
        <v>145</v>
      </c>
      <c r="F1542">
        <v>8</v>
      </c>
      <c r="G1542">
        <f t="shared" si="72"/>
        <v>1160</v>
      </c>
      <c r="H1542">
        <v>5</v>
      </c>
      <c r="I1542">
        <f t="shared" si="73"/>
        <v>725</v>
      </c>
      <c r="J1542">
        <f t="shared" si="74"/>
        <v>435</v>
      </c>
      <c r="K1542" t="s">
        <v>35</v>
      </c>
      <c r="L1542" t="s">
        <v>36</v>
      </c>
      <c r="M1542" t="s">
        <v>61</v>
      </c>
      <c r="N1542" t="s">
        <v>27</v>
      </c>
      <c r="O1542">
        <v>672</v>
      </c>
      <c r="P1542">
        <v>145</v>
      </c>
      <c r="Q1542" t="s">
        <v>28</v>
      </c>
      <c r="R1542" t="s">
        <v>29</v>
      </c>
      <c r="S1542" t="s">
        <v>30</v>
      </c>
      <c r="T1542">
        <v>2021</v>
      </c>
      <c r="U1542" t="s">
        <v>53</v>
      </c>
    </row>
    <row r="1543" spans="1:21" x14ac:dyDescent="0.35">
      <c r="A1543" s="1">
        <v>46133</v>
      </c>
      <c r="B1543" t="s">
        <v>21</v>
      </c>
      <c r="C1543" t="s">
        <v>22</v>
      </c>
      <c r="D1543" t="s">
        <v>23</v>
      </c>
      <c r="E1543">
        <v>418</v>
      </c>
      <c r="F1543">
        <v>8</v>
      </c>
      <c r="G1543">
        <f t="shared" si="72"/>
        <v>3344</v>
      </c>
      <c r="H1543">
        <v>5</v>
      </c>
      <c r="I1543">
        <f t="shared" si="73"/>
        <v>2090</v>
      </c>
      <c r="J1543">
        <f t="shared" si="74"/>
        <v>1254</v>
      </c>
      <c r="K1543" t="s">
        <v>42</v>
      </c>
      <c r="L1543" t="s">
        <v>36</v>
      </c>
      <c r="M1543" t="s">
        <v>61</v>
      </c>
      <c r="N1543" t="s">
        <v>38</v>
      </c>
      <c r="O1543">
        <v>554</v>
      </c>
      <c r="P1543">
        <v>418</v>
      </c>
      <c r="Q1543" t="s">
        <v>44</v>
      </c>
      <c r="R1543" t="s">
        <v>45</v>
      </c>
      <c r="S1543" t="s">
        <v>46</v>
      </c>
      <c r="T1543">
        <v>2024</v>
      </c>
      <c r="U1543" t="s">
        <v>86</v>
      </c>
    </row>
    <row r="1544" spans="1:21" x14ac:dyDescent="0.35">
      <c r="A1544" s="1">
        <v>46134</v>
      </c>
      <c r="B1544" t="s">
        <v>80</v>
      </c>
      <c r="C1544" t="s">
        <v>81</v>
      </c>
      <c r="D1544" t="s">
        <v>82</v>
      </c>
      <c r="E1544">
        <v>45</v>
      </c>
      <c r="F1544">
        <v>2.5</v>
      </c>
      <c r="G1544">
        <f t="shared" si="72"/>
        <v>112.5</v>
      </c>
      <c r="H1544">
        <v>1.5</v>
      </c>
      <c r="I1544">
        <f t="shared" si="73"/>
        <v>67.5</v>
      </c>
      <c r="J1544">
        <f t="shared" si="74"/>
        <v>45</v>
      </c>
      <c r="K1544" t="s">
        <v>24</v>
      </c>
      <c r="L1544" t="s">
        <v>63</v>
      </c>
      <c r="M1544" t="s">
        <v>61</v>
      </c>
      <c r="N1544" t="s">
        <v>38</v>
      </c>
      <c r="O1544">
        <v>655</v>
      </c>
      <c r="P1544">
        <v>45</v>
      </c>
      <c r="Q1544" t="s">
        <v>106</v>
      </c>
      <c r="R1544" t="s">
        <v>107</v>
      </c>
      <c r="S1544" t="s">
        <v>108</v>
      </c>
      <c r="T1544">
        <v>2023</v>
      </c>
      <c r="U1544" t="s">
        <v>86</v>
      </c>
    </row>
    <row r="1545" spans="1:21" x14ac:dyDescent="0.35">
      <c r="A1545" s="1">
        <v>46135</v>
      </c>
      <c r="B1545" t="s">
        <v>98</v>
      </c>
      <c r="C1545" t="s">
        <v>99</v>
      </c>
      <c r="D1545" t="s">
        <v>100</v>
      </c>
      <c r="E1545">
        <v>137</v>
      </c>
      <c r="F1545">
        <v>6</v>
      </c>
      <c r="G1545">
        <f t="shared" si="72"/>
        <v>822</v>
      </c>
      <c r="H1545">
        <v>4</v>
      </c>
      <c r="I1545">
        <f t="shared" si="73"/>
        <v>548</v>
      </c>
      <c r="J1545">
        <f t="shared" si="74"/>
        <v>274</v>
      </c>
      <c r="K1545" t="s">
        <v>42</v>
      </c>
      <c r="L1545" t="s">
        <v>25</v>
      </c>
      <c r="M1545" t="s">
        <v>61</v>
      </c>
      <c r="N1545" t="s">
        <v>43</v>
      </c>
      <c r="O1545">
        <v>925</v>
      </c>
      <c r="P1545">
        <v>137</v>
      </c>
      <c r="Q1545" t="s">
        <v>92</v>
      </c>
      <c r="R1545" t="s">
        <v>45</v>
      </c>
      <c r="S1545" t="s">
        <v>93</v>
      </c>
      <c r="T1545">
        <v>2023</v>
      </c>
      <c r="U1545" t="s">
        <v>109</v>
      </c>
    </row>
    <row r="1546" spans="1:21" x14ac:dyDescent="0.35">
      <c r="A1546" s="1">
        <v>46136</v>
      </c>
      <c r="B1546" t="s">
        <v>32</v>
      </c>
      <c r="C1546" t="s">
        <v>33</v>
      </c>
      <c r="D1546" t="s">
        <v>34</v>
      </c>
      <c r="E1546">
        <v>71</v>
      </c>
      <c r="F1546">
        <v>20</v>
      </c>
      <c r="G1546">
        <f t="shared" si="72"/>
        <v>1420</v>
      </c>
      <c r="H1546">
        <v>12</v>
      </c>
      <c r="I1546">
        <f t="shared" si="73"/>
        <v>852</v>
      </c>
      <c r="J1546">
        <f t="shared" si="74"/>
        <v>568</v>
      </c>
      <c r="K1546" t="s">
        <v>24</v>
      </c>
      <c r="L1546" t="s">
        <v>63</v>
      </c>
      <c r="M1546" t="s">
        <v>37</v>
      </c>
      <c r="N1546" t="s">
        <v>43</v>
      </c>
      <c r="O1546">
        <v>592</v>
      </c>
      <c r="P1546">
        <v>71</v>
      </c>
      <c r="Q1546" t="s">
        <v>70</v>
      </c>
      <c r="R1546" t="s">
        <v>71</v>
      </c>
      <c r="S1546" t="s">
        <v>72</v>
      </c>
      <c r="T1546">
        <v>2021</v>
      </c>
      <c r="U1546" t="s">
        <v>91</v>
      </c>
    </row>
    <row r="1547" spans="1:21" x14ac:dyDescent="0.35">
      <c r="A1547" s="1">
        <v>46137</v>
      </c>
      <c r="B1547" t="s">
        <v>32</v>
      </c>
      <c r="C1547" t="s">
        <v>33</v>
      </c>
      <c r="D1547" t="s">
        <v>34</v>
      </c>
      <c r="E1547">
        <v>412</v>
      </c>
      <c r="F1547">
        <v>20</v>
      </c>
      <c r="G1547">
        <f t="shared" si="72"/>
        <v>8240</v>
      </c>
      <c r="H1547">
        <v>12</v>
      </c>
      <c r="I1547">
        <f t="shared" si="73"/>
        <v>4944</v>
      </c>
      <c r="J1547">
        <f t="shared" si="74"/>
        <v>3296</v>
      </c>
      <c r="K1547" t="s">
        <v>24</v>
      </c>
      <c r="L1547" t="s">
        <v>25</v>
      </c>
      <c r="M1547" t="s">
        <v>37</v>
      </c>
      <c r="N1547" t="s">
        <v>27</v>
      </c>
      <c r="O1547">
        <v>924</v>
      </c>
      <c r="P1547">
        <v>412</v>
      </c>
      <c r="Q1547" t="s">
        <v>77</v>
      </c>
      <c r="R1547" t="s">
        <v>78</v>
      </c>
      <c r="S1547" t="s">
        <v>79</v>
      </c>
      <c r="T1547">
        <v>2021</v>
      </c>
      <c r="U1547" t="s">
        <v>31</v>
      </c>
    </row>
    <row r="1548" spans="1:21" x14ac:dyDescent="0.35">
      <c r="A1548" s="1">
        <v>46138</v>
      </c>
      <c r="B1548" t="s">
        <v>21</v>
      </c>
      <c r="C1548" t="s">
        <v>22</v>
      </c>
      <c r="D1548" t="s">
        <v>23</v>
      </c>
      <c r="E1548">
        <v>181</v>
      </c>
      <c r="F1548">
        <v>8</v>
      </c>
      <c r="G1548">
        <f t="shared" si="72"/>
        <v>1448</v>
      </c>
      <c r="H1548">
        <v>5</v>
      </c>
      <c r="I1548">
        <f t="shared" si="73"/>
        <v>905</v>
      </c>
      <c r="J1548">
        <f t="shared" si="74"/>
        <v>543</v>
      </c>
      <c r="K1548" t="s">
        <v>42</v>
      </c>
      <c r="L1548" t="s">
        <v>25</v>
      </c>
      <c r="M1548" t="s">
        <v>37</v>
      </c>
      <c r="N1548" t="s">
        <v>38</v>
      </c>
      <c r="O1548">
        <v>795</v>
      </c>
      <c r="P1548">
        <v>181</v>
      </c>
      <c r="Q1548" t="s">
        <v>103</v>
      </c>
      <c r="R1548" t="s">
        <v>68</v>
      </c>
      <c r="S1548" t="s">
        <v>104</v>
      </c>
      <c r="T1548">
        <v>2022</v>
      </c>
      <c r="U1548" t="s">
        <v>96</v>
      </c>
    </row>
    <row r="1549" spans="1:21" x14ac:dyDescent="0.35">
      <c r="A1549" s="1">
        <v>46139</v>
      </c>
      <c r="B1549" t="s">
        <v>58</v>
      </c>
      <c r="C1549" t="s">
        <v>59</v>
      </c>
      <c r="D1549" t="s">
        <v>60</v>
      </c>
      <c r="E1549">
        <v>422</v>
      </c>
      <c r="F1549">
        <v>5</v>
      </c>
      <c r="G1549">
        <f t="shared" si="72"/>
        <v>2110</v>
      </c>
      <c r="H1549">
        <v>3</v>
      </c>
      <c r="I1549">
        <f t="shared" si="73"/>
        <v>1266</v>
      </c>
      <c r="J1549">
        <f t="shared" si="74"/>
        <v>844</v>
      </c>
      <c r="K1549" t="s">
        <v>24</v>
      </c>
      <c r="L1549" t="s">
        <v>36</v>
      </c>
      <c r="M1549" t="s">
        <v>26</v>
      </c>
      <c r="N1549" t="s">
        <v>38</v>
      </c>
      <c r="O1549">
        <v>803</v>
      </c>
      <c r="P1549">
        <v>422</v>
      </c>
      <c r="Q1549" t="s">
        <v>70</v>
      </c>
      <c r="R1549" t="s">
        <v>71</v>
      </c>
      <c r="S1549" t="s">
        <v>72</v>
      </c>
      <c r="T1549">
        <v>2024</v>
      </c>
      <c r="U1549" t="s">
        <v>96</v>
      </c>
    </row>
    <row r="1550" spans="1:21" x14ac:dyDescent="0.35">
      <c r="A1550" s="1">
        <v>46140</v>
      </c>
      <c r="B1550" t="s">
        <v>32</v>
      </c>
      <c r="C1550" t="s">
        <v>33</v>
      </c>
      <c r="D1550" t="s">
        <v>34</v>
      </c>
      <c r="E1550">
        <v>218</v>
      </c>
      <c r="F1550">
        <v>20</v>
      </c>
      <c r="G1550">
        <f t="shared" si="72"/>
        <v>4360</v>
      </c>
      <c r="H1550">
        <v>12</v>
      </c>
      <c r="I1550">
        <f t="shared" si="73"/>
        <v>2616</v>
      </c>
      <c r="J1550">
        <f t="shared" si="74"/>
        <v>1744</v>
      </c>
      <c r="K1550" t="s">
        <v>42</v>
      </c>
      <c r="L1550" t="s">
        <v>25</v>
      </c>
      <c r="M1550" t="s">
        <v>26</v>
      </c>
      <c r="N1550" t="s">
        <v>27</v>
      </c>
      <c r="O1550">
        <v>549</v>
      </c>
      <c r="P1550">
        <v>218</v>
      </c>
      <c r="Q1550" t="s">
        <v>64</v>
      </c>
      <c r="R1550" t="s">
        <v>29</v>
      </c>
      <c r="S1550" t="s">
        <v>65</v>
      </c>
      <c r="T1550">
        <v>2022</v>
      </c>
      <c r="U1550" t="s">
        <v>53</v>
      </c>
    </row>
    <row r="1551" spans="1:21" x14ac:dyDescent="0.35">
      <c r="A1551" s="1">
        <v>46141</v>
      </c>
      <c r="B1551" t="s">
        <v>98</v>
      </c>
      <c r="C1551" t="s">
        <v>99</v>
      </c>
      <c r="D1551" t="s">
        <v>100</v>
      </c>
      <c r="E1551">
        <v>500</v>
      </c>
      <c r="F1551">
        <v>6</v>
      </c>
      <c r="G1551">
        <f t="shared" si="72"/>
        <v>3000</v>
      </c>
      <c r="H1551">
        <v>4</v>
      </c>
      <c r="I1551">
        <f t="shared" si="73"/>
        <v>2000</v>
      </c>
      <c r="J1551">
        <f t="shared" si="74"/>
        <v>1000</v>
      </c>
      <c r="K1551" t="s">
        <v>42</v>
      </c>
      <c r="L1551" t="s">
        <v>73</v>
      </c>
      <c r="M1551" t="s">
        <v>26</v>
      </c>
      <c r="N1551" t="s">
        <v>38</v>
      </c>
      <c r="O1551">
        <v>878</v>
      </c>
      <c r="P1551">
        <v>500</v>
      </c>
      <c r="Q1551" t="s">
        <v>51</v>
      </c>
      <c r="R1551" t="s">
        <v>45</v>
      </c>
      <c r="S1551" t="s">
        <v>52</v>
      </c>
      <c r="T1551">
        <v>2022</v>
      </c>
      <c r="U1551" t="s">
        <v>31</v>
      </c>
    </row>
    <row r="1552" spans="1:21" x14ac:dyDescent="0.35">
      <c r="A1552" s="1">
        <v>46142</v>
      </c>
      <c r="B1552" t="s">
        <v>58</v>
      </c>
      <c r="C1552" t="s">
        <v>59</v>
      </c>
      <c r="D1552" t="s">
        <v>60</v>
      </c>
      <c r="E1552">
        <v>485</v>
      </c>
      <c r="F1552">
        <v>5</v>
      </c>
      <c r="G1552">
        <f t="shared" si="72"/>
        <v>2425</v>
      </c>
      <c r="H1552">
        <v>3</v>
      </c>
      <c r="I1552">
        <f t="shared" si="73"/>
        <v>1455</v>
      </c>
      <c r="J1552">
        <f t="shared" si="74"/>
        <v>970</v>
      </c>
      <c r="K1552" t="s">
        <v>42</v>
      </c>
      <c r="L1552" t="s">
        <v>63</v>
      </c>
      <c r="M1552" t="s">
        <v>61</v>
      </c>
      <c r="N1552" t="s">
        <v>43</v>
      </c>
      <c r="O1552">
        <v>955</v>
      </c>
      <c r="P1552">
        <v>485</v>
      </c>
      <c r="Q1552" t="s">
        <v>113</v>
      </c>
      <c r="R1552" t="s">
        <v>114</v>
      </c>
      <c r="S1552" t="s">
        <v>115</v>
      </c>
      <c r="T1552">
        <v>2020</v>
      </c>
      <c r="U1552" t="s">
        <v>57</v>
      </c>
    </row>
    <row r="1553" spans="1:21" x14ac:dyDescent="0.35">
      <c r="A1553" s="1">
        <v>46143</v>
      </c>
      <c r="B1553" t="s">
        <v>21</v>
      </c>
      <c r="C1553" t="s">
        <v>22</v>
      </c>
      <c r="D1553" t="s">
        <v>23</v>
      </c>
      <c r="E1553">
        <v>476</v>
      </c>
      <c r="F1553">
        <v>8</v>
      </c>
      <c r="G1553">
        <f t="shared" si="72"/>
        <v>3808</v>
      </c>
      <c r="H1553">
        <v>5</v>
      </c>
      <c r="I1553">
        <f t="shared" si="73"/>
        <v>2380</v>
      </c>
      <c r="J1553">
        <f t="shared" si="74"/>
        <v>1428</v>
      </c>
      <c r="K1553" t="s">
        <v>42</v>
      </c>
      <c r="L1553" t="s">
        <v>36</v>
      </c>
      <c r="M1553" t="s">
        <v>37</v>
      </c>
      <c r="N1553" t="s">
        <v>27</v>
      </c>
      <c r="O1553">
        <v>751</v>
      </c>
      <c r="P1553">
        <v>476</v>
      </c>
      <c r="Q1553" t="s">
        <v>74</v>
      </c>
      <c r="R1553" t="s">
        <v>75</v>
      </c>
      <c r="S1553" t="s">
        <v>76</v>
      </c>
      <c r="T1553">
        <v>2021</v>
      </c>
      <c r="U1553" t="s">
        <v>53</v>
      </c>
    </row>
    <row r="1554" spans="1:21" x14ac:dyDescent="0.35">
      <c r="A1554" s="1">
        <v>46144</v>
      </c>
      <c r="B1554" t="s">
        <v>21</v>
      </c>
      <c r="C1554" t="s">
        <v>22</v>
      </c>
      <c r="D1554" t="s">
        <v>23</v>
      </c>
      <c r="E1554">
        <v>317</v>
      </c>
      <c r="F1554">
        <v>8</v>
      </c>
      <c r="G1554">
        <f t="shared" si="72"/>
        <v>2536</v>
      </c>
      <c r="H1554">
        <v>5</v>
      </c>
      <c r="I1554">
        <f t="shared" si="73"/>
        <v>1585</v>
      </c>
      <c r="J1554">
        <f t="shared" si="74"/>
        <v>951</v>
      </c>
      <c r="K1554" t="s">
        <v>35</v>
      </c>
      <c r="L1554" t="s">
        <v>25</v>
      </c>
      <c r="M1554" t="s">
        <v>37</v>
      </c>
      <c r="N1554" t="s">
        <v>38</v>
      </c>
      <c r="O1554">
        <v>695</v>
      </c>
      <c r="P1554">
        <v>317</v>
      </c>
      <c r="Q1554" t="s">
        <v>74</v>
      </c>
      <c r="R1554" t="s">
        <v>75</v>
      </c>
      <c r="S1554" t="s">
        <v>76</v>
      </c>
      <c r="T1554">
        <v>2023</v>
      </c>
      <c r="U1554" t="s">
        <v>86</v>
      </c>
    </row>
    <row r="1555" spans="1:21" x14ac:dyDescent="0.35">
      <c r="A1555" s="1">
        <v>46145</v>
      </c>
      <c r="B1555" t="s">
        <v>98</v>
      </c>
      <c r="C1555" t="s">
        <v>99</v>
      </c>
      <c r="D1555" t="s">
        <v>100</v>
      </c>
      <c r="E1555">
        <v>223</v>
      </c>
      <c r="F1555">
        <v>6</v>
      </c>
      <c r="G1555">
        <f t="shared" si="72"/>
        <v>1338</v>
      </c>
      <c r="H1555">
        <v>4</v>
      </c>
      <c r="I1555">
        <f t="shared" si="73"/>
        <v>892</v>
      </c>
      <c r="J1555">
        <f t="shared" si="74"/>
        <v>446</v>
      </c>
      <c r="K1555" t="s">
        <v>42</v>
      </c>
      <c r="L1555" t="s">
        <v>36</v>
      </c>
      <c r="M1555" t="s">
        <v>37</v>
      </c>
      <c r="N1555" t="s">
        <v>27</v>
      </c>
      <c r="O1555">
        <v>792</v>
      </c>
      <c r="P1555">
        <v>223</v>
      </c>
      <c r="Q1555" t="s">
        <v>67</v>
      </c>
      <c r="R1555" t="s">
        <v>68</v>
      </c>
      <c r="S1555" t="s">
        <v>69</v>
      </c>
      <c r="T1555">
        <v>2020</v>
      </c>
      <c r="U1555" t="s">
        <v>105</v>
      </c>
    </row>
    <row r="1556" spans="1:21" x14ac:dyDescent="0.35">
      <c r="A1556" s="1">
        <v>46146</v>
      </c>
      <c r="B1556" t="s">
        <v>98</v>
      </c>
      <c r="C1556" t="s">
        <v>99</v>
      </c>
      <c r="D1556" t="s">
        <v>100</v>
      </c>
      <c r="E1556">
        <v>64</v>
      </c>
      <c r="F1556">
        <v>6</v>
      </c>
      <c r="G1556">
        <f t="shared" si="72"/>
        <v>384</v>
      </c>
      <c r="H1556">
        <v>4</v>
      </c>
      <c r="I1556">
        <f t="shared" si="73"/>
        <v>256</v>
      </c>
      <c r="J1556">
        <f t="shared" si="74"/>
        <v>128</v>
      </c>
      <c r="K1556" t="s">
        <v>35</v>
      </c>
      <c r="L1556" t="s">
        <v>73</v>
      </c>
      <c r="M1556" t="s">
        <v>26</v>
      </c>
      <c r="N1556" t="s">
        <v>43</v>
      </c>
      <c r="O1556">
        <v>803</v>
      </c>
      <c r="P1556">
        <v>64</v>
      </c>
      <c r="Q1556" t="s">
        <v>39</v>
      </c>
      <c r="R1556" t="s">
        <v>40</v>
      </c>
      <c r="S1556" t="s">
        <v>41</v>
      </c>
      <c r="T1556">
        <v>2020</v>
      </c>
      <c r="U1556" t="s">
        <v>97</v>
      </c>
    </row>
    <row r="1557" spans="1:21" x14ac:dyDescent="0.35">
      <c r="A1557" s="1">
        <v>46147</v>
      </c>
      <c r="B1557" t="s">
        <v>21</v>
      </c>
      <c r="C1557" t="s">
        <v>22</v>
      </c>
      <c r="D1557" t="s">
        <v>23</v>
      </c>
      <c r="E1557">
        <v>26</v>
      </c>
      <c r="F1557">
        <v>8</v>
      </c>
      <c r="G1557">
        <f t="shared" si="72"/>
        <v>208</v>
      </c>
      <c r="H1557">
        <v>5</v>
      </c>
      <c r="I1557">
        <f t="shared" si="73"/>
        <v>130</v>
      </c>
      <c r="J1557">
        <f t="shared" si="74"/>
        <v>78</v>
      </c>
      <c r="K1557" t="s">
        <v>42</v>
      </c>
      <c r="L1557" t="s">
        <v>25</v>
      </c>
      <c r="M1557" t="s">
        <v>37</v>
      </c>
      <c r="N1557" t="s">
        <v>38</v>
      </c>
      <c r="O1557">
        <v>647</v>
      </c>
      <c r="P1557">
        <v>26</v>
      </c>
      <c r="Q1557" t="s">
        <v>64</v>
      </c>
      <c r="R1557" t="s">
        <v>29</v>
      </c>
      <c r="S1557" t="s">
        <v>65</v>
      </c>
      <c r="T1557">
        <v>2022</v>
      </c>
      <c r="U1557" t="s">
        <v>105</v>
      </c>
    </row>
    <row r="1558" spans="1:21" x14ac:dyDescent="0.35">
      <c r="A1558" s="1">
        <v>46148</v>
      </c>
      <c r="B1558" t="s">
        <v>58</v>
      </c>
      <c r="C1558" t="s">
        <v>59</v>
      </c>
      <c r="D1558" t="s">
        <v>60</v>
      </c>
      <c r="E1558">
        <v>146</v>
      </c>
      <c r="F1558">
        <v>5</v>
      </c>
      <c r="G1558">
        <f t="shared" si="72"/>
        <v>730</v>
      </c>
      <c r="H1558">
        <v>3</v>
      </c>
      <c r="I1558">
        <f t="shared" si="73"/>
        <v>438</v>
      </c>
      <c r="J1558">
        <f t="shared" si="74"/>
        <v>292</v>
      </c>
      <c r="K1558" t="s">
        <v>35</v>
      </c>
      <c r="L1558" t="s">
        <v>25</v>
      </c>
      <c r="M1558" t="s">
        <v>37</v>
      </c>
      <c r="N1558" t="s">
        <v>43</v>
      </c>
      <c r="O1558">
        <v>863</v>
      </c>
      <c r="P1558">
        <v>146</v>
      </c>
      <c r="Q1558" t="s">
        <v>28</v>
      </c>
      <c r="R1558" t="s">
        <v>29</v>
      </c>
      <c r="S1558" t="s">
        <v>30</v>
      </c>
      <c r="T1558">
        <v>2021</v>
      </c>
      <c r="U1558" t="s">
        <v>105</v>
      </c>
    </row>
    <row r="1559" spans="1:21" x14ac:dyDescent="0.35">
      <c r="A1559" s="1">
        <v>46149</v>
      </c>
      <c r="B1559" t="s">
        <v>48</v>
      </c>
      <c r="C1559" t="s">
        <v>49</v>
      </c>
      <c r="D1559" t="s">
        <v>50</v>
      </c>
      <c r="E1559">
        <v>31</v>
      </c>
      <c r="F1559">
        <v>150</v>
      </c>
      <c r="G1559">
        <f t="shared" si="72"/>
        <v>4650</v>
      </c>
      <c r="H1559">
        <v>100</v>
      </c>
      <c r="I1559">
        <f t="shared" si="73"/>
        <v>3100</v>
      </c>
      <c r="J1559">
        <f t="shared" si="74"/>
        <v>1550</v>
      </c>
      <c r="K1559" t="s">
        <v>42</v>
      </c>
      <c r="L1559" t="s">
        <v>73</v>
      </c>
      <c r="M1559" t="s">
        <v>37</v>
      </c>
      <c r="N1559" t="s">
        <v>43</v>
      </c>
      <c r="O1559">
        <v>632</v>
      </c>
      <c r="P1559">
        <v>31</v>
      </c>
      <c r="Q1559" t="s">
        <v>51</v>
      </c>
      <c r="R1559" t="s">
        <v>45</v>
      </c>
      <c r="S1559" t="s">
        <v>52</v>
      </c>
      <c r="T1559">
        <v>2022</v>
      </c>
      <c r="U1559" t="s">
        <v>62</v>
      </c>
    </row>
    <row r="1560" spans="1:21" x14ac:dyDescent="0.35">
      <c r="A1560" s="1">
        <v>46150</v>
      </c>
      <c r="B1560" t="s">
        <v>58</v>
      </c>
      <c r="C1560" t="s">
        <v>59</v>
      </c>
      <c r="D1560" t="s">
        <v>60</v>
      </c>
      <c r="E1560">
        <v>49</v>
      </c>
      <c r="F1560">
        <v>5</v>
      </c>
      <c r="G1560">
        <f t="shared" si="72"/>
        <v>245</v>
      </c>
      <c r="H1560">
        <v>3</v>
      </c>
      <c r="I1560">
        <f t="shared" si="73"/>
        <v>147</v>
      </c>
      <c r="J1560">
        <f t="shared" si="74"/>
        <v>98</v>
      </c>
      <c r="K1560" t="s">
        <v>24</v>
      </c>
      <c r="L1560" t="s">
        <v>25</v>
      </c>
      <c r="M1560" t="s">
        <v>61</v>
      </c>
      <c r="N1560" t="s">
        <v>43</v>
      </c>
      <c r="O1560">
        <v>730</v>
      </c>
      <c r="P1560">
        <v>49</v>
      </c>
      <c r="Q1560" t="s">
        <v>92</v>
      </c>
      <c r="R1560" t="s">
        <v>45</v>
      </c>
      <c r="S1560" t="s">
        <v>93</v>
      </c>
      <c r="T1560">
        <v>2020</v>
      </c>
      <c r="U1560" t="s">
        <v>109</v>
      </c>
    </row>
    <row r="1561" spans="1:21" x14ac:dyDescent="0.35">
      <c r="A1561" s="1">
        <v>46151</v>
      </c>
      <c r="B1561" t="s">
        <v>80</v>
      </c>
      <c r="C1561" t="s">
        <v>81</v>
      </c>
      <c r="D1561" t="s">
        <v>82</v>
      </c>
      <c r="E1561">
        <v>246</v>
      </c>
      <c r="F1561">
        <v>2.5</v>
      </c>
      <c r="G1561">
        <f t="shared" si="72"/>
        <v>615</v>
      </c>
      <c r="H1561">
        <v>1.5</v>
      </c>
      <c r="I1561">
        <f t="shared" si="73"/>
        <v>369</v>
      </c>
      <c r="J1561">
        <f t="shared" si="74"/>
        <v>246</v>
      </c>
      <c r="K1561" t="s">
        <v>24</v>
      </c>
      <c r="L1561" t="s">
        <v>36</v>
      </c>
      <c r="M1561" t="s">
        <v>61</v>
      </c>
      <c r="N1561" t="s">
        <v>27</v>
      </c>
      <c r="O1561">
        <v>775</v>
      </c>
      <c r="P1561">
        <v>246</v>
      </c>
      <c r="Q1561" t="s">
        <v>77</v>
      </c>
      <c r="R1561" t="s">
        <v>78</v>
      </c>
      <c r="S1561" t="s">
        <v>79</v>
      </c>
      <c r="T1561">
        <v>2021</v>
      </c>
      <c r="U1561" t="s">
        <v>57</v>
      </c>
    </row>
    <row r="1562" spans="1:21" x14ac:dyDescent="0.35">
      <c r="A1562" s="1">
        <v>46152</v>
      </c>
      <c r="B1562" t="s">
        <v>58</v>
      </c>
      <c r="C1562" t="s">
        <v>59</v>
      </c>
      <c r="D1562" t="s">
        <v>60</v>
      </c>
      <c r="E1562">
        <v>487</v>
      </c>
      <c r="F1562">
        <v>5</v>
      </c>
      <c r="G1562">
        <f t="shared" si="72"/>
        <v>2435</v>
      </c>
      <c r="H1562">
        <v>3</v>
      </c>
      <c r="I1562">
        <f t="shared" si="73"/>
        <v>1461</v>
      </c>
      <c r="J1562">
        <f t="shared" si="74"/>
        <v>974</v>
      </c>
      <c r="K1562" t="s">
        <v>35</v>
      </c>
      <c r="L1562" t="s">
        <v>25</v>
      </c>
      <c r="M1562" t="s">
        <v>61</v>
      </c>
      <c r="N1562" t="s">
        <v>38</v>
      </c>
      <c r="O1562">
        <v>815</v>
      </c>
      <c r="P1562">
        <v>487</v>
      </c>
      <c r="Q1562" t="s">
        <v>28</v>
      </c>
      <c r="R1562" t="s">
        <v>29</v>
      </c>
      <c r="S1562" t="s">
        <v>30</v>
      </c>
      <c r="T1562">
        <v>2024</v>
      </c>
      <c r="U1562" t="s">
        <v>66</v>
      </c>
    </row>
    <row r="1563" spans="1:21" x14ac:dyDescent="0.35">
      <c r="A1563" s="1">
        <v>46153</v>
      </c>
      <c r="B1563" t="s">
        <v>58</v>
      </c>
      <c r="C1563" t="s">
        <v>59</v>
      </c>
      <c r="D1563" t="s">
        <v>60</v>
      </c>
      <c r="E1563">
        <v>402</v>
      </c>
      <c r="F1563">
        <v>5</v>
      </c>
      <c r="G1563">
        <f t="shared" si="72"/>
        <v>2010</v>
      </c>
      <c r="H1563">
        <v>3</v>
      </c>
      <c r="I1563">
        <f t="shared" si="73"/>
        <v>1206</v>
      </c>
      <c r="J1563">
        <f t="shared" si="74"/>
        <v>804</v>
      </c>
      <c r="K1563" t="s">
        <v>35</v>
      </c>
      <c r="L1563" t="s">
        <v>25</v>
      </c>
      <c r="M1563" t="s">
        <v>37</v>
      </c>
      <c r="N1563" t="s">
        <v>38</v>
      </c>
      <c r="O1563">
        <v>622</v>
      </c>
      <c r="P1563">
        <v>402</v>
      </c>
      <c r="Q1563" t="s">
        <v>103</v>
      </c>
      <c r="R1563" t="s">
        <v>68</v>
      </c>
      <c r="S1563" t="s">
        <v>104</v>
      </c>
      <c r="T1563">
        <v>2022</v>
      </c>
      <c r="U1563" t="s">
        <v>47</v>
      </c>
    </row>
    <row r="1564" spans="1:21" x14ac:dyDescent="0.35">
      <c r="A1564" s="1">
        <v>46154</v>
      </c>
      <c r="B1564" t="s">
        <v>32</v>
      </c>
      <c r="C1564" t="s">
        <v>33</v>
      </c>
      <c r="D1564" t="s">
        <v>34</v>
      </c>
      <c r="E1564">
        <v>118</v>
      </c>
      <c r="F1564">
        <v>20</v>
      </c>
      <c r="G1564">
        <f t="shared" si="72"/>
        <v>2360</v>
      </c>
      <c r="H1564">
        <v>12</v>
      </c>
      <c r="I1564">
        <f t="shared" si="73"/>
        <v>1416</v>
      </c>
      <c r="J1564">
        <f t="shared" si="74"/>
        <v>944</v>
      </c>
      <c r="K1564" t="s">
        <v>42</v>
      </c>
      <c r="L1564" t="s">
        <v>63</v>
      </c>
      <c r="M1564" t="s">
        <v>37</v>
      </c>
      <c r="N1564" t="s">
        <v>38</v>
      </c>
      <c r="O1564">
        <v>582</v>
      </c>
      <c r="P1564">
        <v>118</v>
      </c>
      <c r="Q1564" t="s">
        <v>67</v>
      </c>
      <c r="R1564" t="s">
        <v>68</v>
      </c>
      <c r="S1564" t="s">
        <v>69</v>
      </c>
      <c r="T1564">
        <v>2023</v>
      </c>
      <c r="U1564" t="s">
        <v>66</v>
      </c>
    </row>
    <row r="1565" spans="1:21" x14ac:dyDescent="0.35">
      <c r="A1565" s="1">
        <v>46155</v>
      </c>
      <c r="B1565" t="s">
        <v>21</v>
      </c>
      <c r="C1565" t="s">
        <v>22</v>
      </c>
      <c r="D1565" t="s">
        <v>23</v>
      </c>
      <c r="E1565">
        <v>266</v>
      </c>
      <c r="F1565">
        <v>8</v>
      </c>
      <c r="G1565">
        <f t="shared" si="72"/>
        <v>2128</v>
      </c>
      <c r="H1565">
        <v>5</v>
      </c>
      <c r="I1565">
        <f t="shared" si="73"/>
        <v>1330</v>
      </c>
      <c r="J1565">
        <f t="shared" si="74"/>
        <v>798</v>
      </c>
      <c r="K1565" t="s">
        <v>24</v>
      </c>
      <c r="L1565" t="s">
        <v>63</v>
      </c>
      <c r="M1565" t="s">
        <v>26</v>
      </c>
      <c r="N1565" t="s">
        <v>27</v>
      </c>
      <c r="O1565">
        <v>744</v>
      </c>
      <c r="P1565">
        <v>266</v>
      </c>
      <c r="Q1565" t="s">
        <v>70</v>
      </c>
      <c r="R1565" t="s">
        <v>71</v>
      </c>
      <c r="S1565" t="s">
        <v>72</v>
      </c>
      <c r="T1565">
        <v>2024</v>
      </c>
      <c r="U1565" t="s">
        <v>96</v>
      </c>
    </row>
    <row r="1566" spans="1:21" x14ac:dyDescent="0.35">
      <c r="A1566" s="1">
        <v>46156</v>
      </c>
      <c r="B1566" t="s">
        <v>98</v>
      </c>
      <c r="C1566" t="s">
        <v>99</v>
      </c>
      <c r="D1566" t="s">
        <v>100</v>
      </c>
      <c r="E1566">
        <v>129</v>
      </c>
      <c r="F1566">
        <v>6</v>
      </c>
      <c r="G1566">
        <f t="shared" si="72"/>
        <v>774</v>
      </c>
      <c r="H1566">
        <v>4</v>
      </c>
      <c r="I1566">
        <f t="shared" si="73"/>
        <v>516</v>
      </c>
      <c r="J1566">
        <f t="shared" si="74"/>
        <v>258</v>
      </c>
      <c r="K1566" t="s">
        <v>42</v>
      </c>
      <c r="L1566" t="s">
        <v>25</v>
      </c>
      <c r="M1566" t="s">
        <v>37</v>
      </c>
      <c r="N1566" t="s">
        <v>27</v>
      </c>
      <c r="O1566">
        <v>641</v>
      </c>
      <c r="P1566">
        <v>129</v>
      </c>
      <c r="Q1566" t="s">
        <v>67</v>
      </c>
      <c r="R1566" t="s">
        <v>68</v>
      </c>
      <c r="S1566" t="s">
        <v>69</v>
      </c>
      <c r="T1566">
        <v>2022</v>
      </c>
      <c r="U1566" t="s">
        <v>109</v>
      </c>
    </row>
    <row r="1567" spans="1:21" x14ac:dyDescent="0.35">
      <c r="A1567" s="1">
        <v>46157</v>
      </c>
      <c r="B1567" t="s">
        <v>58</v>
      </c>
      <c r="C1567" t="s">
        <v>59</v>
      </c>
      <c r="D1567" t="s">
        <v>60</v>
      </c>
      <c r="E1567">
        <v>366</v>
      </c>
      <c r="F1567">
        <v>5</v>
      </c>
      <c r="G1567">
        <f t="shared" si="72"/>
        <v>1830</v>
      </c>
      <c r="H1567">
        <v>3</v>
      </c>
      <c r="I1567">
        <f t="shared" si="73"/>
        <v>1098</v>
      </c>
      <c r="J1567">
        <f t="shared" si="74"/>
        <v>732</v>
      </c>
      <c r="K1567" t="s">
        <v>24</v>
      </c>
      <c r="L1567" t="s">
        <v>25</v>
      </c>
      <c r="M1567" t="s">
        <v>26</v>
      </c>
      <c r="N1567" t="s">
        <v>43</v>
      </c>
      <c r="O1567">
        <v>636</v>
      </c>
      <c r="P1567">
        <v>366</v>
      </c>
      <c r="Q1567" t="s">
        <v>67</v>
      </c>
      <c r="R1567" t="s">
        <v>68</v>
      </c>
      <c r="S1567" t="s">
        <v>69</v>
      </c>
      <c r="T1567">
        <v>2021</v>
      </c>
      <c r="U1567" t="s">
        <v>86</v>
      </c>
    </row>
    <row r="1568" spans="1:21" x14ac:dyDescent="0.35">
      <c r="A1568" s="1">
        <v>46158</v>
      </c>
      <c r="B1568" t="s">
        <v>98</v>
      </c>
      <c r="C1568" t="s">
        <v>99</v>
      </c>
      <c r="D1568" t="s">
        <v>100</v>
      </c>
      <c r="E1568">
        <v>388</v>
      </c>
      <c r="F1568">
        <v>6</v>
      </c>
      <c r="G1568">
        <f t="shared" si="72"/>
        <v>2328</v>
      </c>
      <c r="H1568">
        <v>4</v>
      </c>
      <c r="I1568">
        <f t="shared" si="73"/>
        <v>1552</v>
      </c>
      <c r="J1568">
        <f t="shared" si="74"/>
        <v>776</v>
      </c>
      <c r="K1568" t="s">
        <v>42</v>
      </c>
      <c r="L1568" t="s">
        <v>36</v>
      </c>
      <c r="M1568" t="s">
        <v>61</v>
      </c>
      <c r="N1568" t="s">
        <v>27</v>
      </c>
      <c r="O1568">
        <v>779</v>
      </c>
      <c r="P1568">
        <v>388</v>
      </c>
      <c r="Q1568" t="s">
        <v>64</v>
      </c>
      <c r="R1568" t="s">
        <v>29</v>
      </c>
      <c r="S1568" t="s">
        <v>65</v>
      </c>
      <c r="T1568">
        <v>2023</v>
      </c>
      <c r="U1568" t="s">
        <v>31</v>
      </c>
    </row>
    <row r="1569" spans="1:21" x14ac:dyDescent="0.35">
      <c r="A1569" s="1">
        <v>46159</v>
      </c>
      <c r="B1569" t="s">
        <v>48</v>
      </c>
      <c r="C1569" t="s">
        <v>49</v>
      </c>
      <c r="D1569" t="s">
        <v>50</v>
      </c>
      <c r="E1569">
        <v>304</v>
      </c>
      <c r="F1569">
        <v>150</v>
      </c>
      <c r="G1569">
        <f t="shared" si="72"/>
        <v>45600</v>
      </c>
      <c r="H1569">
        <v>100</v>
      </c>
      <c r="I1569">
        <f t="shared" si="73"/>
        <v>30400</v>
      </c>
      <c r="J1569">
        <f t="shared" si="74"/>
        <v>15200</v>
      </c>
      <c r="K1569" t="s">
        <v>35</v>
      </c>
      <c r="L1569" t="s">
        <v>25</v>
      </c>
      <c r="M1569" t="s">
        <v>61</v>
      </c>
      <c r="N1569" t="s">
        <v>43</v>
      </c>
      <c r="O1569">
        <v>748</v>
      </c>
      <c r="P1569">
        <v>304</v>
      </c>
      <c r="Q1569" t="s">
        <v>44</v>
      </c>
      <c r="R1569" t="s">
        <v>45</v>
      </c>
      <c r="S1569" t="s">
        <v>46</v>
      </c>
      <c r="T1569">
        <v>2022</v>
      </c>
      <c r="U1569" t="s">
        <v>47</v>
      </c>
    </row>
    <row r="1570" spans="1:21" x14ac:dyDescent="0.35">
      <c r="A1570" s="1">
        <v>46160</v>
      </c>
      <c r="B1570" t="s">
        <v>98</v>
      </c>
      <c r="C1570" t="s">
        <v>99</v>
      </c>
      <c r="D1570" t="s">
        <v>100</v>
      </c>
      <c r="E1570">
        <v>305</v>
      </c>
      <c r="F1570">
        <v>6</v>
      </c>
      <c r="G1570">
        <f t="shared" si="72"/>
        <v>1830</v>
      </c>
      <c r="H1570">
        <v>4</v>
      </c>
      <c r="I1570">
        <f t="shared" si="73"/>
        <v>1220</v>
      </c>
      <c r="J1570">
        <f t="shared" si="74"/>
        <v>610</v>
      </c>
      <c r="K1570" t="s">
        <v>42</v>
      </c>
      <c r="L1570" t="s">
        <v>36</v>
      </c>
      <c r="M1570" t="s">
        <v>37</v>
      </c>
      <c r="N1570" t="s">
        <v>43</v>
      </c>
      <c r="O1570">
        <v>865</v>
      </c>
      <c r="P1570">
        <v>305</v>
      </c>
      <c r="Q1570" t="s">
        <v>70</v>
      </c>
      <c r="R1570" t="s">
        <v>71</v>
      </c>
      <c r="S1570" t="s">
        <v>72</v>
      </c>
      <c r="T1570">
        <v>2021</v>
      </c>
      <c r="U1570" t="s">
        <v>91</v>
      </c>
    </row>
    <row r="1571" spans="1:21" x14ac:dyDescent="0.35">
      <c r="A1571" s="1">
        <v>46161</v>
      </c>
      <c r="B1571" t="s">
        <v>48</v>
      </c>
      <c r="C1571" t="s">
        <v>49</v>
      </c>
      <c r="D1571" t="s">
        <v>50</v>
      </c>
      <c r="E1571">
        <v>53</v>
      </c>
      <c r="F1571">
        <v>150</v>
      </c>
      <c r="G1571">
        <f t="shared" si="72"/>
        <v>7950</v>
      </c>
      <c r="H1571">
        <v>100</v>
      </c>
      <c r="I1571">
        <f t="shared" si="73"/>
        <v>5300</v>
      </c>
      <c r="J1571">
        <f t="shared" si="74"/>
        <v>2650</v>
      </c>
      <c r="K1571" t="s">
        <v>24</v>
      </c>
      <c r="L1571" t="s">
        <v>25</v>
      </c>
      <c r="M1571" t="s">
        <v>37</v>
      </c>
      <c r="N1571" t="s">
        <v>38</v>
      </c>
      <c r="O1571">
        <v>838</v>
      </c>
      <c r="P1571">
        <v>53</v>
      </c>
      <c r="Q1571" t="s">
        <v>70</v>
      </c>
      <c r="R1571" t="s">
        <v>71</v>
      </c>
      <c r="S1571" t="s">
        <v>72</v>
      </c>
      <c r="T1571">
        <v>2022</v>
      </c>
      <c r="U1571" t="s">
        <v>53</v>
      </c>
    </row>
    <row r="1572" spans="1:21" x14ac:dyDescent="0.35">
      <c r="A1572" s="1">
        <v>46162</v>
      </c>
      <c r="B1572" t="s">
        <v>58</v>
      </c>
      <c r="C1572" t="s">
        <v>59</v>
      </c>
      <c r="D1572" t="s">
        <v>60</v>
      </c>
      <c r="E1572">
        <v>461</v>
      </c>
      <c r="F1572">
        <v>5</v>
      </c>
      <c r="G1572">
        <f t="shared" si="72"/>
        <v>2305</v>
      </c>
      <c r="H1572">
        <v>3</v>
      </c>
      <c r="I1572">
        <f t="shared" si="73"/>
        <v>1383</v>
      </c>
      <c r="J1572">
        <f t="shared" si="74"/>
        <v>922</v>
      </c>
      <c r="K1572" t="s">
        <v>42</v>
      </c>
      <c r="L1572" t="s">
        <v>36</v>
      </c>
      <c r="M1572" t="s">
        <v>26</v>
      </c>
      <c r="N1572" t="s">
        <v>27</v>
      </c>
      <c r="O1572">
        <v>893</v>
      </c>
      <c r="P1572">
        <v>461</v>
      </c>
      <c r="Q1572" t="s">
        <v>87</v>
      </c>
      <c r="R1572" t="s">
        <v>88</v>
      </c>
      <c r="S1572" t="s">
        <v>89</v>
      </c>
      <c r="T1572">
        <v>2022</v>
      </c>
      <c r="U1572" t="s">
        <v>47</v>
      </c>
    </row>
    <row r="1573" spans="1:21" x14ac:dyDescent="0.35">
      <c r="A1573" s="1">
        <v>46163</v>
      </c>
      <c r="B1573" t="s">
        <v>58</v>
      </c>
      <c r="C1573" t="s">
        <v>59</v>
      </c>
      <c r="D1573" t="s">
        <v>60</v>
      </c>
      <c r="E1573">
        <v>142</v>
      </c>
      <c r="F1573">
        <v>5</v>
      </c>
      <c r="G1573">
        <f t="shared" si="72"/>
        <v>710</v>
      </c>
      <c r="H1573">
        <v>3</v>
      </c>
      <c r="I1573">
        <f t="shared" si="73"/>
        <v>426</v>
      </c>
      <c r="J1573">
        <f t="shared" si="74"/>
        <v>284</v>
      </c>
      <c r="K1573" t="s">
        <v>24</v>
      </c>
      <c r="L1573" t="s">
        <v>63</v>
      </c>
      <c r="M1573" t="s">
        <v>26</v>
      </c>
      <c r="N1573" t="s">
        <v>27</v>
      </c>
      <c r="O1573">
        <v>623</v>
      </c>
      <c r="P1573">
        <v>142</v>
      </c>
      <c r="Q1573" t="s">
        <v>94</v>
      </c>
      <c r="R1573" t="s">
        <v>75</v>
      </c>
      <c r="S1573" t="s">
        <v>95</v>
      </c>
      <c r="T1573">
        <v>2023</v>
      </c>
      <c r="U1573" t="s">
        <v>97</v>
      </c>
    </row>
    <row r="1574" spans="1:21" x14ac:dyDescent="0.35">
      <c r="A1574" s="1">
        <v>46164</v>
      </c>
      <c r="B1574" t="s">
        <v>80</v>
      </c>
      <c r="C1574" t="s">
        <v>81</v>
      </c>
      <c r="D1574" t="s">
        <v>82</v>
      </c>
      <c r="E1574">
        <v>171</v>
      </c>
      <c r="F1574">
        <v>2.5</v>
      </c>
      <c r="G1574">
        <f t="shared" si="72"/>
        <v>427.5</v>
      </c>
      <c r="H1574">
        <v>1.5</v>
      </c>
      <c r="I1574">
        <f t="shared" si="73"/>
        <v>256.5</v>
      </c>
      <c r="J1574">
        <f t="shared" si="74"/>
        <v>171</v>
      </c>
      <c r="K1574" t="s">
        <v>42</v>
      </c>
      <c r="L1574" t="s">
        <v>73</v>
      </c>
      <c r="M1574" t="s">
        <v>37</v>
      </c>
      <c r="N1574" t="s">
        <v>27</v>
      </c>
      <c r="O1574">
        <v>852</v>
      </c>
      <c r="P1574">
        <v>171</v>
      </c>
      <c r="Q1574" t="s">
        <v>103</v>
      </c>
      <c r="R1574" t="s">
        <v>68</v>
      </c>
      <c r="S1574" t="s">
        <v>104</v>
      </c>
      <c r="T1574">
        <v>2022</v>
      </c>
      <c r="U1574" t="s">
        <v>62</v>
      </c>
    </row>
    <row r="1575" spans="1:21" x14ac:dyDescent="0.35">
      <c r="A1575" s="1">
        <v>46165</v>
      </c>
      <c r="B1575" t="s">
        <v>58</v>
      </c>
      <c r="C1575" t="s">
        <v>59</v>
      </c>
      <c r="D1575" t="s">
        <v>60</v>
      </c>
      <c r="E1575">
        <v>157</v>
      </c>
      <c r="F1575">
        <v>5</v>
      </c>
      <c r="G1575">
        <f t="shared" si="72"/>
        <v>785</v>
      </c>
      <c r="H1575">
        <v>3</v>
      </c>
      <c r="I1575">
        <f t="shared" si="73"/>
        <v>471</v>
      </c>
      <c r="J1575">
        <f t="shared" si="74"/>
        <v>314</v>
      </c>
      <c r="K1575" t="s">
        <v>24</v>
      </c>
      <c r="L1575" t="s">
        <v>36</v>
      </c>
      <c r="M1575" t="s">
        <v>37</v>
      </c>
      <c r="N1575" t="s">
        <v>27</v>
      </c>
      <c r="O1575">
        <v>929</v>
      </c>
      <c r="P1575">
        <v>157</v>
      </c>
      <c r="Q1575" t="s">
        <v>87</v>
      </c>
      <c r="R1575" t="s">
        <v>88</v>
      </c>
      <c r="S1575" t="s">
        <v>89</v>
      </c>
      <c r="T1575">
        <v>2022</v>
      </c>
      <c r="U1575" t="s">
        <v>97</v>
      </c>
    </row>
    <row r="1576" spans="1:21" x14ac:dyDescent="0.35">
      <c r="A1576" s="1">
        <v>46166</v>
      </c>
      <c r="B1576" t="s">
        <v>21</v>
      </c>
      <c r="C1576" t="s">
        <v>22</v>
      </c>
      <c r="D1576" t="s">
        <v>23</v>
      </c>
      <c r="E1576">
        <v>11</v>
      </c>
      <c r="F1576">
        <v>8</v>
      </c>
      <c r="G1576">
        <f t="shared" si="72"/>
        <v>88</v>
      </c>
      <c r="H1576">
        <v>5</v>
      </c>
      <c r="I1576">
        <f t="shared" si="73"/>
        <v>55</v>
      </c>
      <c r="J1576">
        <f t="shared" si="74"/>
        <v>33</v>
      </c>
      <c r="K1576" t="s">
        <v>42</v>
      </c>
      <c r="L1576" t="s">
        <v>36</v>
      </c>
      <c r="M1576" t="s">
        <v>37</v>
      </c>
      <c r="N1576" t="s">
        <v>27</v>
      </c>
      <c r="O1576">
        <v>637</v>
      </c>
      <c r="P1576">
        <v>11</v>
      </c>
      <c r="Q1576" t="s">
        <v>28</v>
      </c>
      <c r="R1576" t="s">
        <v>29</v>
      </c>
      <c r="S1576" t="s">
        <v>30</v>
      </c>
      <c r="T1576">
        <v>2024</v>
      </c>
      <c r="U1576" t="s">
        <v>66</v>
      </c>
    </row>
    <row r="1577" spans="1:21" x14ac:dyDescent="0.35">
      <c r="A1577" s="1">
        <v>46167</v>
      </c>
      <c r="B1577" t="s">
        <v>98</v>
      </c>
      <c r="C1577" t="s">
        <v>99</v>
      </c>
      <c r="D1577" t="s">
        <v>100</v>
      </c>
      <c r="E1577">
        <v>207</v>
      </c>
      <c r="F1577">
        <v>6</v>
      </c>
      <c r="G1577">
        <f t="shared" si="72"/>
        <v>1242</v>
      </c>
      <c r="H1577">
        <v>4</v>
      </c>
      <c r="I1577">
        <f t="shared" si="73"/>
        <v>828</v>
      </c>
      <c r="J1577">
        <f t="shared" si="74"/>
        <v>414</v>
      </c>
      <c r="K1577" t="s">
        <v>35</v>
      </c>
      <c r="L1577" t="s">
        <v>25</v>
      </c>
      <c r="M1577" t="s">
        <v>26</v>
      </c>
      <c r="N1577" t="s">
        <v>43</v>
      </c>
      <c r="O1577">
        <v>770</v>
      </c>
      <c r="P1577">
        <v>207</v>
      </c>
      <c r="Q1577" t="s">
        <v>54</v>
      </c>
      <c r="R1577" t="s">
        <v>55</v>
      </c>
      <c r="S1577" t="s">
        <v>56</v>
      </c>
      <c r="T1577">
        <v>2024</v>
      </c>
      <c r="U1577" t="s">
        <v>91</v>
      </c>
    </row>
    <row r="1578" spans="1:21" x14ac:dyDescent="0.35">
      <c r="A1578" s="1">
        <v>46168</v>
      </c>
      <c r="B1578" t="s">
        <v>32</v>
      </c>
      <c r="C1578" t="s">
        <v>33</v>
      </c>
      <c r="D1578" t="s">
        <v>34</v>
      </c>
      <c r="E1578">
        <v>93</v>
      </c>
      <c r="F1578">
        <v>20</v>
      </c>
      <c r="G1578">
        <f t="shared" si="72"/>
        <v>1860</v>
      </c>
      <c r="H1578">
        <v>12</v>
      </c>
      <c r="I1578">
        <f t="shared" si="73"/>
        <v>1116</v>
      </c>
      <c r="J1578">
        <f t="shared" si="74"/>
        <v>744</v>
      </c>
      <c r="K1578" t="s">
        <v>42</v>
      </c>
      <c r="L1578" t="s">
        <v>73</v>
      </c>
      <c r="M1578" t="s">
        <v>61</v>
      </c>
      <c r="N1578" t="s">
        <v>38</v>
      </c>
      <c r="O1578">
        <v>551</v>
      </c>
      <c r="P1578">
        <v>93</v>
      </c>
      <c r="Q1578" t="s">
        <v>87</v>
      </c>
      <c r="R1578" t="s">
        <v>88</v>
      </c>
      <c r="S1578" t="s">
        <v>89</v>
      </c>
      <c r="T1578">
        <v>2021</v>
      </c>
      <c r="U1578" t="s">
        <v>86</v>
      </c>
    </row>
    <row r="1579" spans="1:21" x14ac:dyDescent="0.35">
      <c r="A1579" s="1">
        <v>46169</v>
      </c>
      <c r="B1579" t="s">
        <v>58</v>
      </c>
      <c r="C1579" t="s">
        <v>59</v>
      </c>
      <c r="D1579" t="s">
        <v>60</v>
      </c>
      <c r="E1579">
        <v>68</v>
      </c>
      <c r="F1579">
        <v>5</v>
      </c>
      <c r="G1579">
        <f t="shared" si="72"/>
        <v>340</v>
      </c>
      <c r="H1579">
        <v>3</v>
      </c>
      <c r="I1579">
        <f t="shared" si="73"/>
        <v>204</v>
      </c>
      <c r="J1579">
        <f t="shared" si="74"/>
        <v>136</v>
      </c>
      <c r="K1579" t="s">
        <v>35</v>
      </c>
      <c r="L1579" t="s">
        <v>73</v>
      </c>
      <c r="M1579" t="s">
        <v>26</v>
      </c>
      <c r="N1579" t="s">
        <v>38</v>
      </c>
      <c r="O1579">
        <v>877</v>
      </c>
      <c r="P1579">
        <v>68</v>
      </c>
      <c r="Q1579" t="s">
        <v>87</v>
      </c>
      <c r="R1579" t="s">
        <v>88</v>
      </c>
      <c r="S1579" t="s">
        <v>89</v>
      </c>
      <c r="T1579">
        <v>2023</v>
      </c>
      <c r="U1579" t="s">
        <v>57</v>
      </c>
    </row>
    <row r="1580" spans="1:21" x14ac:dyDescent="0.35">
      <c r="A1580" s="1">
        <v>46170</v>
      </c>
      <c r="B1580" t="s">
        <v>21</v>
      </c>
      <c r="C1580" t="s">
        <v>22</v>
      </c>
      <c r="D1580" t="s">
        <v>23</v>
      </c>
      <c r="E1580">
        <v>174</v>
      </c>
      <c r="F1580">
        <v>8</v>
      </c>
      <c r="G1580">
        <f t="shared" si="72"/>
        <v>1392</v>
      </c>
      <c r="H1580">
        <v>5</v>
      </c>
      <c r="I1580">
        <f t="shared" si="73"/>
        <v>870</v>
      </c>
      <c r="J1580">
        <f t="shared" si="74"/>
        <v>522</v>
      </c>
      <c r="K1580" t="s">
        <v>24</v>
      </c>
      <c r="L1580" t="s">
        <v>25</v>
      </c>
      <c r="M1580" t="s">
        <v>37</v>
      </c>
      <c r="N1580" t="s">
        <v>27</v>
      </c>
      <c r="O1580">
        <v>568</v>
      </c>
      <c r="P1580">
        <v>174</v>
      </c>
      <c r="Q1580" t="s">
        <v>39</v>
      </c>
      <c r="R1580" t="s">
        <v>40</v>
      </c>
      <c r="S1580" t="s">
        <v>41</v>
      </c>
      <c r="T1580">
        <v>2024</v>
      </c>
      <c r="U1580" t="s">
        <v>53</v>
      </c>
    </row>
    <row r="1581" spans="1:21" x14ac:dyDescent="0.35">
      <c r="A1581" s="1">
        <v>46171</v>
      </c>
      <c r="B1581" t="s">
        <v>32</v>
      </c>
      <c r="C1581" t="s">
        <v>33</v>
      </c>
      <c r="D1581" t="s">
        <v>34</v>
      </c>
      <c r="E1581">
        <v>30</v>
      </c>
      <c r="F1581">
        <v>20</v>
      </c>
      <c r="G1581">
        <f t="shared" si="72"/>
        <v>600</v>
      </c>
      <c r="H1581">
        <v>12</v>
      </c>
      <c r="I1581">
        <f t="shared" si="73"/>
        <v>360</v>
      </c>
      <c r="J1581">
        <f t="shared" si="74"/>
        <v>240</v>
      </c>
      <c r="K1581" t="s">
        <v>35</v>
      </c>
      <c r="L1581" t="s">
        <v>36</v>
      </c>
      <c r="M1581" t="s">
        <v>61</v>
      </c>
      <c r="N1581" t="s">
        <v>43</v>
      </c>
      <c r="O1581">
        <v>936</v>
      </c>
      <c r="P1581">
        <v>30</v>
      </c>
      <c r="Q1581" t="s">
        <v>110</v>
      </c>
      <c r="R1581" t="s">
        <v>111</v>
      </c>
      <c r="S1581" t="s">
        <v>112</v>
      </c>
      <c r="T1581">
        <v>2024</v>
      </c>
      <c r="U1581" t="s">
        <v>53</v>
      </c>
    </row>
    <row r="1582" spans="1:21" x14ac:dyDescent="0.35">
      <c r="A1582" s="1">
        <v>46172</v>
      </c>
      <c r="B1582" t="s">
        <v>32</v>
      </c>
      <c r="C1582" t="s">
        <v>33</v>
      </c>
      <c r="D1582" t="s">
        <v>34</v>
      </c>
      <c r="E1582">
        <v>80</v>
      </c>
      <c r="F1582">
        <v>20</v>
      </c>
      <c r="G1582">
        <f t="shared" si="72"/>
        <v>1600</v>
      </c>
      <c r="H1582">
        <v>12</v>
      </c>
      <c r="I1582">
        <f t="shared" si="73"/>
        <v>960</v>
      </c>
      <c r="J1582">
        <f t="shared" si="74"/>
        <v>640</v>
      </c>
      <c r="K1582" t="s">
        <v>35</v>
      </c>
      <c r="L1582" t="s">
        <v>36</v>
      </c>
      <c r="M1582" t="s">
        <v>26</v>
      </c>
      <c r="N1582" t="s">
        <v>27</v>
      </c>
      <c r="O1582">
        <v>913</v>
      </c>
      <c r="P1582">
        <v>80</v>
      </c>
      <c r="Q1582" t="s">
        <v>44</v>
      </c>
      <c r="R1582" t="s">
        <v>45</v>
      </c>
      <c r="S1582" t="s">
        <v>46</v>
      </c>
      <c r="T1582">
        <v>2021</v>
      </c>
      <c r="U1582" t="s">
        <v>53</v>
      </c>
    </row>
    <row r="1583" spans="1:21" x14ac:dyDescent="0.35">
      <c r="A1583" s="1">
        <v>46173</v>
      </c>
      <c r="B1583" t="s">
        <v>80</v>
      </c>
      <c r="C1583" t="s">
        <v>81</v>
      </c>
      <c r="D1583" t="s">
        <v>82</v>
      </c>
      <c r="E1583">
        <v>399</v>
      </c>
      <c r="F1583">
        <v>2.5</v>
      </c>
      <c r="G1583">
        <f t="shared" si="72"/>
        <v>997.5</v>
      </c>
      <c r="H1583">
        <v>1.5</v>
      </c>
      <c r="I1583">
        <f t="shared" si="73"/>
        <v>598.5</v>
      </c>
      <c r="J1583">
        <f t="shared" si="74"/>
        <v>399</v>
      </c>
      <c r="K1583" t="s">
        <v>35</v>
      </c>
      <c r="L1583" t="s">
        <v>25</v>
      </c>
      <c r="M1583" t="s">
        <v>26</v>
      </c>
      <c r="N1583" t="s">
        <v>38</v>
      </c>
      <c r="O1583">
        <v>849</v>
      </c>
      <c r="P1583">
        <v>399</v>
      </c>
      <c r="Q1583" t="s">
        <v>103</v>
      </c>
      <c r="R1583" t="s">
        <v>68</v>
      </c>
      <c r="S1583" t="s">
        <v>104</v>
      </c>
      <c r="T1583">
        <v>2020</v>
      </c>
      <c r="U1583" t="s">
        <v>57</v>
      </c>
    </row>
    <row r="1584" spans="1:21" x14ac:dyDescent="0.35">
      <c r="A1584" s="1">
        <v>46174</v>
      </c>
      <c r="B1584" t="s">
        <v>80</v>
      </c>
      <c r="C1584" t="s">
        <v>81</v>
      </c>
      <c r="D1584" t="s">
        <v>82</v>
      </c>
      <c r="E1584">
        <v>18</v>
      </c>
      <c r="F1584">
        <v>2.5</v>
      </c>
      <c r="G1584">
        <f t="shared" si="72"/>
        <v>45</v>
      </c>
      <c r="H1584">
        <v>1.5</v>
      </c>
      <c r="I1584">
        <f t="shared" si="73"/>
        <v>27</v>
      </c>
      <c r="J1584">
        <f t="shared" si="74"/>
        <v>18</v>
      </c>
      <c r="K1584" t="s">
        <v>42</v>
      </c>
      <c r="L1584" t="s">
        <v>25</v>
      </c>
      <c r="M1584" t="s">
        <v>61</v>
      </c>
      <c r="N1584" t="s">
        <v>43</v>
      </c>
      <c r="O1584">
        <v>695</v>
      </c>
      <c r="P1584">
        <v>18</v>
      </c>
      <c r="Q1584" t="s">
        <v>54</v>
      </c>
      <c r="R1584" t="s">
        <v>55</v>
      </c>
      <c r="S1584" t="s">
        <v>56</v>
      </c>
      <c r="T1584">
        <v>2024</v>
      </c>
      <c r="U1584" t="s">
        <v>66</v>
      </c>
    </row>
    <row r="1585" spans="1:21" x14ac:dyDescent="0.35">
      <c r="A1585" s="1">
        <v>46175</v>
      </c>
      <c r="B1585" t="s">
        <v>98</v>
      </c>
      <c r="C1585" t="s">
        <v>99</v>
      </c>
      <c r="D1585" t="s">
        <v>100</v>
      </c>
      <c r="E1585">
        <v>89</v>
      </c>
      <c r="F1585">
        <v>6</v>
      </c>
      <c r="G1585">
        <f t="shared" si="72"/>
        <v>534</v>
      </c>
      <c r="H1585">
        <v>4</v>
      </c>
      <c r="I1585">
        <f t="shared" si="73"/>
        <v>356</v>
      </c>
      <c r="J1585">
        <f t="shared" si="74"/>
        <v>178</v>
      </c>
      <c r="K1585" t="s">
        <v>24</v>
      </c>
      <c r="L1585" t="s">
        <v>25</v>
      </c>
      <c r="M1585" t="s">
        <v>61</v>
      </c>
      <c r="N1585" t="s">
        <v>38</v>
      </c>
      <c r="O1585">
        <v>768</v>
      </c>
      <c r="P1585">
        <v>89</v>
      </c>
      <c r="Q1585" t="s">
        <v>77</v>
      </c>
      <c r="R1585" t="s">
        <v>78</v>
      </c>
      <c r="S1585" t="s">
        <v>79</v>
      </c>
      <c r="T1585">
        <v>2021</v>
      </c>
      <c r="U1585" t="s">
        <v>62</v>
      </c>
    </row>
    <row r="1586" spans="1:21" x14ac:dyDescent="0.35">
      <c r="A1586" s="1">
        <v>46176</v>
      </c>
      <c r="B1586" t="s">
        <v>32</v>
      </c>
      <c r="C1586" t="s">
        <v>33</v>
      </c>
      <c r="D1586" t="s">
        <v>34</v>
      </c>
      <c r="E1586">
        <v>460</v>
      </c>
      <c r="F1586">
        <v>20</v>
      </c>
      <c r="G1586">
        <f t="shared" si="72"/>
        <v>9200</v>
      </c>
      <c r="H1586">
        <v>12</v>
      </c>
      <c r="I1586">
        <f t="shared" si="73"/>
        <v>5520</v>
      </c>
      <c r="J1586">
        <f t="shared" si="74"/>
        <v>3680</v>
      </c>
      <c r="K1586" t="s">
        <v>42</v>
      </c>
      <c r="L1586" t="s">
        <v>25</v>
      </c>
      <c r="M1586" t="s">
        <v>37</v>
      </c>
      <c r="N1586" t="s">
        <v>38</v>
      </c>
      <c r="O1586">
        <v>622</v>
      </c>
      <c r="P1586">
        <v>460</v>
      </c>
      <c r="Q1586" t="s">
        <v>101</v>
      </c>
      <c r="R1586" t="s">
        <v>101</v>
      </c>
      <c r="S1586" t="s">
        <v>102</v>
      </c>
      <c r="T1586">
        <v>2023</v>
      </c>
      <c r="U1586" t="s">
        <v>105</v>
      </c>
    </row>
    <row r="1587" spans="1:21" x14ac:dyDescent="0.35">
      <c r="A1587" s="1">
        <v>46177</v>
      </c>
      <c r="B1587" t="s">
        <v>32</v>
      </c>
      <c r="C1587" t="s">
        <v>33</v>
      </c>
      <c r="D1587" t="s">
        <v>34</v>
      </c>
      <c r="E1587">
        <v>17</v>
      </c>
      <c r="F1587">
        <v>20</v>
      </c>
      <c r="G1587">
        <f t="shared" si="72"/>
        <v>340</v>
      </c>
      <c r="H1587">
        <v>12</v>
      </c>
      <c r="I1587">
        <f t="shared" si="73"/>
        <v>204</v>
      </c>
      <c r="J1587">
        <f t="shared" si="74"/>
        <v>136</v>
      </c>
      <c r="K1587" t="s">
        <v>24</v>
      </c>
      <c r="L1587" t="s">
        <v>36</v>
      </c>
      <c r="M1587" t="s">
        <v>61</v>
      </c>
      <c r="N1587" t="s">
        <v>43</v>
      </c>
      <c r="O1587">
        <v>637</v>
      </c>
      <c r="P1587">
        <v>17</v>
      </c>
      <c r="Q1587" t="s">
        <v>94</v>
      </c>
      <c r="R1587" t="s">
        <v>75</v>
      </c>
      <c r="S1587" t="s">
        <v>95</v>
      </c>
      <c r="T1587">
        <v>2023</v>
      </c>
      <c r="U1587" t="s">
        <v>97</v>
      </c>
    </row>
    <row r="1588" spans="1:21" x14ac:dyDescent="0.35">
      <c r="A1588" s="1">
        <v>46178</v>
      </c>
      <c r="B1588" t="s">
        <v>21</v>
      </c>
      <c r="C1588" t="s">
        <v>22</v>
      </c>
      <c r="D1588" t="s">
        <v>23</v>
      </c>
      <c r="E1588">
        <v>443</v>
      </c>
      <c r="F1588">
        <v>8</v>
      </c>
      <c r="G1588">
        <f t="shared" si="72"/>
        <v>3544</v>
      </c>
      <c r="H1588">
        <v>5</v>
      </c>
      <c r="I1588">
        <f t="shared" si="73"/>
        <v>2215</v>
      </c>
      <c r="J1588">
        <f t="shared" si="74"/>
        <v>1329</v>
      </c>
      <c r="K1588" t="s">
        <v>42</v>
      </c>
      <c r="L1588" t="s">
        <v>25</v>
      </c>
      <c r="M1588" t="s">
        <v>61</v>
      </c>
      <c r="N1588" t="s">
        <v>43</v>
      </c>
      <c r="O1588">
        <v>743</v>
      </c>
      <c r="P1588">
        <v>443</v>
      </c>
      <c r="Q1588" t="s">
        <v>44</v>
      </c>
      <c r="R1588" t="s">
        <v>45</v>
      </c>
      <c r="S1588" t="s">
        <v>46</v>
      </c>
      <c r="T1588">
        <v>2020</v>
      </c>
      <c r="U1588" t="s">
        <v>105</v>
      </c>
    </row>
    <row r="1589" spans="1:21" x14ac:dyDescent="0.35">
      <c r="A1589" s="1">
        <v>46179</v>
      </c>
      <c r="B1589" t="s">
        <v>48</v>
      </c>
      <c r="C1589" t="s">
        <v>49</v>
      </c>
      <c r="D1589" t="s">
        <v>50</v>
      </c>
      <c r="E1589">
        <v>101</v>
      </c>
      <c r="F1589">
        <v>150</v>
      </c>
      <c r="G1589">
        <f t="shared" si="72"/>
        <v>15150</v>
      </c>
      <c r="H1589">
        <v>100</v>
      </c>
      <c r="I1589">
        <f t="shared" si="73"/>
        <v>10100</v>
      </c>
      <c r="J1589">
        <f t="shared" si="74"/>
        <v>5050</v>
      </c>
      <c r="K1589" t="s">
        <v>24</v>
      </c>
      <c r="L1589" t="s">
        <v>73</v>
      </c>
      <c r="M1589" t="s">
        <v>26</v>
      </c>
      <c r="N1589" t="s">
        <v>27</v>
      </c>
      <c r="O1589">
        <v>525</v>
      </c>
      <c r="P1589">
        <v>101</v>
      </c>
      <c r="Q1589" t="s">
        <v>51</v>
      </c>
      <c r="R1589" t="s">
        <v>45</v>
      </c>
      <c r="S1589" t="s">
        <v>52</v>
      </c>
      <c r="T1589">
        <v>2023</v>
      </c>
      <c r="U1589" t="s">
        <v>105</v>
      </c>
    </row>
    <row r="1590" spans="1:21" x14ac:dyDescent="0.35">
      <c r="A1590" s="1">
        <v>46180</v>
      </c>
      <c r="B1590" t="s">
        <v>58</v>
      </c>
      <c r="C1590" t="s">
        <v>59</v>
      </c>
      <c r="D1590" t="s">
        <v>60</v>
      </c>
      <c r="E1590">
        <v>452</v>
      </c>
      <c r="F1590">
        <v>5</v>
      </c>
      <c r="G1590">
        <f t="shared" si="72"/>
        <v>2260</v>
      </c>
      <c r="H1590">
        <v>3</v>
      </c>
      <c r="I1590">
        <f t="shared" si="73"/>
        <v>1356</v>
      </c>
      <c r="J1590">
        <f t="shared" si="74"/>
        <v>904</v>
      </c>
      <c r="K1590" t="s">
        <v>42</v>
      </c>
      <c r="L1590" t="s">
        <v>73</v>
      </c>
      <c r="M1590" t="s">
        <v>61</v>
      </c>
      <c r="N1590" t="s">
        <v>43</v>
      </c>
      <c r="O1590">
        <v>625</v>
      </c>
      <c r="P1590">
        <v>452</v>
      </c>
      <c r="Q1590" t="s">
        <v>51</v>
      </c>
      <c r="R1590" t="s">
        <v>45</v>
      </c>
      <c r="S1590" t="s">
        <v>52</v>
      </c>
      <c r="T1590">
        <v>2023</v>
      </c>
      <c r="U1590" t="s">
        <v>62</v>
      </c>
    </row>
    <row r="1591" spans="1:21" x14ac:dyDescent="0.35">
      <c r="A1591" s="1">
        <v>46181</v>
      </c>
      <c r="B1591" t="s">
        <v>80</v>
      </c>
      <c r="C1591" t="s">
        <v>81</v>
      </c>
      <c r="D1591" t="s">
        <v>82</v>
      </c>
      <c r="E1591">
        <v>489</v>
      </c>
      <c r="F1591">
        <v>2.5</v>
      </c>
      <c r="G1591">
        <f t="shared" si="72"/>
        <v>1222.5</v>
      </c>
      <c r="H1591">
        <v>1.5</v>
      </c>
      <c r="I1591">
        <f t="shared" si="73"/>
        <v>733.5</v>
      </c>
      <c r="J1591">
        <f t="shared" si="74"/>
        <v>489</v>
      </c>
      <c r="K1591" t="s">
        <v>24</v>
      </c>
      <c r="L1591" t="s">
        <v>25</v>
      </c>
      <c r="M1591" t="s">
        <v>26</v>
      </c>
      <c r="N1591" t="s">
        <v>38</v>
      </c>
      <c r="O1591">
        <v>737</v>
      </c>
      <c r="P1591">
        <v>489</v>
      </c>
      <c r="Q1591" t="s">
        <v>64</v>
      </c>
      <c r="R1591" t="s">
        <v>29</v>
      </c>
      <c r="S1591" t="s">
        <v>65</v>
      </c>
      <c r="T1591">
        <v>2022</v>
      </c>
      <c r="U1591" t="s">
        <v>53</v>
      </c>
    </row>
    <row r="1592" spans="1:21" x14ac:dyDescent="0.35">
      <c r="A1592" s="1">
        <v>46182</v>
      </c>
      <c r="B1592" t="s">
        <v>32</v>
      </c>
      <c r="C1592" t="s">
        <v>33</v>
      </c>
      <c r="D1592" t="s">
        <v>34</v>
      </c>
      <c r="E1592">
        <v>423</v>
      </c>
      <c r="F1592">
        <v>20</v>
      </c>
      <c r="G1592">
        <f t="shared" si="72"/>
        <v>8460</v>
      </c>
      <c r="H1592">
        <v>12</v>
      </c>
      <c r="I1592">
        <f t="shared" si="73"/>
        <v>5076</v>
      </c>
      <c r="J1592">
        <f t="shared" si="74"/>
        <v>3384</v>
      </c>
      <c r="K1592" t="s">
        <v>42</v>
      </c>
      <c r="L1592" t="s">
        <v>36</v>
      </c>
      <c r="M1592" t="s">
        <v>37</v>
      </c>
      <c r="N1592" t="s">
        <v>27</v>
      </c>
      <c r="O1592">
        <v>667</v>
      </c>
      <c r="P1592">
        <v>423</v>
      </c>
      <c r="Q1592" t="s">
        <v>67</v>
      </c>
      <c r="R1592" t="s">
        <v>68</v>
      </c>
      <c r="S1592" t="s">
        <v>69</v>
      </c>
      <c r="T1592">
        <v>2023</v>
      </c>
      <c r="U1592" t="s">
        <v>96</v>
      </c>
    </row>
    <row r="1593" spans="1:21" x14ac:dyDescent="0.35">
      <c r="A1593" s="1">
        <v>46183</v>
      </c>
      <c r="B1593" t="s">
        <v>98</v>
      </c>
      <c r="C1593" t="s">
        <v>99</v>
      </c>
      <c r="D1593" t="s">
        <v>100</v>
      </c>
      <c r="E1593">
        <v>368</v>
      </c>
      <c r="F1593">
        <v>6</v>
      </c>
      <c r="G1593">
        <f t="shared" si="72"/>
        <v>2208</v>
      </c>
      <c r="H1593">
        <v>4</v>
      </c>
      <c r="I1593">
        <f t="shared" si="73"/>
        <v>1472</v>
      </c>
      <c r="J1593">
        <f t="shared" si="74"/>
        <v>736</v>
      </c>
      <c r="K1593" t="s">
        <v>24</v>
      </c>
      <c r="L1593" t="s">
        <v>63</v>
      </c>
      <c r="M1593" t="s">
        <v>37</v>
      </c>
      <c r="N1593" t="s">
        <v>38</v>
      </c>
      <c r="O1593">
        <v>723</v>
      </c>
      <c r="P1593">
        <v>368</v>
      </c>
      <c r="Q1593" t="s">
        <v>74</v>
      </c>
      <c r="R1593" t="s">
        <v>75</v>
      </c>
      <c r="S1593" t="s">
        <v>76</v>
      </c>
      <c r="T1593">
        <v>2022</v>
      </c>
      <c r="U1593" t="s">
        <v>97</v>
      </c>
    </row>
    <row r="1594" spans="1:21" x14ac:dyDescent="0.35">
      <c r="A1594" s="1">
        <v>46184</v>
      </c>
      <c r="B1594" t="s">
        <v>48</v>
      </c>
      <c r="C1594" t="s">
        <v>49</v>
      </c>
      <c r="D1594" t="s">
        <v>50</v>
      </c>
      <c r="E1594">
        <v>62</v>
      </c>
      <c r="F1594">
        <v>150</v>
      </c>
      <c r="G1594">
        <f t="shared" si="72"/>
        <v>9300</v>
      </c>
      <c r="H1594">
        <v>100</v>
      </c>
      <c r="I1594">
        <f t="shared" si="73"/>
        <v>6200</v>
      </c>
      <c r="J1594">
        <f t="shared" si="74"/>
        <v>3100</v>
      </c>
      <c r="K1594" t="s">
        <v>42</v>
      </c>
      <c r="L1594" t="s">
        <v>25</v>
      </c>
      <c r="M1594" t="s">
        <v>37</v>
      </c>
      <c r="N1594" t="s">
        <v>27</v>
      </c>
      <c r="O1594">
        <v>794</v>
      </c>
      <c r="P1594">
        <v>62</v>
      </c>
      <c r="Q1594" t="s">
        <v>101</v>
      </c>
      <c r="R1594" t="s">
        <v>101</v>
      </c>
      <c r="S1594" t="s">
        <v>102</v>
      </c>
      <c r="T1594">
        <v>2023</v>
      </c>
      <c r="U1594" t="s">
        <v>57</v>
      </c>
    </row>
    <row r="1595" spans="1:21" x14ac:dyDescent="0.35">
      <c r="A1595" s="1">
        <v>46185</v>
      </c>
      <c r="B1595" t="s">
        <v>21</v>
      </c>
      <c r="C1595" t="s">
        <v>22</v>
      </c>
      <c r="D1595" t="s">
        <v>23</v>
      </c>
      <c r="E1595">
        <v>13</v>
      </c>
      <c r="F1595">
        <v>8</v>
      </c>
      <c r="G1595">
        <f t="shared" si="72"/>
        <v>104</v>
      </c>
      <c r="H1595">
        <v>5</v>
      </c>
      <c r="I1595">
        <f t="shared" si="73"/>
        <v>65</v>
      </c>
      <c r="J1595">
        <f t="shared" si="74"/>
        <v>39</v>
      </c>
      <c r="K1595" t="s">
        <v>42</v>
      </c>
      <c r="L1595" t="s">
        <v>73</v>
      </c>
      <c r="M1595" t="s">
        <v>37</v>
      </c>
      <c r="N1595" t="s">
        <v>27</v>
      </c>
      <c r="O1595">
        <v>924</v>
      </c>
      <c r="P1595">
        <v>13</v>
      </c>
      <c r="Q1595" t="s">
        <v>92</v>
      </c>
      <c r="R1595" t="s">
        <v>45</v>
      </c>
      <c r="S1595" t="s">
        <v>93</v>
      </c>
      <c r="T1595">
        <v>2024</v>
      </c>
      <c r="U1595" t="s">
        <v>47</v>
      </c>
    </row>
    <row r="1596" spans="1:21" x14ac:dyDescent="0.35">
      <c r="A1596" s="1">
        <v>46186</v>
      </c>
      <c r="B1596" t="s">
        <v>98</v>
      </c>
      <c r="C1596" t="s">
        <v>99</v>
      </c>
      <c r="D1596" t="s">
        <v>100</v>
      </c>
      <c r="E1596">
        <v>371</v>
      </c>
      <c r="F1596">
        <v>6</v>
      </c>
      <c r="G1596">
        <f t="shared" si="72"/>
        <v>2226</v>
      </c>
      <c r="H1596">
        <v>4</v>
      </c>
      <c r="I1596">
        <f t="shared" si="73"/>
        <v>1484</v>
      </c>
      <c r="J1596">
        <f t="shared" si="74"/>
        <v>742</v>
      </c>
      <c r="K1596" t="s">
        <v>42</v>
      </c>
      <c r="L1596" t="s">
        <v>36</v>
      </c>
      <c r="M1596" t="s">
        <v>26</v>
      </c>
      <c r="N1596" t="s">
        <v>43</v>
      </c>
      <c r="O1596">
        <v>651</v>
      </c>
      <c r="P1596">
        <v>371</v>
      </c>
      <c r="Q1596" t="s">
        <v>67</v>
      </c>
      <c r="R1596" t="s">
        <v>68</v>
      </c>
      <c r="S1596" t="s">
        <v>69</v>
      </c>
      <c r="T1596">
        <v>2024</v>
      </c>
      <c r="U1596" t="s">
        <v>53</v>
      </c>
    </row>
    <row r="1597" spans="1:21" x14ac:dyDescent="0.35">
      <c r="A1597" s="1">
        <v>46187</v>
      </c>
      <c r="B1597" t="s">
        <v>98</v>
      </c>
      <c r="C1597" t="s">
        <v>99</v>
      </c>
      <c r="D1597" t="s">
        <v>100</v>
      </c>
      <c r="E1597">
        <v>403</v>
      </c>
      <c r="F1597">
        <v>6</v>
      </c>
      <c r="G1597">
        <f t="shared" si="72"/>
        <v>2418</v>
      </c>
      <c r="H1597">
        <v>4</v>
      </c>
      <c r="I1597">
        <f t="shared" si="73"/>
        <v>1612</v>
      </c>
      <c r="J1597">
        <f t="shared" si="74"/>
        <v>806</v>
      </c>
      <c r="K1597" t="s">
        <v>35</v>
      </c>
      <c r="L1597" t="s">
        <v>63</v>
      </c>
      <c r="M1597" t="s">
        <v>37</v>
      </c>
      <c r="N1597" t="s">
        <v>27</v>
      </c>
      <c r="O1597">
        <v>636</v>
      </c>
      <c r="P1597">
        <v>403</v>
      </c>
      <c r="Q1597" t="s">
        <v>92</v>
      </c>
      <c r="R1597" t="s">
        <v>45</v>
      </c>
      <c r="S1597" t="s">
        <v>93</v>
      </c>
      <c r="T1597">
        <v>2022</v>
      </c>
      <c r="U1597" t="s">
        <v>109</v>
      </c>
    </row>
    <row r="1598" spans="1:21" x14ac:dyDescent="0.35">
      <c r="A1598" s="1">
        <v>46188</v>
      </c>
      <c r="B1598" t="s">
        <v>80</v>
      </c>
      <c r="C1598" t="s">
        <v>81</v>
      </c>
      <c r="D1598" t="s">
        <v>82</v>
      </c>
      <c r="E1598">
        <v>490</v>
      </c>
      <c r="F1598">
        <v>2.5</v>
      </c>
      <c r="G1598">
        <f t="shared" si="72"/>
        <v>1225</v>
      </c>
      <c r="H1598">
        <v>1.5</v>
      </c>
      <c r="I1598">
        <f t="shared" si="73"/>
        <v>735</v>
      </c>
      <c r="J1598">
        <f t="shared" si="74"/>
        <v>490</v>
      </c>
      <c r="K1598" t="s">
        <v>42</v>
      </c>
      <c r="L1598" t="s">
        <v>36</v>
      </c>
      <c r="M1598" t="s">
        <v>37</v>
      </c>
      <c r="N1598" t="s">
        <v>43</v>
      </c>
      <c r="O1598">
        <v>539</v>
      </c>
      <c r="P1598">
        <v>490</v>
      </c>
      <c r="Q1598" t="s">
        <v>44</v>
      </c>
      <c r="R1598" t="s">
        <v>45</v>
      </c>
      <c r="S1598" t="s">
        <v>46</v>
      </c>
      <c r="T1598">
        <v>2024</v>
      </c>
      <c r="U1598" t="s">
        <v>31</v>
      </c>
    </row>
    <row r="1599" spans="1:21" x14ac:dyDescent="0.35">
      <c r="A1599" s="1">
        <v>46189</v>
      </c>
      <c r="B1599" t="s">
        <v>21</v>
      </c>
      <c r="C1599" t="s">
        <v>22</v>
      </c>
      <c r="D1599" t="s">
        <v>23</v>
      </c>
      <c r="E1599">
        <v>463</v>
      </c>
      <c r="F1599">
        <v>8</v>
      </c>
      <c r="G1599">
        <f t="shared" si="72"/>
        <v>3704</v>
      </c>
      <c r="H1599">
        <v>5</v>
      </c>
      <c r="I1599">
        <f t="shared" si="73"/>
        <v>2315</v>
      </c>
      <c r="J1599">
        <f t="shared" si="74"/>
        <v>1389</v>
      </c>
      <c r="K1599" t="s">
        <v>42</v>
      </c>
      <c r="L1599" t="s">
        <v>25</v>
      </c>
      <c r="M1599" t="s">
        <v>37</v>
      </c>
      <c r="N1599" t="s">
        <v>27</v>
      </c>
      <c r="O1599">
        <v>872</v>
      </c>
      <c r="P1599">
        <v>463</v>
      </c>
      <c r="Q1599" t="s">
        <v>83</v>
      </c>
      <c r="R1599" t="s">
        <v>84</v>
      </c>
      <c r="S1599" t="s">
        <v>85</v>
      </c>
      <c r="T1599">
        <v>2021</v>
      </c>
      <c r="U1599" t="s">
        <v>96</v>
      </c>
    </row>
    <row r="1600" spans="1:21" x14ac:dyDescent="0.35">
      <c r="A1600" s="1">
        <v>46190</v>
      </c>
      <c r="B1600" t="s">
        <v>98</v>
      </c>
      <c r="C1600" t="s">
        <v>99</v>
      </c>
      <c r="D1600" t="s">
        <v>100</v>
      </c>
      <c r="E1600">
        <v>30</v>
      </c>
      <c r="F1600">
        <v>6</v>
      </c>
      <c r="G1600">
        <f t="shared" si="72"/>
        <v>180</v>
      </c>
      <c r="H1600">
        <v>4</v>
      </c>
      <c r="I1600">
        <f t="shared" si="73"/>
        <v>120</v>
      </c>
      <c r="J1600">
        <f t="shared" si="74"/>
        <v>60</v>
      </c>
      <c r="K1600" t="s">
        <v>42</v>
      </c>
      <c r="L1600" t="s">
        <v>36</v>
      </c>
      <c r="M1600" t="s">
        <v>61</v>
      </c>
      <c r="N1600" t="s">
        <v>43</v>
      </c>
      <c r="O1600">
        <v>594</v>
      </c>
      <c r="P1600">
        <v>30</v>
      </c>
      <c r="Q1600" t="s">
        <v>90</v>
      </c>
      <c r="R1600" t="s">
        <v>55</v>
      </c>
      <c r="S1600" t="s">
        <v>85</v>
      </c>
      <c r="T1600">
        <v>2021</v>
      </c>
      <c r="U1600" t="s">
        <v>53</v>
      </c>
    </row>
    <row r="1601" spans="1:21" x14ac:dyDescent="0.35">
      <c r="A1601" s="1">
        <v>46191</v>
      </c>
      <c r="B1601" t="s">
        <v>21</v>
      </c>
      <c r="C1601" t="s">
        <v>22</v>
      </c>
      <c r="D1601" t="s">
        <v>23</v>
      </c>
      <c r="E1601">
        <v>64</v>
      </c>
      <c r="F1601">
        <v>8</v>
      </c>
      <c r="G1601">
        <f t="shared" si="72"/>
        <v>512</v>
      </c>
      <c r="H1601">
        <v>5</v>
      </c>
      <c r="I1601">
        <f t="shared" si="73"/>
        <v>320</v>
      </c>
      <c r="J1601">
        <f t="shared" si="74"/>
        <v>192</v>
      </c>
      <c r="K1601" t="s">
        <v>24</v>
      </c>
      <c r="L1601" t="s">
        <v>73</v>
      </c>
      <c r="M1601" t="s">
        <v>26</v>
      </c>
      <c r="N1601" t="s">
        <v>27</v>
      </c>
      <c r="O1601">
        <v>888</v>
      </c>
      <c r="P1601">
        <v>64</v>
      </c>
      <c r="Q1601" t="s">
        <v>51</v>
      </c>
      <c r="R1601" t="s">
        <v>45</v>
      </c>
      <c r="S1601" t="s">
        <v>52</v>
      </c>
      <c r="T1601">
        <v>2024</v>
      </c>
      <c r="U1601" t="s">
        <v>105</v>
      </c>
    </row>
    <row r="1602" spans="1:21" x14ac:dyDescent="0.35">
      <c r="A1602" s="1">
        <v>46192</v>
      </c>
      <c r="B1602" t="s">
        <v>48</v>
      </c>
      <c r="C1602" t="s">
        <v>49</v>
      </c>
      <c r="D1602" t="s">
        <v>50</v>
      </c>
      <c r="E1602">
        <v>285</v>
      </c>
      <c r="F1602">
        <v>150</v>
      </c>
      <c r="G1602">
        <f t="shared" si="72"/>
        <v>42750</v>
      </c>
      <c r="H1602">
        <v>100</v>
      </c>
      <c r="I1602">
        <f t="shared" si="73"/>
        <v>28500</v>
      </c>
      <c r="J1602">
        <f t="shared" si="74"/>
        <v>14250</v>
      </c>
      <c r="K1602" t="s">
        <v>24</v>
      </c>
      <c r="L1602" t="s">
        <v>63</v>
      </c>
      <c r="M1602" t="s">
        <v>26</v>
      </c>
      <c r="N1602" t="s">
        <v>43</v>
      </c>
      <c r="O1602">
        <v>710</v>
      </c>
      <c r="P1602">
        <v>285</v>
      </c>
      <c r="Q1602" t="s">
        <v>39</v>
      </c>
      <c r="R1602" t="s">
        <v>40</v>
      </c>
      <c r="S1602" t="s">
        <v>41</v>
      </c>
      <c r="T1602">
        <v>2021</v>
      </c>
      <c r="U1602" t="s">
        <v>109</v>
      </c>
    </row>
    <row r="1603" spans="1:21" x14ac:dyDescent="0.35">
      <c r="A1603" s="1">
        <v>46193</v>
      </c>
      <c r="B1603" t="s">
        <v>58</v>
      </c>
      <c r="C1603" t="s">
        <v>59</v>
      </c>
      <c r="D1603" t="s">
        <v>60</v>
      </c>
      <c r="E1603">
        <v>331</v>
      </c>
      <c r="F1603">
        <v>5</v>
      </c>
      <c r="G1603">
        <f t="shared" ref="G1603:G1666" si="75">E1603*F1603</f>
        <v>1655</v>
      </c>
      <c r="H1603">
        <v>3</v>
      </c>
      <c r="I1603">
        <f t="shared" ref="I1603:I1666" si="76">E1603*H1603</f>
        <v>993</v>
      </c>
      <c r="J1603">
        <f t="shared" ref="J1603:J1666" si="77">G1603-I1603</f>
        <v>662</v>
      </c>
      <c r="K1603" t="s">
        <v>35</v>
      </c>
      <c r="L1603" t="s">
        <v>36</v>
      </c>
      <c r="M1603" t="s">
        <v>37</v>
      </c>
      <c r="N1603" t="s">
        <v>43</v>
      </c>
      <c r="O1603">
        <v>675</v>
      </c>
      <c r="P1603">
        <v>331</v>
      </c>
      <c r="Q1603" t="s">
        <v>74</v>
      </c>
      <c r="R1603" t="s">
        <v>75</v>
      </c>
      <c r="S1603" t="s">
        <v>76</v>
      </c>
      <c r="T1603">
        <v>2022</v>
      </c>
      <c r="U1603" t="s">
        <v>96</v>
      </c>
    </row>
    <row r="1604" spans="1:21" x14ac:dyDescent="0.35">
      <c r="A1604" s="1">
        <v>46194</v>
      </c>
      <c r="B1604" t="s">
        <v>80</v>
      </c>
      <c r="C1604" t="s">
        <v>81</v>
      </c>
      <c r="D1604" t="s">
        <v>82</v>
      </c>
      <c r="E1604">
        <v>102</v>
      </c>
      <c r="F1604">
        <v>2.5</v>
      </c>
      <c r="G1604">
        <f t="shared" si="75"/>
        <v>255</v>
      </c>
      <c r="H1604">
        <v>1.5</v>
      </c>
      <c r="I1604">
        <f t="shared" si="76"/>
        <v>153</v>
      </c>
      <c r="J1604">
        <f t="shared" si="77"/>
        <v>102</v>
      </c>
      <c r="K1604" t="s">
        <v>35</v>
      </c>
      <c r="L1604" t="s">
        <v>36</v>
      </c>
      <c r="M1604" t="s">
        <v>26</v>
      </c>
      <c r="N1604" t="s">
        <v>43</v>
      </c>
      <c r="O1604">
        <v>770</v>
      </c>
      <c r="P1604">
        <v>102</v>
      </c>
      <c r="Q1604" t="s">
        <v>28</v>
      </c>
      <c r="R1604" t="s">
        <v>29</v>
      </c>
      <c r="S1604" t="s">
        <v>30</v>
      </c>
      <c r="T1604">
        <v>2020</v>
      </c>
      <c r="U1604" t="s">
        <v>57</v>
      </c>
    </row>
    <row r="1605" spans="1:21" x14ac:dyDescent="0.35">
      <c r="A1605" s="1">
        <v>46195</v>
      </c>
      <c r="B1605" t="s">
        <v>80</v>
      </c>
      <c r="C1605" t="s">
        <v>81</v>
      </c>
      <c r="D1605" t="s">
        <v>82</v>
      </c>
      <c r="E1605">
        <v>371</v>
      </c>
      <c r="F1605">
        <v>2.5</v>
      </c>
      <c r="G1605">
        <f t="shared" si="75"/>
        <v>927.5</v>
      </c>
      <c r="H1605">
        <v>1.5</v>
      </c>
      <c r="I1605">
        <f t="shared" si="76"/>
        <v>556.5</v>
      </c>
      <c r="J1605">
        <f t="shared" si="77"/>
        <v>371</v>
      </c>
      <c r="K1605" t="s">
        <v>35</v>
      </c>
      <c r="L1605" t="s">
        <v>63</v>
      </c>
      <c r="M1605" t="s">
        <v>26</v>
      </c>
      <c r="N1605" t="s">
        <v>43</v>
      </c>
      <c r="O1605">
        <v>936</v>
      </c>
      <c r="P1605">
        <v>371</v>
      </c>
      <c r="Q1605" t="s">
        <v>64</v>
      </c>
      <c r="R1605" t="s">
        <v>29</v>
      </c>
      <c r="S1605" t="s">
        <v>65</v>
      </c>
      <c r="T1605">
        <v>2023</v>
      </c>
      <c r="U1605" t="s">
        <v>109</v>
      </c>
    </row>
    <row r="1606" spans="1:21" x14ac:dyDescent="0.35">
      <c r="A1606" s="1">
        <v>46196</v>
      </c>
      <c r="B1606" t="s">
        <v>98</v>
      </c>
      <c r="C1606" t="s">
        <v>99</v>
      </c>
      <c r="D1606" t="s">
        <v>100</v>
      </c>
      <c r="E1606">
        <v>178</v>
      </c>
      <c r="F1606">
        <v>6</v>
      </c>
      <c r="G1606">
        <f t="shared" si="75"/>
        <v>1068</v>
      </c>
      <c r="H1606">
        <v>4</v>
      </c>
      <c r="I1606">
        <f t="shared" si="76"/>
        <v>712</v>
      </c>
      <c r="J1606">
        <f t="shared" si="77"/>
        <v>356</v>
      </c>
      <c r="K1606" t="s">
        <v>24</v>
      </c>
      <c r="L1606" t="s">
        <v>63</v>
      </c>
      <c r="M1606" t="s">
        <v>37</v>
      </c>
      <c r="N1606" t="s">
        <v>38</v>
      </c>
      <c r="O1606">
        <v>750</v>
      </c>
      <c r="P1606">
        <v>178</v>
      </c>
      <c r="Q1606" t="s">
        <v>51</v>
      </c>
      <c r="R1606" t="s">
        <v>45</v>
      </c>
      <c r="S1606" t="s">
        <v>52</v>
      </c>
      <c r="T1606">
        <v>2021</v>
      </c>
      <c r="U1606" t="s">
        <v>86</v>
      </c>
    </row>
    <row r="1607" spans="1:21" x14ac:dyDescent="0.35">
      <c r="A1607" s="1">
        <v>46197</v>
      </c>
      <c r="B1607" t="s">
        <v>80</v>
      </c>
      <c r="C1607" t="s">
        <v>81</v>
      </c>
      <c r="D1607" t="s">
        <v>82</v>
      </c>
      <c r="E1607">
        <v>429</v>
      </c>
      <c r="F1607">
        <v>2.5</v>
      </c>
      <c r="G1607">
        <f t="shared" si="75"/>
        <v>1072.5</v>
      </c>
      <c r="H1607">
        <v>1.5</v>
      </c>
      <c r="I1607">
        <f t="shared" si="76"/>
        <v>643.5</v>
      </c>
      <c r="J1607">
        <f t="shared" si="77"/>
        <v>429</v>
      </c>
      <c r="K1607" t="s">
        <v>24</v>
      </c>
      <c r="L1607" t="s">
        <v>36</v>
      </c>
      <c r="M1607" t="s">
        <v>37</v>
      </c>
      <c r="N1607" t="s">
        <v>27</v>
      </c>
      <c r="O1607">
        <v>902</v>
      </c>
      <c r="P1607">
        <v>429</v>
      </c>
      <c r="Q1607" t="s">
        <v>64</v>
      </c>
      <c r="R1607" t="s">
        <v>29</v>
      </c>
      <c r="S1607" t="s">
        <v>65</v>
      </c>
      <c r="T1607">
        <v>2023</v>
      </c>
      <c r="U1607" t="s">
        <v>97</v>
      </c>
    </row>
    <row r="1608" spans="1:21" x14ac:dyDescent="0.35">
      <c r="A1608" s="1">
        <v>46198</v>
      </c>
      <c r="B1608" t="s">
        <v>58</v>
      </c>
      <c r="C1608" t="s">
        <v>59</v>
      </c>
      <c r="D1608" t="s">
        <v>60</v>
      </c>
      <c r="E1608">
        <v>415</v>
      </c>
      <c r="F1608">
        <v>5</v>
      </c>
      <c r="G1608">
        <f t="shared" si="75"/>
        <v>2075</v>
      </c>
      <c r="H1608">
        <v>3</v>
      </c>
      <c r="I1608">
        <f t="shared" si="76"/>
        <v>1245</v>
      </c>
      <c r="J1608">
        <f t="shared" si="77"/>
        <v>830</v>
      </c>
      <c r="K1608" t="s">
        <v>42</v>
      </c>
      <c r="L1608" t="s">
        <v>73</v>
      </c>
      <c r="M1608" t="s">
        <v>26</v>
      </c>
      <c r="N1608" t="s">
        <v>43</v>
      </c>
      <c r="O1608">
        <v>737</v>
      </c>
      <c r="P1608">
        <v>415</v>
      </c>
      <c r="Q1608" t="s">
        <v>77</v>
      </c>
      <c r="R1608" t="s">
        <v>78</v>
      </c>
      <c r="S1608" t="s">
        <v>79</v>
      </c>
      <c r="T1608">
        <v>2020</v>
      </c>
      <c r="U1608" t="s">
        <v>53</v>
      </c>
    </row>
    <row r="1609" spans="1:21" x14ac:dyDescent="0.35">
      <c r="A1609" s="1">
        <v>46199</v>
      </c>
      <c r="B1609" t="s">
        <v>58</v>
      </c>
      <c r="C1609" t="s">
        <v>59</v>
      </c>
      <c r="D1609" t="s">
        <v>60</v>
      </c>
      <c r="E1609">
        <v>456</v>
      </c>
      <c r="F1609">
        <v>5</v>
      </c>
      <c r="G1609">
        <f t="shared" si="75"/>
        <v>2280</v>
      </c>
      <c r="H1609">
        <v>3</v>
      </c>
      <c r="I1609">
        <f t="shared" si="76"/>
        <v>1368</v>
      </c>
      <c r="J1609">
        <f t="shared" si="77"/>
        <v>912</v>
      </c>
      <c r="K1609" t="s">
        <v>42</v>
      </c>
      <c r="L1609" t="s">
        <v>25</v>
      </c>
      <c r="M1609" t="s">
        <v>37</v>
      </c>
      <c r="N1609" t="s">
        <v>38</v>
      </c>
      <c r="O1609">
        <v>694</v>
      </c>
      <c r="P1609">
        <v>456</v>
      </c>
      <c r="Q1609" t="s">
        <v>101</v>
      </c>
      <c r="R1609" t="s">
        <v>101</v>
      </c>
      <c r="S1609" t="s">
        <v>102</v>
      </c>
      <c r="T1609">
        <v>2020</v>
      </c>
      <c r="U1609" t="s">
        <v>105</v>
      </c>
    </row>
    <row r="1610" spans="1:21" x14ac:dyDescent="0.35">
      <c r="A1610" s="1">
        <v>46200</v>
      </c>
      <c r="B1610" t="s">
        <v>80</v>
      </c>
      <c r="C1610" t="s">
        <v>81</v>
      </c>
      <c r="D1610" t="s">
        <v>82</v>
      </c>
      <c r="E1610">
        <v>425</v>
      </c>
      <c r="F1610">
        <v>2.5</v>
      </c>
      <c r="G1610">
        <f t="shared" si="75"/>
        <v>1062.5</v>
      </c>
      <c r="H1610">
        <v>1.5</v>
      </c>
      <c r="I1610">
        <f t="shared" si="76"/>
        <v>637.5</v>
      </c>
      <c r="J1610">
        <f t="shared" si="77"/>
        <v>425</v>
      </c>
      <c r="K1610" t="s">
        <v>24</v>
      </c>
      <c r="L1610" t="s">
        <v>63</v>
      </c>
      <c r="M1610" t="s">
        <v>37</v>
      </c>
      <c r="N1610" t="s">
        <v>27</v>
      </c>
      <c r="O1610">
        <v>713</v>
      </c>
      <c r="P1610">
        <v>425</v>
      </c>
      <c r="Q1610" t="s">
        <v>51</v>
      </c>
      <c r="R1610" t="s">
        <v>45</v>
      </c>
      <c r="S1610" t="s">
        <v>52</v>
      </c>
      <c r="T1610">
        <v>2020</v>
      </c>
      <c r="U1610" t="s">
        <v>53</v>
      </c>
    </row>
    <row r="1611" spans="1:21" x14ac:dyDescent="0.35">
      <c r="A1611" s="1">
        <v>46201</v>
      </c>
      <c r="B1611" t="s">
        <v>21</v>
      </c>
      <c r="C1611" t="s">
        <v>22</v>
      </c>
      <c r="D1611" t="s">
        <v>23</v>
      </c>
      <c r="E1611">
        <v>147</v>
      </c>
      <c r="F1611">
        <v>8</v>
      </c>
      <c r="G1611">
        <f t="shared" si="75"/>
        <v>1176</v>
      </c>
      <c r="H1611">
        <v>5</v>
      </c>
      <c r="I1611">
        <f t="shared" si="76"/>
        <v>735</v>
      </c>
      <c r="J1611">
        <f t="shared" si="77"/>
        <v>441</v>
      </c>
      <c r="K1611" t="s">
        <v>42</v>
      </c>
      <c r="L1611" t="s">
        <v>73</v>
      </c>
      <c r="M1611" t="s">
        <v>61</v>
      </c>
      <c r="N1611" t="s">
        <v>43</v>
      </c>
      <c r="O1611">
        <v>912</v>
      </c>
      <c r="P1611">
        <v>147</v>
      </c>
      <c r="Q1611" t="s">
        <v>94</v>
      </c>
      <c r="R1611" t="s">
        <v>75</v>
      </c>
      <c r="S1611" t="s">
        <v>95</v>
      </c>
      <c r="T1611">
        <v>2020</v>
      </c>
      <c r="U1611" t="s">
        <v>91</v>
      </c>
    </row>
    <row r="1612" spans="1:21" x14ac:dyDescent="0.35">
      <c r="A1612" s="1">
        <v>46202</v>
      </c>
      <c r="B1612" t="s">
        <v>58</v>
      </c>
      <c r="C1612" t="s">
        <v>59</v>
      </c>
      <c r="D1612" t="s">
        <v>60</v>
      </c>
      <c r="E1612">
        <v>389</v>
      </c>
      <c r="F1612">
        <v>5</v>
      </c>
      <c r="G1612">
        <f t="shared" si="75"/>
        <v>1945</v>
      </c>
      <c r="H1612">
        <v>3</v>
      </c>
      <c r="I1612">
        <f t="shared" si="76"/>
        <v>1167</v>
      </c>
      <c r="J1612">
        <f t="shared" si="77"/>
        <v>778</v>
      </c>
      <c r="K1612" t="s">
        <v>42</v>
      </c>
      <c r="L1612" t="s">
        <v>36</v>
      </c>
      <c r="M1612" t="s">
        <v>26</v>
      </c>
      <c r="N1612" t="s">
        <v>43</v>
      </c>
      <c r="O1612">
        <v>996</v>
      </c>
      <c r="P1612">
        <v>389</v>
      </c>
      <c r="Q1612" t="s">
        <v>77</v>
      </c>
      <c r="R1612" t="s">
        <v>78</v>
      </c>
      <c r="S1612" t="s">
        <v>79</v>
      </c>
      <c r="T1612">
        <v>2021</v>
      </c>
      <c r="U1612" t="s">
        <v>97</v>
      </c>
    </row>
    <row r="1613" spans="1:21" x14ac:dyDescent="0.35">
      <c r="A1613" s="1">
        <v>46203</v>
      </c>
      <c r="B1613" t="s">
        <v>21</v>
      </c>
      <c r="C1613" t="s">
        <v>22</v>
      </c>
      <c r="D1613" t="s">
        <v>23</v>
      </c>
      <c r="E1613">
        <v>273</v>
      </c>
      <c r="F1613">
        <v>8</v>
      </c>
      <c r="G1613">
        <f t="shared" si="75"/>
        <v>2184</v>
      </c>
      <c r="H1613">
        <v>5</v>
      </c>
      <c r="I1613">
        <f t="shared" si="76"/>
        <v>1365</v>
      </c>
      <c r="J1613">
        <f t="shared" si="77"/>
        <v>819</v>
      </c>
      <c r="K1613" t="s">
        <v>42</v>
      </c>
      <c r="L1613" t="s">
        <v>36</v>
      </c>
      <c r="M1613" t="s">
        <v>61</v>
      </c>
      <c r="N1613" t="s">
        <v>27</v>
      </c>
      <c r="O1613">
        <v>942</v>
      </c>
      <c r="P1613">
        <v>273</v>
      </c>
      <c r="Q1613" t="s">
        <v>51</v>
      </c>
      <c r="R1613" t="s">
        <v>45</v>
      </c>
      <c r="S1613" t="s">
        <v>52</v>
      </c>
      <c r="T1613">
        <v>2020</v>
      </c>
      <c r="U1613" t="s">
        <v>31</v>
      </c>
    </row>
    <row r="1614" spans="1:21" x14ac:dyDescent="0.35">
      <c r="A1614" s="1">
        <v>46204</v>
      </c>
      <c r="B1614" t="s">
        <v>98</v>
      </c>
      <c r="C1614" t="s">
        <v>99</v>
      </c>
      <c r="D1614" t="s">
        <v>100</v>
      </c>
      <c r="E1614">
        <v>385</v>
      </c>
      <c r="F1614">
        <v>6</v>
      </c>
      <c r="G1614">
        <f t="shared" si="75"/>
        <v>2310</v>
      </c>
      <c r="H1614">
        <v>4</v>
      </c>
      <c r="I1614">
        <f t="shared" si="76"/>
        <v>1540</v>
      </c>
      <c r="J1614">
        <f t="shared" si="77"/>
        <v>770</v>
      </c>
      <c r="K1614" t="s">
        <v>24</v>
      </c>
      <c r="L1614" t="s">
        <v>63</v>
      </c>
      <c r="M1614" t="s">
        <v>37</v>
      </c>
      <c r="N1614" t="s">
        <v>43</v>
      </c>
      <c r="O1614">
        <v>932</v>
      </c>
      <c r="P1614">
        <v>385</v>
      </c>
      <c r="Q1614" t="s">
        <v>106</v>
      </c>
      <c r="R1614" t="s">
        <v>107</v>
      </c>
      <c r="S1614" t="s">
        <v>108</v>
      </c>
      <c r="T1614">
        <v>2022</v>
      </c>
      <c r="U1614" t="s">
        <v>109</v>
      </c>
    </row>
    <row r="1615" spans="1:21" x14ac:dyDescent="0.35">
      <c r="A1615" s="1">
        <v>46205</v>
      </c>
      <c r="B1615" t="s">
        <v>80</v>
      </c>
      <c r="C1615" t="s">
        <v>81</v>
      </c>
      <c r="D1615" t="s">
        <v>82</v>
      </c>
      <c r="E1615">
        <v>42</v>
      </c>
      <c r="F1615">
        <v>2.5</v>
      </c>
      <c r="G1615">
        <f t="shared" si="75"/>
        <v>105</v>
      </c>
      <c r="H1615">
        <v>1.5</v>
      </c>
      <c r="I1615">
        <f t="shared" si="76"/>
        <v>63</v>
      </c>
      <c r="J1615">
        <f t="shared" si="77"/>
        <v>42</v>
      </c>
      <c r="K1615" t="s">
        <v>24</v>
      </c>
      <c r="L1615" t="s">
        <v>36</v>
      </c>
      <c r="M1615" t="s">
        <v>26</v>
      </c>
      <c r="N1615" t="s">
        <v>27</v>
      </c>
      <c r="O1615">
        <v>756</v>
      </c>
      <c r="P1615">
        <v>42</v>
      </c>
      <c r="Q1615" t="s">
        <v>103</v>
      </c>
      <c r="R1615" t="s">
        <v>68</v>
      </c>
      <c r="S1615" t="s">
        <v>104</v>
      </c>
      <c r="T1615">
        <v>2024</v>
      </c>
      <c r="U1615" t="s">
        <v>53</v>
      </c>
    </row>
    <row r="1616" spans="1:21" x14ac:dyDescent="0.35">
      <c r="A1616" s="1">
        <v>46206</v>
      </c>
      <c r="B1616" t="s">
        <v>80</v>
      </c>
      <c r="C1616" t="s">
        <v>81</v>
      </c>
      <c r="D1616" t="s">
        <v>82</v>
      </c>
      <c r="E1616">
        <v>28</v>
      </c>
      <c r="F1616">
        <v>2.5</v>
      </c>
      <c r="G1616">
        <f t="shared" si="75"/>
        <v>70</v>
      </c>
      <c r="H1616">
        <v>1.5</v>
      </c>
      <c r="I1616">
        <f t="shared" si="76"/>
        <v>42</v>
      </c>
      <c r="J1616">
        <f t="shared" si="77"/>
        <v>28</v>
      </c>
      <c r="K1616" t="s">
        <v>24</v>
      </c>
      <c r="L1616" t="s">
        <v>63</v>
      </c>
      <c r="M1616" t="s">
        <v>37</v>
      </c>
      <c r="N1616" t="s">
        <v>27</v>
      </c>
      <c r="O1616">
        <v>752</v>
      </c>
      <c r="P1616">
        <v>28</v>
      </c>
      <c r="Q1616" t="s">
        <v>113</v>
      </c>
      <c r="R1616" t="s">
        <v>114</v>
      </c>
      <c r="S1616" t="s">
        <v>115</v>
      </c>
      <c r="T1616">
        <v>2020</v>
      </c>
      <c r="U1616" t="s">
        <v>91</v>
      </c>
    </row>
    <row r="1617" spans="1:21" x14ac:dyDescent="0.35">
      <c r="A1617" s="1">
        <v>46207</v>
      </c>
      <c r="B1617" t="s">
        <v>80</v>
      </c>
      <c r="C1617" t="s">
        <v>81</v>
      </c>
      <c r="D1617" t="s">
        <v>82</v>
      </c>
      <c r="E1617">
        <v>367</v>
      </c>
      <c r="F1617">
        <v>2.5</v>
      </c>
      <c r="G1617">
        <f t="shared" si="75"/>
        <v>917.5</v>
      </c>
      <c r="H1617">
        <v>1.5</v>
      </c>
      <c r="I1617">
        <f t="shared" si="76"/>
        <v>550.5</v>
      </c>
      <c r="J1617">
        <f t="shared" si="77"/>
        <v>367</v>
      </c>
      <c r="K1617" t="s">
        <v>35</v>
      </c>
      <c r="L1617" t="s">
        <v>25</v>
      </c>
      <c r="M1617" t="s">
        <v>37</v>
      </c>
      <c r="N1617" t="s">
        <v>43</v>
      </c>
      <c r="O1617">
        <v>680</v>
      </c>
      <c r="P1617">
        <v>367</v>
      </c>
      <c r="Q1617" t="s">
        <v>106</v>
      </c>
      <c r="R1617" t="s">
        <v>107</v>
      </c>
      <c r="S1617" t="s">
        <v>108</v>
      </c>
      <c r="T1617">
        <v>2020</v>
      </c>
      <c r="U1617" t="s">
        <v>31</v>
      </c>
    </row>
    <row r="1618" spans="1:21" x14ac:dyDescent="0.35">
      <c r="A1618" s="1">
        <v>46208</v>
      </c>
      <c r="B1618" t="s">
        <v>32</v>
      </c>
      <c r="C1618" t="s">
        <v>33</v>
      </c>
      <c r="D1618" t="s">
        <v>34</v>
      </c>
      <c r="E1618">
        <v>224</v>
      </c>
      <c r="F1618">
        <v>20</v>
      </c>
      <c r="G1618">
        <f t="shared" si="75"/>
        <v>4480</v>
      </c>
      <c r="H1618">
        <v>12</v>
      </c>
      <c r="I1618">
        <f t="shared" si="76"/>
        <v>2688</v>
      </c>
      <c r="J1618">
        <f t="shared" si="77"/>
        <v>1792</v>
      </c>
      <c r="K1618" t="s">
        <v>24</v>
      </c>
      <c r="L1618" t="s">
        <v>36</v>
      </c>
      <c r="M1618" t="s">
        <v>37</v>
      </c>
      <c r="N1618" t="s">
        <v>43</v>
      </c>
      <c r="O1618">
        <v>885</v>
      </c>
      <c r="P1618">
        <v>224</v>
      </c>
      <c r="Q1618" t="s">
        <v>103</v>
      </c>
      <c r="R1618" t="s">
        <v>68</v>
      </c>
      <c r="S1618" t="s">
        <v>104</v>
      </c>
      <c r="T1618">
        <v>2020</v>
      </c>
      <c r="U1618" t="s">
        <v>97</v>
      </c>
    </row>
    <row r="1619" spans="1:21" x14ac:dyDescent="0.35">
      <c r="A1619" s="1">
        <v>46209</v>
      </c>
      <c r="B1619" t="s">
        <v>48</v>
      </c>
      <c r="C1619" t="s">
        <v>49</v>
      </c>
      <c r="D1619" t="s">
        <v>50</v>
      </c>
      <c r="E1619">
        <v>383</v>
      </c>
      <c r="F1619">
        <v>150</v>
      </c>
      <c r="G1619">
        <f t="shared" si="75"/>
        <v>57450</v>
      </c>
      <c r="H1619">
        <v>100</v>
      </c>
      <c r="I1619">
        <f t="shared" si="76"/>
        <v>38300</v>
      </c>
      <c r="J1619">
        <f t="shared" si="77"/>
        <v>19150</v>
      </c>
      <c r="K1619" t="s">
        <v>35</v>
      </c>
      <c r="L1619" t="s">
        <v>73</v>
      </c>
      <c r="M1619" t="s">
        <v>37</v>
      </c>
      <c r="N1619" t="s">
        <v>27</v>
      </c>
      <c r="O1619">
        <v>667</v>
      </c>
      <c r="P1619">
        <v>383</v>
      </c>
      <c r="Q1619" t="s">
        <v>39</v>
      </c>
      <c r="R1619" t="s">
        <v>40</v>
      </c>
      <c r="S1619" t="s">
        <v>41</v>
      </c>
      <c r="T1619">
        <v>2023</v>
      </c>
      <c r="U1619" t="s">
        <v>91</v>
      </c>
    </row>
    <row r="1620" spans="1:21" x14ac:dyDescent="0.35">
      <c r="A1620" s="1">
        <v>46210</v>
      </c>
      <c r="B1620" t="s">
        <v>98</v>
      </c>
      <c r="C1620" t="s">
        <v>99</v>
      </c>
      <c r="D1620" t="s">
        <v>100</v>
      </c>
      <c r="E1620">
        <v>474</v>
      </c>
      <c r="F1620">
        <v>6</v>
      </c>
      <c r="G1620">
        <f t="shared" si="75"/>
        <v>2844</v>
      </c>
      <c r="H1620">
        <v>4</v>
      </c>
      <c r="I1620">
        <f t="shared" si="76"/>
        <v>1896</v>
      </c>
      <c r="J1620">
        <f t="shared" si="77"/>
        <v>948</v>
      </c>
      <c r="K1620" t="s">
        <v>24</v>
      </c>
      <c r="L1620" t="s">
        <v>73</v>
      </c>
      <c r="M1620" t="s">
        <v>37</v>
      </c>
      <c r="N1620" t="s">
        <v>38</v>
      </c>
      <c r="O1620">
        <v>839</v>
      </c>
      <c r="P1620">
        <v>474</v>
      </c>
      <c r="Q1620" t="s">
        <v>90</v>
      </c>
      <c r="R1620" t="s">
        <v>55</v>
      </c>
      <c r="S1620" t="s">
        <v>85</v>
      </c>
      <c r="T1620">
        <v>2020</v>
      </c>
      <c r="U1620" t="s">
        <v>53</v>
      </c>
    </row>
    <row r="1621" spans="1:21" x14ac:dyDescent="0.35">
      <c r="A1621" s="1">
        <v>46211</v>
      </c>
      <c r="B1621" t="s">
        <v>58</v>
      </c>
      <c r="C1621" t="s">
        <v>59</v>
      </c>
      <c r="D1621" t="s">
        <v>60</v>
      </c>
      <c r="E1621">
        <v>338</v>
      </c>
      <c r="F1621">
        <v>5</v>
      </c>
      <c r="G1621">
        <f t="shared" si="75"/>
        <v>1690</v>
      </c>
      <c r="H1621">
        <v>3</v>
      </c>
      <c r="I1621">
        <f t="shared" si="76"/>
        <v>1014</v>
      </c>
      <c r="J1621">
        <f t="shared" si="77"/>
        <v>676</v>
      </c>
      <c r="K1621" t="s">
        <v>35</v>
      </c>
      <c r="L1621" t="s">
        <v>25</v>
      </c>
      <c r="M1621" t="s">
        <v>61</v>
      </c>
      <c r="N1621" t="s">
        <v>43</v>
      </c>
      <c r="O1621">
        <v>944</v>
      </c>
      <c r="P1621">
        <v>338</v>
      </c>
      <c r="Q1621" t="s">
        <v>54</v>
      </c>
      <c r="R1621" t="s">
        <v>55</v>
      </c>
      <c r="S1621" t="s">
        <v>56</v>
      </c>
      <c r="T1621">
        <v>2024</v>
      </c>
      <c r="U1621" t="s">
        <v>91</v>
      </c>
    </row>
    <row r="1622" spans="1:21" x14ac:dyDescent="0.35">
      <c r="A1622" s="1">
        <v>46212</v>
      </c>
      <c r="B1622" t="s">
        <v>98</v>
      </c>
      <c r="C1622" t="s">
        <v>99</v>
      </c>
      <c r="D1622" t="s">
        <v>100</v>
      </c>
      <c r="E1622">
        <v>399</v>
      </c>
      <c r="F1622">
        <v>6</v>
      </c>
      <c r="G1622">
        <f t="shared" si="75"/>
        <v>2394</v>
      </c>
      <c r="H1622">
        <v>4</v>
      </c>
      <c r="I1622">
        <f t="shared" si="76"/>
        <v>1596</v>
      </c>
      <c r="J1622">
        <f t="shared" si="77"/>
        <v>798</v>
      </c>
      <c r="K1622" t="s">
        <v>42</v>
      </c>
      <c r="L1622" t="s">
        <v>73</v>
      </c>
      <c r="M1622" t="s">
        <v>61</v>
      </c>
      <c r="N1622" t="s">
        <v>27</v>
      </c>
      <c r="O1622">
        <v>654</v>
      </c>
      <c r="P1622">
        <v>399</v>
      </c>
      <c r="Q1622" t="s">
        <v>44</v>
      </c>
      <c r="R1622" t="s">
        <v>45</v>
      </c>
      <c r="S1622" t="s">
        <v>46</v>
      </c>
      <c r="T1622">
        <v>2020</v>
      </c>
      <c r="U1622" t="s">
        <v>66</v>
      </c>
    </row>
    <row r="1623" spans="1:21" x14ac:dyDescent="0.35">
      <c r="A1623" s="1">
        <v>46213</v>
      </c>
      <c r="B1623" t="s">
        <v>98</v>
      </c>
      <c r="C1623" t="s">
        <v>99</v>
      </c>
      <c r="D1623" t="s">
        <v>100</v>
      </c>
      <c r="E1623">
        <v>229</v>
      </c>
      <c r="F1623">
        <v>6</v>
      </c>
      <c r="G1623">
        <f t="shared" si="75"/>
        <v>1374</v>
      </c>
      <c r="H1623">
        <v>4</v>
      </c>
      <c r="I1623">
        <f t="shared" si="76"/>
        <v>916</v>
      </c>
      <c r="J1623">
        <f t="shared" si="77"/>
        <v>458</v>
      </c>
      <c r="K1623" t="s">
        <v>42</v>
      </c>
      <c r="L1623" t="s">
        <v>63</v>
      </c>
      <c r="M1623" t="s">
        <v>61</v>
      </c>
      <c r="N1623" t="s">
        <v>43</v>
      </c>
      <c r="O1623">
        <v>582</v>
      </c>
      <c r="P1623">
        <v>229</v>
      </c>
      <c r="Q1623" t="s">
        <v>67</v>
      </c>
      <c r="R1623" t="s">
        <v>68</v>
      </c>
      <c r="S1623" t="s">
        <v>69</v>
      </c>
      <c r="T1623">
        <v>2024</v>
      </c>
      <c r="U1623" t="s">
        <v>62</v>
      </c>
    </row>
    <row r="1624" spans="1:21" x14ac:dyDescent="0.35">
      <c r="A1624" s="1">
        <v>46214</v>
      </c>
      <c r="B1624" t="s">
        <v>48</v>
      </c>
      <c r="C1624" t="s">
        <v>49</v>
      </c>
      <c r="D1624" t="s">
        <v>50</v>
      </c>
      <c r="E1624">
        <v>113</v>
      </c>
      <c r="F1624">
        <v>150</v>
      </c>
      <c r="G1624">
        <f t="shared" si="75"/>
        <v>16950</v>
      </c>
      <c r="H1624">
        <v>100</v>
      </c>
      <c r="I1624">
        <f t="shared" si="76"/>
        <v>11300</v>
      </c>
      <c r="J1624">
        <f t="shared" si="77"/>
        <v>5650</v>
      </c>
      <c r="K1624" t="s">
        <v>35</v>
      </c>
      <c r="L1624" t="s">
        <v>25</v>
      </c>
      <c r="M1624" t="s">
        <v>26</v>
      </c>
      <c r="N1624" t="s">
        <v>43</v>
      </c>
      <c r="O1624">
        <v>572</v>
      </c>
      <c r="P1624">
        <v>113</v>
      </c>
      <c r="Q1624" t="s">
        <v>87</v>
      </c>
      <c r="R1624" t="s">
        <v>88</v>
      </c>
      <c r="S1624" t="s">
        <v>89</v>
      </c>
      <c r="T1624">
        <v>2020</v>
      </c>
      <c r="U1624" t="s">
        <v>96</v>
      </c>
    </row>
    <row r="1625" spans="1:21" x14ac:dyDescent="0.35">
      <c r="A1625" s="1">
        <v>46215</v>
      </c>
      <c r="B1625" t="s">
        <v>48</v>
      </c>
      <c r="C1625" t="s">
        <v>49</v>
      </c>
      <c r="D1625" t="s">
        <v>50</v>
      </c>
      <c r="E1625">
        <v>164</v>
      </c>
      <c r="F1625">
        <v>150</v>
      </c>
      <c r="G1625">
        <f t="shared" si="75"/>
        <v>24600</v>
      </c>
      <c r="H1625">
        <v>100</v>
      </c>
      <c r="I1625">
        <f t="shared" si="76"/>
        <v>16400</v>
      </c>
      <c r="J1625">
        <f t="shared" si="77"/>
        <v>8200</v>
      </c>
      <c r="K1625" t="s">
        <v>24</v>
      </c>
      <c r="L1625" t="s">
        <v>36</v>
      </c>
      <c r="M1625" t="s">
        <v>61</v>
      </c>
      <c r="N1625" t="s">
        <v>43</v>
      </c>
      <c r="O1625">
        <v>511</v>
      </c>
      <c r="P1625">
        <v>164</v>
      </c>
      <c r="Q1625" t="s">
        <v>51</v>
      </c>
      <c r="R1625" t="s">
        <v>45</v>
      </c>
      <c r="S1625" t="s">
        <v>52</v>
      </c>
      <c r="T1625">
        <v>2024</v>
      </c>
      <c r="U1625" t="s">
        <v>96</v>
      </c>
    </row>
    <row r="1626" spans="1:21" x14ac:dyDescent="0.35">
      <c r="A1626" s="1">
        <v>46216</v>
      </c>
      <c r="B1626" t="s">
        <v>98</v>
      </c>
      <c r="C1626" t="s">
        <v>99</v>
      </c>
      <c r="D1626" t="s">
        <v>100</v>
      </c>
      <c r="E1626">
        <v>489</v>
      </c>
      <c r="F1626">
        <v>6</v>
      </c>
      <c r="G1626">
        <f t="shared" si="75"/>
        <v>2934</v>
      </c>
      <c r="H1626">
        <v>4</v>
      </c>
      <c r="I1626">
        <f t="shared" si="76"/>
        <v>1956</v>
      </c>
      <c r="J1626">
        <f t="shared" si="77"/>
        <v>978</v>
      </c>
      <c r="K1626" t="s">
        <v>42</v>
      </c>
      <c r="L1626" t="s">
        <v>25</v>
      </c>
      <c r="M1626" t="s">
        <v>61</v>
      </c>
      <c r="N1626" t="s">
        <v>27</v>
      </c>
      <c r="O1626">
        <v>692</v>
      </c>
      <c r="P1626">
        <v>489</v>
      </c>
      <c r="Q1626" t="s">
        <v>51</v>
      </c>
      <c r="R1626" t="s">
        <v>45</v>
      </c>
      <c r="S1626" t="s">
        <v>52</v>
      </c>
      <c r="T1626">
        <v>2022</v>
      </c>
      <c r="U1626" t="s">
        <v>86</v>
      </c>
    </row>
    <row r="1627" spans="1:21" x14ac:dyDescent="0.35">
      <c r="A1627" s="1">
        <v>46217</v>
      </c>
      <c r="B1627" t="s">
        <v>32</v>
      </c>
      <c r="C1627" t="s">
        <v>33</v>
      </c>
      <c r="D1627" t="s">
        <v>34</v>
      </c>
      <c r="E1627">
        <v>84</v>
      </c>
      <c r="F1627">
        <v>20</v>
      </c>
      <c r="G1627">
        <f t="shared" si="75"/>
        <v>1680</v>
      </c>
      <c r="H1627">
        <v>12</v>
      </c>
      <c r="I1627">
        <f t="shared" si="76"/>
        <v>1008</v>
      </c>
      <c r="J1627">
        <f t="shared" si="77"/>
        <v>672</v>
      </c>
      <c r="K1627" t="s">
        <v>24</v>
      </c>
      <c r="L1627" t="s">
        <v>25</v>
      </c>
      <c r="M1627" t="s">
        <v>61</v>
      </c>
      <c r="N1627" t="s">
        <v>43</v>
      </c>
      <c r="O1627">
        <v>860</v>
      </c>
      <c r="P1627">
        <v>84</v>
      </c>
      <c r="Q1627" t="s">
        <v>77</v>
      </c>
      <c r="R1627" t="s">
        <v>78</v>
      </c>
      <c r="S1627" t="s">
        <v>79</v>
      </c>
      <c r="T1627">
        <v>2022</v>
      </c>
      <c r="U1627" t="s">
        <v>109</v>
      </c>
    </row>
    <row r="1628" spans="1:21" x14ac:dyDescent="0.35">
      <c r="A1628" s="1">
        <v>46218</v>
      </c>
      <c r="B1628" t="s">
        <v>21</v>
      </c>
      <c r="C1628" t="s">
        <v>22</v>
      </c>
      <c r="D1628" t="s">
        <v>23</v>
      </c>
      <c r="E1628">
        <v>480</v>
      </c>
      <c r="F1628">
        <v>8</v>
      </c>
      <c r="G1628">
        <f t="shared" si="75"/>
        <v>3840</v>
      </c>
      <c r="H1628">
        <v>5</v>
      </c>
      <c r="I1628">
        <f t="shared" si="76"/>
        <v>2400</v>
      </c>
      <c r="J1628">
        <f t="shared" si="77"/>
        <v>1440</v>
      </c>
      <c r="K1628" t="s">
        <v>42</v>
      </c>
      <c r="L1628" t="s">
        <v>73</v>
      </c>
      <c r="M1628" t="s">
        <v>26</v>
      </c>
      <c r="N1628" t="s">
        <v>43</v>
      </c>
      <c r="O1628">
        <v>875</v>
      </c>
      <c r="P1628">
        <v>480</v>
      </c>
      <c r="Q1628" t="s">
        <v>39</v>
      </c>
      <c r="R1628" t="s">
        <v>40</v>
      </c>
      <c r="S1628" t="s">
        <v>41</v>
      </c>
      <c r="T1628">
        <v>2021</v>
      </c>
      <c r="U1628" t="s">
        <v>109</v>
      </c>
    </row>
    <row r="1629" spans="1:21" x14ac:dyDescent="0.35">
      <c r="A1629" s="1">
        <v>46219</v>
      </c>
      <c r="B1629" t="s">
        <v>58</v>
      </c>
      <c r="C1629" t="s">
        <v>59</v>
      </c>
      <c r="D1629" t="s">
        <v>60</v>
      </c>
      <c r="E1629">
        <v>243</v>
      </c>
      <c r="F1629">
        <v>5</v>
      </c>
      <c r="G1629">
        <f t="shared" si="75"/>
        <v>1215</v>
      </c>
      <c r="H1629">
        <v>3</v>
      </c>
      <c r="I1629">
        <f t="shared" si="76"/>
        <v>729</v>
      </c>
      <c r="J1629">
        <f t="shared" si="77"/>
        <v>486</v>
      </c>
      <c r="K1629" t="s">
        <v>42</v>
      </c>
      <c r="L1629" t="s">
        <v>25</v>
      </c>
      <c r="M1629" t="s">
        <v>37</v>
      </c>
      <c r="N1629" t="s">
        <v>43</v>
      </c>
      <c r="O1629">
        <v>981</v>
      </c>
      <c r="P1629">
        <v>243</v>
      </c>
      <c r="Q1629" t="s">
        <v>87</v>
      </c>
      <c r="R1629" t="s">
        <v>88</v>
      </c>
      <c r="S1629" t="s">
        <v>89</v>
      </c>
      <c r="T1629">
        <v>2021</v>
      </c>
      <c r="U1629" t="s">
        <v>31</v>
      </c>
    </row>
    <row r="1630" spans="1:21" x14ac:dyDescent="0.35">
      <c r="A1630" s="1">
        <v>46220</v>
      </c>
      <c r="B1630" t="s">
        <v>98</v>
      </c>
      <c r="C1630" t="s">
        <v>99</v>
      </c>
      <c r="D1630" t="s">
        <v>100</v>
      </c>
      <c r="E1630">
        <v>293</v>
      </c>
      <c r="F1630">
        <v>6</v>
      </c>
      <c r="G1630">
        <f t="shared" si="75"/>
        <v>1758</v>
      </c>
      <c r="H1630">
        <v>4</v>
      </c>
      <c r="I1630">
        <f t="shared" si="76"/>
        <v>1172</v>
      </c>
      <c r="J1630">
        <f t="shared" si="77"/>
        <v>586</v>
      </c>
      <c r="K1630" t="s">
        <v>35</v>
      </c>
      <c r="L1630" t="s">
        <v>36</v>
      </c>
      <c r="M1630" t="s">
        <v>37</v>
      </c>
      <c r="N1630" t="s">
        <v>27</v>
      </c>
      <c r="O1630">
        <v>585</v>
      </c>
      <c r="P1630">
        <v>293</v>
      </c>
      <c r="Q1630" t="s">
        <v>74</v>
      </c>
      <c r="R1630" t="s">
        <v>75</v>
      </c>
      <c r="S1630" t="s">
        <v>76</v>
      </c>
      <c r="T1630">
        <v>2021</v>
      </c>
      <c r="U1630" t="s">
        <v>97</v>
      </c>
    </row>
    <row r="1631" spans="1:21" x14ac:dyDescent="0.35">
      <c r="A1631" s="1">
        <v>46221</v>
      </c>
      <c r="B1631" t="s">
        <v>80</v>
      </c>
      <c r="C1631" t="s">
        <v>81</v>
      </c>
      <c r="D1631" t="s">
        <v>82</v>
      </c>
      <c r="E1631">
        <v>416</v>
      </c>
      <c r="F1631">
        <v>2.5</v>
      </c>
      <c r="G1631">
        <f t="shared" si="75"/>
        <v>1040</v>
      </c>
      <c r="H1631">
        <v>1.5</v>
      </c>
      <c r="I1631">
        <f t="shared" si="76"/>
        <v>624</v>
      </c>
      <c r="J1631">
        <f t="shared" si="77"/>
        <v>416</v>
      </c>
      <c r="K1631" t="s">
        <v>24</v>
      </c>
      <c r="L1631" t="s">
        <v>25</v>
      </c>
      <c r="M1631" t="s">
        <v>26</v>
      </c>
      <c r="N1631" t="s">
        <v>38</v>
      </c>
      <c r="O1631">
        <v>737</v>
      </c>
      <c r="P1631">
        <v>416</v>
      </c>
      <c r="Q1631" t="s">
        <v>110</v>
      </c>
      <c r="R1631" t="s">
        <v>111</v>
      </c>
      <c r="S1631" t="s">
        <v>112</v>
      </c>
      <c r="T1631">
        <v>2024</v>
      </c>
      <c r="U1631" t="s">
        <v>109</v>
      </c>
    </row>
    <row r="1632" spans="1:21" x14ac:dyDescent="0.35">
      <c r="A1632" s="1">
        <v>46222</v>
      </c>
      <c r="B1632" t="s">
        <v>21</v>
      </c>
      <c r="C1632" t="s">
        <v>22</v>
      </c>
      <c r="D1632" t="s">
        <v>23</v>
      </c>
      <c r="E1632">
        <v>107</v>
      </c>
      <c r="F1632">
        <v>8</v>
      </c>
      <c r="G1632">
        <f t="shared" si="75"/>
        <v>856</v>
      </c>
      <c r="H1632">
        <v>5</v>
      </c>
      <c r="I1632">
        <f t="shared" si="76"/>
        <v>535</v>
      </c>
      <c r="J1632">
        <f t="shared" si="77"/>
        <v>321</v>
      </c>
      <c r="K1632" t="s">
        <v>35</v>
      </c>
      <c r="L1632" t="s">
        <v>36</v>
      </c>
      <c r="M1632" t="s">
        <v>37</v>
      </c>
      <c r="N1632" t="s">
        <v>43</v>
      </c>
      <c r="O1632">
        <v>828</v>
      </c>
      <c r="P1632">
        <v>107</v>
      </c>
      <c r="Q1632" t="s">
        <v>67</v>
      </c>
      <c r="R1632" t="s">
        <v>68</v>
      </c>
      <c r="S1632" t="s">
        <v>69</v>
      </c>
      <c r="T1632">
        <v>2022</v>
      </c>
      <c r="U1632" t="s">
        <v>31</v>
      </c>
    </row>
    <row r="1633" spans="1:21" x14ac:dyDescent="0.35">
      <c r="A1633" s="1">
        <v>46223</v>
      </c>
      <c r="B1633" t="s">
        <v>21</v>
      </c>
      <c r="C1633" t="s">
        <v>22</v>
      </c>
      <c r="D1633" t="s">
        <v>23</v>
      </c>
      <c r="E1633">
        <v>19</v>
      </c>
      <c r="F1633">
        <v>8</v>
      </c>
      <c r="G1633">
        <f t="shared" si="75"/>
        <v>152</v>
      </c>
      <c r="H1633">
        <v>5</v>
      </c>
      <c r="I1633">
        <f t="shared" si="76"/>
        <v>95</v>
      </c>
      <c r="J1633">
        <f t="shared" si="77"/>
        <v>57</v>
      </c>
      <c r="K1633" t="s">
        <v>24</v>
      </c>
      <c r="L1633" t="s">
        <v>63</v>
      </c>
      <c r="M1633" t="s">
        <v>61</v>
      </c>
      <c r="N1633" t="s">
        <v>27</v>
      </c>
      <c r="O1633">
        <v>944</v>
      </c>
      <c r="P1633">
        <v>19</v>
      </c>
      <c r="Q1633" t="s">
        <v>28</v>
      </c>
      <c r="R1633" t="s">
        <v>29</v>
      </c>
      <c r="S1633" t="s">
        <v>30</v>
      </c>
      <c r="T1633">
        <v>2024</v>
      </c>
      <c r="U1633" t="s">
        <v>105</v>
      </c>
    </row>
    <row r="1634" spans="1:21" x14ac:dyDescent="0.35">
      <c r="A1634" s="1">
        <v>46224</v>
      </c>
      <c r="B1634" t="s">
        <v>32</v>
      </c>
      <c r="C1634" t="s">
        <v>33</v>
      </c>
      <c r="D1634" t="s">
        <v>34</v>
      </c>
      <c r="E1634">
        <v>91</v>
      </c>
      <c r="F1634">
        <v>20</v>
      </c>
      <c r="G1634">
        <f t="shared" si="75"/>
        <v>1820</v>
      </c>
      <c r="H1634">
        <v>12</v>
      </c>
      <c r="I1634">
        <f t="shared" si="76"/>
        <v>1092</v>
      </c>
      <c r="J1634">
        <f t="shared" si="77"/>
        <v>728</v>
      </c>
      <c r="K1634" t="s">
        <v>24</v>
      </c>
      <c r="L1634" t="s">
        <v>36</v>
      </c>
      <c r="M1634" t="s">
        <v>26</v>
      </c>
      <c r="N1634" t="s">
        <v>27</v>
      </c>
      <c r="O1634">
        <v>925</v>
      </c>
      <c r="P1634">
        <v>91</v>
      </c>
      <c r="Q1634" t="s">
        <v>39</v>
      </c>
      <c r="R1634" t="s">
        <v>40</v>
      </c>
      <c r="S1634" t="s">
        <v>41</v>
      </c>
      <c r="T1634">
        <v>2023</v>
      </c>
      <c r="U1634" t="s">
        <v>96</v>
      </c>
    </row>
    <row r="1635" spans="1:21" x14ac:dyDescent="0.35">
      <c r="A1635" s="1">
        <v>46225</v>
      </c>
      <c r="B1635" t="s">
        <v>80</v>
      </c>
      <c r="C1635" t="s">
        <v>81</v>
      </c>
      <c r="D1635" t="s">
        <v>82</v>
      </c>
      <c r="E1635">
        <v>448</v>
      </c>
      <c r="F1635">
        <v>2.5</v>
      </c>
      <c r="G1635">
        <f t="shared" si="75"/>
        <v>1120</v>
      </c>
      <c r="H1635">
        <v>1.5</v>
      </c>
      <c r="I1635">
        <f t="shared" si="76"/>
        <v>672</v>
      </c>
      <c r="J1635">
        <f t="shared" si="77"/>
        <v>448</v>
      </c>
      <c r="K1635" t="s">
        <v>24</v>
      </c>
      <c r="L1635" t="s">
        <v>73</v>
      </c>
      <c r="M1635" t="s">
        <v>61</v>
      </c>
      <c r="N1635" t="s">
        <v>38</v>
      </c>
      <c r="O1635">
        <v>520</v>
      </c>
      <c r="P1635">
        <v>448</v>
      </c>
      <c r="Q1635" t="s">
        <v>54</v>
      </c>
      <c r="R1635" t="s">
        <v>55</v>
      </c>
      <c r="S1635" t="s">
        <v>56</v>
      </c>
      <c r="T1635">
        <v>2023</v>
      </c>
      <c r="U1635" t="s">
        <v>62</v>
      </c>
    </row>
    <row r="1636" spans="1:21" x14ac:dyDescent="0.35">
      <c r="A1636" s="1">
        <v>46226</v>
      </c>
      <c r="B1636" t="s">
        <v>58</v>
      </c>
      <c r="C1636" t="s">
        <v>59</v>
      </c>
      <c r="D1636" t="s">
        <v>60</v>
      </c>
      <c r="E1636">
        <v>197</v>
      </c>
      <c r="F1636">
        <v>5</v>
      </c>
      <c r="G1636">
        <f t="shared" si="75"/>
        <v>985</v>
      </c>
      <c r="H1636">
        <v>3</v>
      </c>
      <c r="I1636">
        <f t="shared" si="76"/>
        <v>591</v>
      </c>
      <c r="J1636">
        <f t="shared" si="77"/>
        <v>394</v>
      </c>
      <c r="K1636" t="s">
        <v>42</v>
      </c>
      <c r="L1636" t="s">
        <v>73</v>
      </c>
      <c r="M1636" t="s">
        <v>37</v>
      </c>
      <c r="N1636" t="s">
        <v>38</v>
      </c>
      <c r="O1636">
        <v>799</v>
      </c>
      <c r="P1636">
        <v>197</v>
      </c>
      <c r="Q1636" t="s">
        <v>77</v>
      </c>
      <c r="R1636" t="s">
        <v>78</v>
      </c>
      <c r="S1636" t="s">
        <v>79</v>
      </c>
      <c r="T1636">
        <v>2020</v>
      </c>
      <c r="U1636" t="s">
        <v>31</v>
      </c>
    </row>
    <row r="1637" spans="1:21" x14ac:dyDescent="0.35">
      <c r="A1637" s="1">
        <v>46227</v>
      </c>
      <c r="B1637" t="s">
        <v>48</v>
      </c>
      <c r="C1637" t="s">
        <v>49</v>
      </c>
      <c r="D1637" t="s">
        <v>50</v>
      </c>
      <c r="E1637">
        <v>104</v>
      </c>
      <c r="F1637">
        <v>150</v>
      </c>
      <c r="G1637">
        <f t="shared" si="75"/>
        <v>15600</v>
      </c>
      <c r="H1637">
        <v>100</v>
      </c>
      <c r="I1637">
        <f t="shared" si="76"/>
        <v>10400</v>
      </c>
      <c r="J1637">
        <f t="shared" si="77"/>
        <v>5200</v>
      </c>
      <c r="K1637" t="s">
        <v>42</v>
      </c>
      <c r="L1637" t="s">
        <v>73</v>
      </c>
      <c r="M1637" t="s">
        <v>26</v>
      </c>
      <c r="N1637" t="s">
        <v>38</v>
      </c>
      <c r="O1637">
        <v>853</v>
      </c>
      <c r="P1637">
        <v>104</v>
      </c>
      <c r="Q1637" t="s">
        <v>83</v>
      </c>
      <c r="R1637" t="s">
        <v>84</v>
      </c>
      <c r="S1637" t="s">
        <v>85</v>
      </c>
      <c r="T1637">
        <v>2020</v>
      </c>
      <c r="U1637" t="s">
        <v>47</v>
      </c>
    </row>
    <row r="1638" spans="1:21" x14ac:dyDescent="0.35">
      <c r="A1638" s="1">
        <v>46228</v>
      </c>
      <c r="B1638" t="s">
        <v>98</v>
      </c>
      <c r="C1638" t="s">
        <v>99</v>
      </c>
      <c r="D1638" t="s">
        <v>100</v>
      </c>
      <c r="E1638">
        <v>178</v>
      </c>
      <c r="F1638">
        <v>6</v>
      </c>
      <c r="G1638">
        <f t="shared" si="75"/>
        <v>1068</v>
      </c>
      <c r="H1638">
        <v>4</v>
      </c>
      <c r="I1638">
        <f t="shared" si="76"/>
        <v>712</v>
      </c>
      <c r="J1638">
        <f t="shared" si="77"/>
        <v>356</v>
      </c>
      <c r="K1638" t="s">
        <v>42</v>
      </c>
      <c r="L1638" t="s">
        <v>25</v>
      </c>
      <c r="M1638" t="s">
        <v>37</v>
      </c>
      <c r="N1638" t="s">
        <v>27</v>
      </c>
      <c r="O1638">
        <v>569</v>
      </c>
      <c r="P1638">
        <v>178</v>
      </c>
      <c r="Q1638" t="s">
        <v>64</v>
      </c>
      <c r="R1638" t="s">
        <v>29</v>
      </c>
      <c r="S1638" t="s">
        <v>65</v>
      </c>
      <c r="T1638">
        <v>2020</v>
      </c>
      <c r="U1638" t="s">
        <v>91</v>
      </c>
    </row>
    <row r="1639" spans="1:21" x14ac:dyDescent="0.35">
      <c r="A1639" s="1">
        <v>46229</v>
      </c>
      <c r="B1639" t="s">
        <v>21</v>
      </c>
      <c r="C1639" t="s">
        <v>22</v>
      </c>
      <c r="D1639" t="s">
        <v>23</v>
      </c>
      <c r="E1639">
        <v>409</v>
      </c>
      <c r="F1639">
        <v>8</v>
      </c>
      <c r="G1639">
        <f t="shared" si="75"/>
        <v>3272</v>
      </c>
      <c r="H1639">
        <v>5</v>
      </c>
      <c r="I1639">
        <f t="shared" si="76"/>
        <v>2045</v>
      </c>
      <c r="J1639">
        <f t="shared" si="77"/>
        <v>1227</v>
      </c>
      <c r="K1639" t="s">
        <v>35</v>
      </c>
      <c r="L1639" t="s">
        <v>25</v>
      </c>
      <c r="M1639" t="s">
        <v>26</v>
      </c>
      <c r="N1639" t="s">
        <v>43</v>
      </c>
      <c r="O1639">
        <v>709</v>
      </c>
      <c r="P1639">
        <v>409</v>
      </c>
      <c r="Q1639" t="s">
        <v>67</v>
      </c>
      <c r="R1639" t="s">
        <v>68</v>
      </c>
      <c r="S1639" t="s">
        <v>69</v>
      </c>
      <c r="T1639">
        <v>2023</v>
      </c>
      <c r="U1639" t="s">
        <v>105</v>
      </c>
    </row>
    <row r="1640" spans="1:21" x14ac:dyDescent="0.35">
      <c r="A1640" s="1">
        <v>46230</v>
      </c>
      <c r="B1640" t="s">
        <v>32</v>
      </c>
      <c r="C1640" t="s">
        <v>33</v>
      </c>
      <c r="D1640" t="s">
        <v>34</v>
      </c>
      <c r="E1640">
        <v>389</v>
      </c>
      <c r="F1640">
        <v>20</v>
      </c>
      <c r="G1640">
        <f t="shared" si="75"/>
        <v>7780</v>
      </c>
      <c r="H1640">
        <v>12</v>
      </c>
      <c r="I1640">
        <f t="shared" si="76"/>
        <v>4668</v>
      </c>
      <c r="J1640">
        <f t="shared" si="77"/>
        <v>3112</v>
      </c>
      <c r="K1640" t="s">
        <v>24</v>
      </c>
      <c r="L1640" t="s">
        <v>73</v>
      </c>
      <c r="M1640" t="s">
        <v>61</v>
      </c>
      <c r="N1640" t="s">
        <v>27</v>
      </c>
      <c r="O1640">
        <v>575</v>
      </c>
      <c r="P1640">
        <v>389</v>
      </c>
      <c r="Q1640" t="s">
        <v>54</v>
      </c>
      <c r="R1640" t="s">
        <v>55</v>
      </c>
      <c r="S1640" t="s">
        <v>56</v>
      </c>
      <c r="T1640">
        <v>2020</v>
      </c>
      <c r="U1640" t="s">
        <v>86</v>
      </c>
    </row>
    <row r="1641" spans="1:21" x14ac:dyDescent="0.35">
      <c r="A1641" s="1">
        <v>46231</v>
      </c>
      <c r="B1641" t="s">
        <v>21</v>
      </c>
      <c r="C1641" t="s">
        <v>22</v>
      </c>
      <c r="D1641" t="s">
        <v>23</v>
      </c>
      <c r="E1641">
        <v>90</v>
      </c>
      <c r="F1641">
        <v>8</v>
      </c>
      <c r="G1641">
        <f t="shared" si="75"/>
        <v>720</v>
      </c>
      <c r="H1641">
        <v>5</v>
      </c>
      <c r="I1641">
        <f t="shared" si="76"/>
        <v>450</v>
      </c>
      <c r="J1641">
        <f t="shared" si="77"/>
        <v>270</v>
      </c>
      <c r="K1641" t="s">
        <v>35</v>
      </c>
      <c r="L1641" t="s">
        <v>73</v>
      </c>
      <c r="M1641" t="s">
        <v>26</v>
      </c>
      <c r="N1641" t="s">
        <v>27</v>
      </c>
      <c r="O1641">
        <v>876</v>
      </c>
      <c r="P1641">
        <v>90</v>
      </c>
      <c r="Q1641" t="s">
        <v>103</v>
      </c>
      <c r="R1641" t="s">
        <v>68</v>
      </c>
      <c r="S1641" t="s">
        <v>104</v>
      </c>
      <c r="T1641">
        <v>2021</v>
      </c>
      <c r="U1641" t="s">
        <v>97</v>
      </c>
    </row>
    <row r="1642" spans="1:21" x14ac:dyDescent="0.35">
      <c r="A1642" s="1">
        <v>46232</v>
      </c>
      <c r="B1642" t="s">
        <v>48</v>
      </c>
      <c r="C1642" t="s">
        <v>49</v>
      </c>
      <c r="D1642" t="s">
        <v>50</v>
      </c>
      <c r="E1642">
        <v>198</v>
      </c>
      <c r="F1642">
        <v>150</v>
      </c>
      <c r="G1642">
        <f t="shared" si="75"/>
        <v>29700</v>
      </c>
      <c r="H1642">
        <v>100</v>
      </c>
      <c r="I1642">
        <f t="shared" si="76"/>
        <v>19800</v>
      </c>
      <c r="J1642">
        <f t="shared" si="77"/>
        <v>9900</v>
      </c>
      <c r="K1642" t="s">
        <v>42</v>
      </c>
      <c r="L1642" t="s">
        <v>73</v>
      </c>
      <c r="M1642" t="s">
        <v>61</v>
      </c>
      <c r="N1642" t="s">
        <v>27</v>
      </c>
      <c r="O1642">
        <v>710</v>
      </c>
      <c r="P1642">
        <v>198</v>
      </c>
      <c r="Q1642" t="s">
        <v>28</v>
      </c>
      <c r="R1642" t="s">
        <v>29</v>
      </c>
      <c r="S1642" t="s">
        <v>30</v>
      </c>
      <c r="T1642">
        <v>2021</v>
      </c>
      <c r="U1642" t="s">
        <v>91</v>
      </c>
    </row>
    <row r="1643" spans="1:21" x14ac:dyDescent="0.35">
      <c r="A1643" s="1">
        <v>46233</v>
      </c>
      <c r="B1643" t="s">
        <v>58</v>
      </c>
      <c r="C1643" t="s">
        <v>59</v>
      </c>
      <c r="D1643" t="s">
        <v>60</v>
      </c>
      <c r="E1643">
        <v>26</v>
      </c>
      <c r="F1643">
        <v>5</v>
      </c>
      <c r="G1643">
        <f t="shared" si="75"/>
        <v>130</v>
      </c>
      <c r="H1643">
        <v>3</v>
      </c>
      <c r="I1643">
        <f t="shared" si="76"/>
        <v>78</v>
      </c>
      <c r="J1643">
        <f t="shared" si="77"/>
        <v>52</v>
      </c>
      <c r="K1643" t="s">
        <v>35</v>
      </c>
      <c r="L1643" t="s">
        <v>36</v>
      </c>
      <c r="M1643" t="s">
        <v>61</v>
      </c>
      <c r="N1643" t="s">
        <v>38</v>
      </c>
      <c r="O1643">
        <v>945</v>
      </c>
      <c r="P1643">
        <v>26</v>
      </c>
      <c r="Q1643" t="s">
        <v>28</v>
      </c>
      <c r="R1643" t="s">
        <v>29</v>
      </c>
      <c r="S1643" t="s">
        <v>30</v>
      </c>
      <c r="T1643">
        <v>2022</v>
      </c>
      <c r="U1643" t="s">
        <v>31</v>
      </c>
    </row>
    <row r="1644" spans="1:21" x14ac:dyDescent="0.35">
      <c r="A1644" s="1">
        <v>46234</v>
      </c>
      <c r="B1644" t="s">
        <v>80</v>
      </c>
      <c r="C1644" t="s">
        <v>81</v>
      </c>
      <c r="D1644" t="s">
        <v>82</v>
      </c>
      <c r="E1644">
        <v>442</v>
      </c>
      <c r="F1644">
        <v>2.5</v>
      </c>
      <c r="G1644">
        <f t="shared" si="75"/>
        <v>1105</v>
      </c>
      <c r="H1644">
        <v>1.5</v>
      </c>
      <c r="I1644">
        <f t="shared" si="76"/>
        <v>663</v>
      </c>
      <c r="J1644">
        <f t="shared" si="77"/>
        <v>442</v>
      </c>
      <c r="K1644" t="s">
        <v>42</v>
      </c>
      <c r="L1644" t="s">
        <v>25</v>
      </c>
      <c r="M1644" t="s">
        <v>26</v>
      </c>
      <c r="N1644" t="s">
        <v>38</v>
      </c>
      <c r="O1644">
        <v>606</v>
      </c>
      <c r="P1644">
        <v>442</v>
      </c>
      <c r="Q1644" t="s">
        <v>74</v>
      </c>
      <c r="R1644" t="s">
        <v>75</v>
      </c>
      <c r="S1644" t="s">
        <v>76</v>
      </c>
      <c r="T1644">
        <v>2021</v>
      </c>
      <c r="U1644" t="s">
        <v>53</v>
      </c>
    </row>
    <row r="1645" spans="1:21" x14ac:dyDescent="0.35">
      <c r="A1645" s="1">
        <v>46235</v>
      </c>
      <c r="B1645" t="s">
        <v>58</v>
      </c>
      <c r="C1645" t="s">
        <v>59</v>
      </c>
      <c r="D1645" t="s">
        <v>60</v>
      </c>
      <c r="E1645">
        <v>124</v>
      </c>
      <c r="F1645">
        <v>5</v>
      </c>
      <c r="G1645">
        <f t="shared" si="75"/>
        <v>620</v>
      </c>
      <c r="H1645">
        <v>3</v>
      </c>
      <c r="I1645">
        <f t="shared" si="76"/>
        <v>372</v>
      </c>
      <c r="J1645">
        <f t="shared" si="77"/>
        <v>248</v>
      </c>
      <c r="K1645" t="s">
        <v>35</v>
      </c>
      <c r="L1645" t="s">
        <v>36</v>
      </c>
      <c r="M1645" t="s">
        <v>37</v>
      </c>
      <c r="N1645" t="s">
        <v>38</v>
      </c>
      <c r="O1645">
        <v>608</v>
      </c>
      <c r="P1645">
        <v>124</v>
      </c>
      <c r="Q1645" t="s">
        <v>83</v>
      </c>
      <c r="R1645" t="s">
        <v>84</v>
      </c>
      <c r="S1645" t="s">
        <v>85</v>
      </c>
      <c r="T1645">
        <v>2020</v>
      </c>
      <c r="U1645" t="s">
        <v>105</v>
      </c>
    </row>
    <row r="1646" spans="1:21" x14ac:dyDescent="0.35">
      <c r="A1646" s="1">
        <v>46236</v>
      </c>
      <c r="B1646" t="s">
        <v>21</v>
      </c>
      <c r="C1646" t="s">
        <v>22</v>
      </c>
      <c r="D1646" t="s">
        <v>23</v>
      </c>
      <c r="E1646">
        <v>389</v>
      </c>
      <c r="F1646">
        <v>8</v>
      </c>
      <c r="G1646">
        <f t="shared" si="75"/>
        <v>3112</v>
      </c>
      <c r="H1646">
        <v>5</v>
      </c>
      <c r="I1646">
        <f t="shared" si="76"/>
        <v>1945</v>
      </c>
      <c r="J1646">
        <f t="shared" si="77"/>
        <v>1167</v>
      </c>
      <c r="K1646" t="s">
        <v>35</v>
      </c>
      <c r="L1646" t="s">
        <v>36</v>
      </c>
      <c r="M1646" t="s">
        <v>37</v>
      </c>
      <c r="N1646" t="s">
        <v>38</v>
      </c>
      <c r="O1646">
        <v>855</v>
      </c>
      <c r="P1646">
        <v>389</v>
      </c>
      <c r="Q1646" t="s">
        <v>74</v>
      </c>
      <c r="R1646" t="s">
        <v>75</v>
      </c>
      <c r="S1646" t="s">
        <v>76</v>
      </c>
      <c r="T1646">
        <v>2022</v>
      </c>
      <c r="U1646" t="s">
        <v>109</v>
      </c>
    </row>
    <row r="1647" spans="1:21" x14ac:dyDescent="0.35">
      <c r="A1647" s="1">
        <v>46237</v>
      </c>
      <c r="B1647" t="s">
        <v>80</v>
      </c>
      <c r="C1647" t="s">
        <v>81</v>
      </c>
      <c r="D1647" t="s">
        <v>82</v>
      </c>
      <c r="E1647">
        <v>399</v>
      </c>
      <c r="F1647">
        <v>2.5</v>
      </c>
      <c r="G1647">
        <f t="shared" si="75"/>
        <v>997.5</v>
      </c>
      <c r="H1647">
        <v>1.5</v>
      </c>
      <c r="I1647">
        <f t="shared" si="76"/>
        <v>598.5</v>
      </c>
      <c r="J1647">
        <f t="shared" si="77"/>
        <v>399</v>
      </c>
      <c r="K1647" t="s">
        <v>42</v>
      </c>
      <c r="L1647" t="s">
        <v>63</v>
      </c>
      <c r="M1647" t="s">
        <v>37</v>
      </c>
      <c r="N1647" t="s">
        <v>27</v>
      </c>
      <c r="O1647">
        <v>633</v>
      </c>
      <c r="P1647">
        <v>399</v>
      </c>
      <c r="Q1647" t="s">
        <v>64</v>
      </c>
      <c r="R1647" t="s">
        <v>29</v>
      </c>
      <c r="S1647" t="s">
        <v>65</v>
      </c>
      <c r="T1647">
        <v>2023</v>
      </c>
      <c r="U1647" t="s">
        <v>105</v>
      </c>
    </row>
    <row r="1648" spans="1:21" x14ac:dyDescent="0.35">
      <c r="A1648" s="1">
        <v>46238</v>
      </c>
      <c r="B1648" t="s">
        <v>32</v>
      </c>
      <c r="C1648" t="s">
        <v>33</v>
      </c>
      <c r="D1648" t="s">
        <v>34</v>
      </c>
      <c r="E1648">
        <v>233</v>
      </c>
      <c r="F1648">
        <v>20</v>
      </c>
      <c r="G1648">
        <f t="shared" si="75"/>
        <v>4660</v>
      </c>
      <c r="H1648">
        <v>12</v>
      </c>
      <c r="I1648">
        <f t="shared" si="76"/>
        <v>2796</v>
      </c>
      <c r="J1648">
        <f t="shared" si="77"/>
        <v>1864</v>
      </c>
      <c r="K1648" t="s">
        <v>42</v>
      </c>
      <c r="L1648" t="s">
        <v>36</v>
      </c>
      <c r="M1648" t="s">
        <v>37</v>
      </c>
      <c r="N1648" t="s">
        <v>38</v>
      </c>
      <c r="O1648">
        <v>881</v>
      </c>
      <c r="P1648">
        <v>233</v>
      </c>
      <c r="Q1648" t="s">
        <v>74</v>
      </c>
      <c r="R1648" t="s">
        <v>75</v>
      </c>
      <c r="S1648" t="s">
        <v>76</v>
      </c>
      <c r="T1648">
        <v>2022</v>
      </c>
      <c r="U1648" t="s">
        <v>31</v>
      </c>
    </row>
    <row r="1649" spans="1:21" x14ac:dyDescent="0.35">
      <c r="A1649" s="1">
        <v>46239</v>
      </c>
      <c r="B1649" t="s">
        <v>98</v>
      </c>
      <c r="C1649" t="s">
        <v>99</v>
      </c>
      <c r="D1649" t="s">
        <v>100</v>
      </c>
      <c r="E1649">
        <v>119</v>
      </c>
      <c r="F1649">
        <v>6</v>
      </c>
      <c r="G1649">
        <f t="shared" si="75"/>
        <v>714</v>
      </c>
      <c r="H1649">
        <v>4</v>
      </c>
      <c r="I1649">
        <f t="shared" si="76"/>
        <v>476</v>
      </c>
      <c r="J1649">
        <f t="shared" si="77"/>
        <v>238</v>
      </c>
      <c r="K1649" t="s">
        <v>24</v>
      </c>
      <c r="L1649" t="s">
        <v>73</v>
      </c>
      <c r="M1649" t="s">
        <v>37</v>
      </c>
      <c r="N1649" t="s">
        <v>27</v>
      </c>
      <c r="O1649">
        <v>981</v>
      </c>
      <c r="P1649">
        <v>119</v>
      </c>
      <c r="Q1649" t="s">
        <v>64</v>
      </c>
      <c r="R1649" t="s">
        <v>29</v>
      </c>
      <c r="S1649" t="s">
        <v>65</v>
      </c>
      <c r="T1649">
        <v>2024</v>
      </c>
      <c r="U1649" t="s">
        <v>86</v>
      </c>
    </row>
    <row r="1650" spans="1:21" x14ac:dyDescent="0.35">
      <c r="A1650" s="1">
        <v>46240</v>
      </c>
      <c r="B1650" t="s">
        <v>80</v>
      </c>
      <c r="C1650" t="s">
        <v>81</v>
      </c>
      <c r="D1650" t="s">
        <v>82</v>
      </c>
      <c r="E1650">
        <v>11</v>
      </c>
      <c r="F1650">
        <v>2.5</v>
      </c>
      <c r="G1650">
        <f t="shared" si="75"/>
        <v>27.5</v>
      </c>
      <c r="H1650">
        <v>1.5</v>
      </c>
      <c r="I1650">
        <f t="shared" si="76"/>
        <v>16.5</v>
      </c>
      <c r="J1650">
        <f t="shared" si="77"/>
        <v>11</v>
      </c>
      <c r="K1650" t="s">
        <v>35</v>
      </c>
      <c r="L1650" t="s">
        <v>73</v>
      </c>
      <c r="M1650" t="s">
        <v>61</v>
      </c>
      <c r="N1650" t="s">
        <v>38</v>
      </c>
      <c r="O1650">
        <v>553</v>
      </c>
      <c r="P1650">
        <v>11</v>
      </c>
      <c r="Q1650" t="s">
        <v>87</v>
      </c>
      <c r="R1650" t="s">
        <v>88</v>
      </c>
      <c r="S1650" t="s">
        <v>89</v>
      </c>
      <c r="T1650">
        <v>2020</v>
      </c>
      <c r="U1650" t="s">
        <v>47</v>
      </c>
    </row>
    <row r="1651" spans="1:21" x14ac:dyDescent="0.35">
      <c r="A1651" s="1">
        <v>46241</v>
      </c>
      <c r="B1651" t="s">
        <v>32</v>
      </c>
      <c r="C1651" t="s">
        <v>33</v>
      </c>
      <c r="D1651" t="s">
        <v>34</v>
      </c>
      <c r="E1651">
        <v>454</v>
      </c>
      <c r="F1651">
        <v>20</v>
      </c>
      <c r="G1651">
        <f t="shared" si="75"/>
        <v>9080</v>
      </c>
      <c r="H1651">
        <v>12</v>
      </c>
      <c r="I1651">
        <f t="shared" si="76"/>
        <v>5448</v>
      </c>
      <c r="J1651">
        <f t="shared" si="77"/>
        <v>3632</v>
      </c>
      <c r="K1651" t="s">
        <v>42</v>
      </c>
      <c r="L1651" t="s">
        <v>25</v>
      </c>
      <c r="M1651" t="s">
        <v>26</v>
      </c>
      <c r="N1651" t="s">
        <v>38</v>
      </c>
      <c r="O1651">
        <v>796</v>
      </c>
      <c r="P1651">
        <v>454</v>
      </c>
      <c r="Q1651" t="s">
        <v>94</v>
      </c>
      <c r="R1651" t="s">
        <v>75</v>
      </c>
      <c r="S1651" t="s">
        <v>95</v>
      </c>
      <c r="T1651">
        <v>2020</v>
      </c>
      <c r="U1651" t="s">
        <v>105</v>
      </c>
    </row>
    <row r="1652" spans="1:21" x14ac:dyDescent="0.35">
      <c r="A1652" s="1">
        <v>46242</v>
      </c>
      <c r="B1652" t="s">
        <v>48</v>
      </c>
      <c r="C1652" t="s">
        <v>49</v>
      </c>
      <c r="D1652" t="s">
        <v>50</v>
      </c>
      <c r="E1652">
        <v>403</v>
      </c>
      <c r="F1652">
        <v>150</v>
      </c>
      <c r="G1652">
        <f t="shared" si="75"/>
        <v>60450</v>
      </c>
      <c r="H1652">
        <v>100</v>
      </c>
      <c r="I1652">
        <f t="shared" si="76"/>
        <v>40300</v>
      </c>
      <c r="J1652">
        <f t="shared" si="77"/>
        <v>20150</v>
      </c>
      <c r="K1652" t="s">
        <v>35</v>
      </c>
      <c r="L1652" t="s">
        <v>36</v>
      </c>
      <c r="M1652" t="s">
        <v>26</v>
      </c>
      <c r="N1652" t="s">
        <v>38</v>
      </c>
      <c r="O1652">
        <v>927</v>
      </c>
      <c r="P1652">
        <v>403</v>
      </c>
      <c r="Q1652" t="s">
        <v>51</v>
      </c>
      <c r="R1652" t="s">
        <v>45</v>
      </c>
      <c r="S1652" t="s">
        <v>52</v>
      </c>
      <c r="T1652">
        <v>2021</v>
      </c>
      <c r="U1652" t="s">
        <v>47</v>
      </c>
    </row>
    <row r="1653" spans="1:21" x14ac:dyDescent="0.35">
      <c r="A1653" s="1">
        <v>46243</v>
      </c>
      <c r="B1653" t="s">
        <v>32</v>
      </c>
      <c r="C1653" t="s">
        <v>33</v>
      </c>
      <c r="D1653" t="s">
        <v>34</v>
      </c>
      <c r="E1653">
        <v>138</v>
      </c>
      <c r="F1653">
        <v>20</v>
      </c>
      <c r="G1653">
        <f t="shared" si="75"/>
        <v>2760</v>
      </c>
      <c r="H1653">
        <v>12</v>
      </c>
      <c r="I1653">
        <f t="shared" si="76"/>
        <v>1656</v>
      </c>
      <c r="J1653">
        <f t="shared" si="77"/>
        <v>1104</v>
      </c>
      <c r="K1653" t="s">
        <v>24</v>
      </c>
      <c r="L1653" t="s">
        <v>73</v>
      </c>
      <c r="M1653" t="s">
        <v>37</v>
      </c>
      <c r="N1653" t="s">
        <v>38</v>
      </c>
      <c r="O1653">
        <v>943</v>
      </c>
      <c r="P1653">
        <v>138</v>
      </c>
      <c r="Q1653" t="s">
        <v>67</v>
      </c>
      <c r="R1653" t="s">
        <v>68</v>
      </c>
      <c r="S1653" t="s">
        <v>69</v>
      </c>
      <c r="T1653">
        <v>2020</v>
      </c>
      <c r="U1653" t="s">
        <v>105</v>
      </c>
    </row>
    <row r="1654" spans="1:21" x14ac:dyDescent="0.35">
      <c r="A1654" s="1">
        <v>46244</v>
      </c>
      <c r="B1654" t="s">
        <v>80</v>
      </c>
      <c r="C1654" t="s">
        <v>81</v>
      </c>
      <c r="D1654" t="s">
        <v>82</v>
      </c>
      <c r="E1654">
        <v>296</v>
      </c>
      <c r="F1654">
        <v>2.5</v>
      </c>
      <c r="G1654">
        <f t="shared" si="75"/>
        <v>740</v>
      </c>
      <c r="H1654">
        <v>1.5</v>
      </c>
      <c r="I1654">
        <f t="shared" si="76"/>
        <v>444</v>
      </c>
      <c r="J1654">
        <f t="shared" si="77"/>
        <v>296</v>
      </c>
      <c r="K1654" t="s">
        <v>35</v>
      </c>
      <c r="L1654" t="s">
        <v>63</v>
      </c>
      <c r="M1654" t="s">
        <v>26</v>
      </c>
      <c r="N1654" t="s">
        <v>43</v>
      </c>
      <c r="O1654">
        <v>718</v>
      </c>
      <c r="P1654">
        <v>296</v>
      </c>
      <c r="Q1654" t="s">
        <v>39</v>
      </c>
      <c r="R1654" t="s">
        <v>40</v>
      </c>
      <c r="S1654" t="s">
        <v>41</v>
      </c>
      <c r="T1654">
        <v>2023</v>
      </c>
      <c r="U1654" t="s">
        <v>62</v>
      </c>
    </row>
    <row r="1655" spans="1:21" x14ac:dyDescent="0.35">
      <c r="A1655" s="1">
        <v>46245</v>
      </c>
      <c r="B1655" t="s">
        <v>98</v>
      </c>
      <c r="C1655" t="s">
        <v>99</v>
      </c>
      <c r="D1655" t="s">
        <v>100</v>
      </c>
      <c r="E1655">
        <v>450</v>
      </c>
      <c r="F1655">
        <v>6</v>
      </c>
      <c r="G1655">
        <f t="shared" si="75"/>
        <v>2700</v>
      </c>
      <c r="H1655">
        <v>4</v>
      </c>
      <c r="I1655">
        <f t="shared" si="76"/>
        <v>1800</v>
      </c>
      <c r="J1655">
        <f t="shared" si="77"/>
        <v>900</v>
      </c>
      <c r="K1655" t="s">
        <v>42</v>
      </c>
      <c r="L1655" t="s">
        <v>25</v>
      </c>
      <c r="M1655" t="s">
        <v>37</v>
      </c>
      <c r="N1655" t="s">
        <v>43</v>
      </c>
      <c r="O1655">
        <v>672</v>
      </c>
      <c r="P1655">
        <v>450</v>
      </c>
      <c r="Q1655" t="s">
        <v>103</v>
      </c>
      <c r="R1655" t="s">
        <v>68</v>
      </c>
      <c r="S1655" t="s">
        <v>104</v>
      </c>
      <c r="T1655">
        <v>2021</v>
      </c>
      <c r="U1655" t="s">
        <v>97</v>
      </c>
    </row>
    <row r="1656" spans="1:21" x14ac:dyDescent="0.35">
      <c r="A1656" s="1">
        <v>46246</v>
      </c>
      <c r="B1656" t="s">
        <v>32</v>
      </c>
      <c r="C1656" t="s">
        <v>33</v>
      </c>
      <c r="D1656" t="s">
        <v>34</v>
      </c>
      <c r="E1656">
        <v>265</v>
      </c>
      <c r="F1656">
        <v>20</v>
      </c>
      <c r="G1656">
        <f t="shared" si="75"/>
        <v>5300</v>
      </c>
      <c r="H1656">
        <v>12</v>
      </c>
      <c r="I1656">
        <f t="shared" si="76"/>
        <v>3180</v>
      </c>
      <c r="J1656">
        <f t="shared" si="77"/>
        <v>2120</v>
      </c>
      <c r="K1656" t="s">
        <v>24</v>
      </c>
      <c r="L1656" t="s">
        <v>63</v>
      </c>
      <c r="M1656" t="s">
        <v>61</v>
      </c>
      <c r="N1656" t="s">
        <v>27</v>
      </c>
      <c r="O1656">
        <v>957</v>
      </c>
      <c r="P1656">
        <v>265</v>
      </c>
      <c r="Q1656" t="s">
        <v>101</v>
      </c>
      <c r="R1656" t="s">
        <v>101</v>
      </c>
      <c r="S1656" t="s">
        <v>102</v>
      </c>
      <c r="T1656">
        <v>2024</v>
      </c>
      <c r="U1656" t="s">
        <v>91</v>
      </c>
    </row>
    <row r="1657" spans="1:21" x14ac:dyDescent="0.35">
      <c r="A1657" s="1">
        <v>46247</v>
      </c>
      <c r="B1657" t="s">
        <v>32</v>
      </c>
      <c r="C1657" t="s">
        <v>33</v>
      </c>
      <c r="D1657" t="s">
        <v>34</v>
      </c>
      <c r="E1657">
        <v>58</v>
      </c>
      <c r="F1657">
        <v>20</v>
      </c>
      <c r="G1657">
        <f t="shared" si="75"/>
        <v>1160</v>
      </c>
      <c r="H1657">
        <v>12</v>
      </c>
      <c r="I1657">
        <f t="shared" si="76"/>
        <v>696</v>
      </c>
      <c r="J1657">
        <f t="shared" si="77"/>
        <v>464</v>
      </c>
      <c r="K1657" t="s">
        <v>24</v>
      </c>
      <c r="L1657" t="s">
        <v>63</v>
      </c>
      <c r="M1657" t="s">
        <v>26</v>
      </c>
      <c r="N1657" t="s">
        <v>27</v>
      </c>
      <c r="O1657">
        <v>807</v>
      </c>
      <c r="P1657">
        <v>58</v>
      </c>
      <c r="Q1657" t="s">
        <v>103</v>
      </c>
      <c r="R1657" t="s">
        <v>68</v>
      </c>
      <c r="S1657" t="s">
        <v>104</v>
      </c>
      <c r="T1657">
        <v>2024</v>
      </c>
      <c r="U1657" t="s">
        <v>62</v>
      </c>
    </row>
    <row r="1658" spans="1:21" x14ac:dyDescent="0.35">
      <c r="A1658" s="1">
        <v>46248</v>
      </c>
      <c r="B1658" t="s">
        <v>21</v>
      </c>
      <c r="C1658" t="s">
        <v>22</v>
      </c>
      <c r="D1658" t="s">
        <v>23</v>
      </c>
      <c r="E1658">
        <v>434</v>
      </c>
      <c r="F1658">
        <v>8</v>
      </c>
      <c r="G1658">
        <f t="shared" si="75"/>
        <v>3472</v>
      </c>
      <c r="H1658">
        <v>5</v>
      </c>
      <c r="I1658">
        <f t="shared" si="76"/>
        <v>2170</v>
      </c>
      <c r="J1658">
        <f t="shared" si="77"/>
        <v>1302</v>
      </c>
      <c r="K1658" t="s">
        <v>35</v>
      </c>
      <c r="L1658" t="s">
        <v>73</v>
      </c>
      <c r="M1658" t="s">
        <v>61</v>
      </c>
      <c r="N1658" t="s">
        <v>38</v>
      </c>
      <c r="O1658">
        <v>904</v>
      </c>
      <c r="P1658">
        <v>434</v>
      </c>
      <c r="Q1658" t="s">
        <v>87</v>
      </c>
      <c r="R1658" t="s">
        <v>88</v>
      </c>
      <c r="S1658" t="s">
        <v>89</v>
      </c>
      <c r="T1658">
        <v>2023</v>
      </c>
      <c r="U1658" t="s">
        <v>57</v>
      </c>
    </row>
    <row r="1659" spans="1:21" x14ac:dyDescent="0.35">
      <c r="A1659" s="1">
        <v>46249</v>
      </c>
      <c r="B1659" t="s">
        <v>98</v>
      </c>
      <c r="C1659" t="s">
        <v>99</v>
      </c>
      <c r="D1659" t="s">
        <v>100</v>
      </c>
      <c r="E1659">
        <v>106</v>
      </c>
      <c r="F1659">
        <v>6</v>
      </c>
      <c r="G1659">
        <f t="shared" si="75"/>
        <v>636</v>
      </c>
      <c r="H1659">
        <v>4</v>
      </c>
      <c r="I1659">
        <f t="shared" si="76"/>
        <v>424</v>
      </c>
      <c r="J1659">
        <f t="shared" si="77"/>
        <v>212</v>
      </c>
      <c r="K1659" t="s">
        <v>35</v>
      </c>
      <c r="L1659" t="s">
        <v>36</v>
      </c>
      <c r="M1659" t="s">
        <v>37</v>
      </c>
      <c r="N1659" t="s">
        <v>27</v>
      </c>
      <c r="O1659">
        <v>519</v>
      </c>
      <c r="P1659">
        <v>106</v>
      </c>
      <c r="Q1659" t="s">
        <v>90</v>
      </c>
      <c r="R1659" t="s">
        <v>55</v>
      </c>
      <c r="S1659" t="s">
        <v>85</v>
      </c>
      <c r="T1659">
        <v>2024</v>
      </c>
      <c r="U1659" t="s">
        <v>97</v>
      </c>
    </row>
    <row r="1660" spans="1:21" x14ac:dyDescent="0.35">
      <c r="A1660" s="1">
        <v>46250</v>
      </c>
      <c r="B1660" t="s">
        <v>58</v>
      </c>
      <c r="C1660" t="s">
        <v>59</v>
      </c>
      <c r="D1660" t="s">
        <v>60</v>
      </c>
      <c r="E1660">
        <v>480</v>
      </c>
      <c r="F1660">
        <v>5</v>
      </c>
      <c r="G1660">
        <f t="shared" si="75"/>
        <v>2400</v>
      </c>
      <c r="H1660">
        <v>3</v>
      </c>
      <c r="I1660">
        <f t="shared" si="76"/>
        <v>1440</v>
      </c>
      <c r="J1660">
        <f t="shared" si="77"/>
        <v>960</v>
      </c>
      <c r="K1660" t="s">
        <v>35</v>
      </c>
      <c r="L1660" t="s">
        <v>63</v>
      </c>
      <c r="M1660" t="s">
        <v>61</v>
      </c>
      <c r="N1660" t="s">
        <v>38</v>
      </c>
      <c r="O1660">
        <v>761</v>
      </c>
      <c r="P1660">
        <v>480</v>
      </c>
      <c r="Q1660" t="s">
        <v>28</v>
      </c>
      <c r="R1660" t="s">
        <v>29</v>
      </c>
      <c r="S1660" t="s">
        <v>30</v>
      </c>
      <c r="T1660">
        <v>2020</v>
      </c>
      <c r="U1660" t="s">
        <v>62</v>
      </c>
    </row>
    <row r="1661" spans="1:21" x14ac:dyDescent="0.35">
      <c r="A1661" s="1">
        <v>46251</v>
      </c>
      <c r="B1661" t="s">
        <v>80</v>
      </c>
      <c r="C1661" t="s">
        <v>81</v>
      </c>
      <c r="D1661" t="s">
        <v>82</v>
      </c>
      <c r="E1661">
        <v>188</v>
      </c>
      <c r="F1661">
        <v>2.5</v>
      </c>
      <c r="G1661">
        <f t="shared" si="75"/>
        <v>470</v>
      </c>
      <c r="H1661">
        <v>1.5</v>
      </c>
      <c r="I1661">
        <f t="shared" si="76"/>
        <v>282</v>
      </c>
      <c r="J1661">
        <f t="shared" si="77"/>
        <v>188</v>
      </c>
      <c r="K1661" t="s">
        <v>24</v>
      </c>
      <c r="L1661" t="s">
        <v>73</v>
      </c>
      <c r="M1661" t="s">
        <v>37</v>
      </c>
      <c r="N1661" t="s">
        <v>43</v>
      </c>
      <c r="O1661">
        <v>848</v>
      </c>
      <c r="P1661">
        <v>188</v>
      </c>
      <c r="Q1661" t="s">
        <v>90</v>
      </c>
      <c r="R1661" t="s">
        <v>55</v>
      </c>
      <c r="S1661" t="s">
        <v>85</v>
      </c>
      <c r="T1661">
        <v>2024</v>
      </c>
      <c r="U1661" t="s">
        <v>53</v>
      </c>
    </row>
    <row r="1662" spans="1:21" x14ac:dyDescent="0.35">
      <c r="A1662" s="1">
        <v>46252</v>
      </c>
      <c r="B1662" t="s">
        <v>98</v>
      </c>
      <c r="C1662" t="s">
        <v>99</v>
      </c>
      <c r="D1662" t="s">
        <v>100</v>
      </c>
      <c r="E1662">
        <v>406</v>
      </c>
      <c r="F1662">
        <v>6</v>
      </c>
      <c r="G1662">
        <f t="shared" si="75"/>
        <v>2436</v>
      </c>
      <c r="H1662">
        <v>4</v>
      </c>
      <c r="I1662">
        <f t="shared" si="76"/>
        <v>1624</v>
      </c>
      <c r="J1662">
        <f t="shared" si="77"/>
        <v>812</v>
      </c>
      <c r="K1662" t="s">
        <v>35</v>
      </c>
      <c r="L1662" t="s">
        <v>36</v>
      </c>
      <c r="M1662" t="s">
        <v>26</v>
      </c>
      <c r="N1662" t="s">
        <v>43</v>
      </c>
      <c r="O1662">
        <v>508</v>
      </c>
      <c r="P1662">
        <v>406</v>
      </c>
      <c r="Q1662" t="s">
        <v>70</v>
      </c>
      <c r="R1662" t="s">
        <v>71</v>
      </c>
      <c r="S1662" t="s">
        <v>72</v>
      </c>
      <c r="T1662">
        <v>2022</v>
      </c>
      <c r="U1662" t="s">
        <v>66</v>
      </c>
    </row>
    <row r="1663" spans="1:21" x14ac:dyDescent="0.35">
      <c r="A1663" s="1">
        <v>46253</v>
      </c>
      <c r="B1663" t="s">
        <v>98</v>
      </c>
      <c r="C1663" t="s">
        <v>99</v>
      </c>
      <c r="D1663" t="s">
        <v>100</v>
      </c>
      <c r="E1663">
        <v>139</v>
      </c>
      <c r="F1663">
        <v>6</v>
      </c>
      <c r="G1663">
        <f t="shared" si="75"/>
        <v>834</v>
      </c>
      <c r="H1663">
        <v>4</v>
      </c>
      <c r="I1663">
        <f t="shared" si="76"/>
        <v>556</v>
      </c>
      <c r="J1663">
        <f t="shared" si="77"/>
        <v>278</v>
      </c>
      <c r="K1663" t="s">
        <v>42</v>
      </c>
      <c r="L1663" t="s">
        <v>25</v>
      </c>
      <c r="M1663" t="s">
        <v>61</v>
      </c>
      <c r="N1663" t="s">
        <v>27</v>
      </c>
      <c r="O1663">
        <v>620</v>
      </c>
      <c r="P1663">
        <v>139</v>
      </c>
      <c r="Q1663" t="s">
        <v>103</v>
      </c>
      <c r="R1663" t="s">
        <v>68</v>
      </c>
      <c r="S1663" t="s">
        <v>104</v>
      </c>
      <c r="T1663">
        <v>2023</v>
      </c>
      <c r="U1663" t="s">
        <v>91</v>
      </c>
    </row>
    <row r="1664" spans="1:21" x14ac:dyDescent="0.35">
      <c r="A1664" s="1">
        <v>46254</v>
      </c>
      <c r="B1664" t="s">
        <v>21</v>
      </c>
      <c r="C1664" t="s">
        <v>22</v>
      </c>
      <c r="D1664" t="s">
        <v>23</v>
      </c>
      <c r="E1664">
        <v>461</v>
      </c>
      <c r="F1664">
        <v>8</v>
      </c>
      <c r="G1664">
        <f t="shared" si="75"/>
        <v>3688</v>
      </c>
      <c r="H1664">
        <v>5</v>
      </c>
      <c r="I1664">
        <f t="shared" si="76"/>
        <v>2305</v>
      </c>
      <c r="J1664">
        <f t="shared" si="77"/>
        <v>1383</v>
      </c>
      <c r="K1664" t="s">
        <v>35</v>
      </c>
      <c r="L1664" t="s">
        <v>25</v>
      </c>
      <c r="M1664" t="s">
        <v>26</v>
      </c>
      <c r="N1664" t="s">
        <v>43</v>
      </c>
      <c r="O1664">
        <v>749</v>
      </c>
      <c r="P1664">
        <v>461</v>
      </c>
      <c r="Q1664" t="s">
        <v>94</v>
      </c>
      <c r="R1664" t="s">
        <v>75</v>
      </c>
      <c r="S1664" t="s">
        <v>95</v>
      </c>
      <c r="T1664">
        <v>2021</v>
      </c>
      <c r="U1664" t="s">
        <v>91</v>
      </c>
    </row>
    <row r="1665" spans="1:21" x14ac:dyDescent="0.35">
      <c r="A1665" s="1">
        <v>46255</v>
      </c>
      <c r="B1665" t="s">
        <v>48</v>
      </c>
      <c r="C1665" t="s">
        <v>49</v>
      </c>
      <c r="D1665" t="s">
        <v>50</v>
      </c>
      <c r="E1665">
        <v>86</v>
      </c>
      <c r="F1665">
        <v>150</v>
      </c>
      <c r="G1665">
        <f t="shared" si="75"/>
        <v>12900</v>
      </c>
      <c r="H1665">
        <v>100</v>
      </c>
      <c r="I1665">
        <f t="shared" si="76"/>
        <v>8600</v>
      </c>
      <c r="J1665">
        <f t="shared" si="77"/>
        <v>4300</v>
      </c>
      <c r="K1665" t="s">
        <v>24</v>
      </c>
      <c r="L1665" t="s">
        <v>36</v>
      </c>
      <c r="M1665" t="s">
        <v>37</v>
      </c>
      <c r="N1665" t="s">
        <v>43</v>
      </c>
      <c r="O1665">
        <v>633</v>
      </c>
      <c r="P1665">
        <v>86</v>
      </c>
      <c r="Q1665" t="s">
        <v>92</v>
      </c>
      <c r="R1665" t="s">
        <v>45</v>
      </c>
      <c r="S1665" t="s">
        <v>93</v>
      </c>
      <c r="T1665">
        <v>2024</v>
      </c>
      <c r="U1665" t="s">
        <v>47</v>
      </c>
    </row>
    <row r="1666" spans="1:21" x14ac:dyDescent="0.35">
      <c r="A1666" s="1">
        <v>46256</v>
      </c>
      <c r="B1666" t="s">
        <v>58</v>
      </c>
      <c r="C1666" t="s">
        <v>59</v>
      </c>
      <c r="D1666" t="s">
        <v>60</v>
      </c>
      <c r="E1666">
        <v>414</v>
      </c>
      <c r="F1666">
        <v>5</v>
      </c>
      <c r="G1666">
        <f t="shared" si="75"/>
        <v>2070</v>
      </c>
      <c r="H1666">
        <v>3</v>
      </c>
      <c r="I1666">
        <f t="shared" si="76"/>
        <v>1242</v>
      </c>
      <c r="J1666">
        <f t="shared" si="77"/>
        <v>828</v>
      </c>
      <c r="K1666" t="s">
        <v>42</v>
      </c>
      <c r="L1666" t="s">
        <v>73</v>
      </c>
      <c r="M1666" t="s">
        <v>37</v>
      </c>
      <c r="N1666" t="s">
        <v>38</v>
      </c>
      <c r="O1666">
        <v>662</v>
      </c>
      <c r="P1666">
        <v>414</v>
      </c>
      <c r="Q1666" t="s">
        <v>44</v>
      </c>
      <c r="R1666" t="s">
        <v>45</v>
      </c>
      <c r="S1666" t="s">
        <v>46</v>
      </c>
      <c r="T1666">
        <v>2023</v>
      </c>
      <c r="U1666" t="s">
        <v>86</v>
      </c>
    </row>
    <row r="1667" spans="1:21" x14ac:dyDescent="0.35">
      <c r="A1667" s="1">
        <v>46257</v>
      </c>
      <c r="B1667" t="s">
        <v>80</v>
      </c>
      <c r="C1667" t="s">
        <v>81</v>
      </c>
      <c r="D1667" t="s">
        <v>82</v>
      </c>
      <c r="E1667">
        <v>356</v>
      </c>
      <c r="F1667">
        <v>2.5</v>
      </c>
      <c r="G1667">
        <f t="shared" ref="G1667:G1730" si="78">E1667*F1667</f>
        <v>890</v>
      </c>
      <c r="H1667">
        <v>1.5</v>
      </c>
      <c r="I1667">
        <f t="shared" ref="I1667:I1730" si="79">E1667*H1667</f>
        <v>534</v>
      </c>
      <c r="J1667">
        <f t="shared" ref="J1667:J1730" si="80">G1667-I1667</f>
        <v>356</v>
      </c>
      <c r="K1667" t="s">
        <v>35</v>
      </c>
      <c r="L1667" t="s">
        <v>73</v>
      </c>
      <c r="M1667" t="s">
        <v>26</v>
      </c>
      <c r="N1667" t="s">
        <v>27</v>
      </c>
      <c r="O1667">
        <v>799</v>
      </c>
      <c r="P1667">
        <v>356</v>
      </c>
      <c r="Q1667" t="s">
        <v>101</v>
      </c>
      <c r="R1667" t="s">
        <v>101</v>
      </c>
      <c r="S1667" t="s">
        <v>102</v>
      </c>
      <c r="T1667">
        <v>2021</v>
      </c>
      <c r="U1667" t="s">
        <v>57</v>
      </c>
    </row>
    <row r="1668" spans="1:21" x14ac:dyDescent="0.35">
      <c r="A1668" s="1">
        <v>46258</v>
      </c>
      <c r="B1668" t="s">
        <v>21</v>
      </c>
      <c r="C1668" t="s">
        <v>22</v>
      </c>
      <c r="D1668" t="s">
        <v>23</v>
      </c>
      <c r="E1668">
        <v>394</v>
      </c>
      <c r="F1668">
        <v>8</v>
      </c>
      <c r="G1668">
        <f t="shared" si="78"/>
        <v>3152</v>
      </c>
      <c r="H1668">
        <v>5</v>
      </c>
      <c r="I1668">
        <f t="shared" si="79"/>
        <v>1970</v>
      </c>
      <c r="J1668">
        <f t="shared" si="80"/>
        <v>1182</v>
      </c>
      <c r="K1668" t="s">
        <v>42</v>
      </c>
      <c r="L1668" t="s">
        <v>73</v>
      </c>
      <c r="M1668" t="s">
        <v>37</v>
      </c>
      <c r="N1668" t="s">
        <v>38</v>
      </c>
      <c r="O1668">
        <v>758</v>
      </c>
      <c r="P1668">
        <v>394</v>
      </c>
      <c r="Q1668" t="s">
        <v>67</v>
      </c>
      <c r="R1668" t="s">
        <v>68</v>
      </c>
      <c r="S1668" t="s">
        <v>69</v>
      </c>
      <c r="T1668">
        <v>2021</v>
      </c>
      <c r="U1668" t="s">
        <v>66</v>
      </c>
    </row>
    <row r="1669" spans="1:21" x14ac:dyDescent="0.35">
      <c r="A1669" s="1">
        <v>46259</v>
      </c>
      <c r="B1669" t="s">
        <v>58</v>
      </c>
      <c r="C1669" t="s">
        <v>59</v>
      </c>
      <c r="D1669" t="s">
        <v>60</v>
      </c>
      <c r="E1669">
        <v>242</v>
      </c>
      <c r="F1669">
        <v>5</v>
      </c>
      <c r="G1669">
        <f t="shared" si="78"/>
        <v>1210</v>
      </c>
      <c r="H1669">
        <v>3</v>
      </c>
      <c r="I1669">
        <f t="shared" si="79"/>
        <v>726</v>
      </c>
      <c r="J1669">
        <f t="shared" si="80"/>
        <v>484</v>
      </c>
      <c r="K1669" t="s">
        <v>24</v>
      </c>
      <c r="L1669" t="s">
        <v>36</v>
      </c>
      <c r="M1669" t="s">
        <v>26</v>
      </c>
      <c r="N1669" t="s">
        <v>43</v>
      </c>
      <c r="O1669">
        <v>684</v>
      </c>
      <c r="P1669">
        <v>242</v>
      </c>
      <c r="Q1669" t="s">
        <v>51</v>
      </c>
      <c r="R1669" t="s">
        <v>45</v>
      </c>
      <c r="S1669" t="s">
        <v>52</v>
      </c>
      <c r="T1669">
        <v>2023</v>
      </c>
      <c r="U1669" t="s">
        <v>91</v>
      </c>
    </row>
    <row r="1670" spans="1:21" x14ac:dyDescent="0.35">
      <c r="A1670" s="1">
        <v>46260</v>
      </c>
      <c r="B1670" t="s">
        <v>80</v>
      </c>
      <c r="C1670" t="s">
        <v>81</v>
      </c>
      <c r="D1670" t="s">
        <v>82</v>
      </c>
      <c r="E1670">
        <v>171</v>
      </c>
      <c r="F1670">
        <v>2.5</v>
      </c>
      <c r="G1670">
        <f t="shared" si="78"/>
        <v>427.5</v>
      </c>
      <c r="H1670">
        <v>1.5</v>
      </c>
      <c r="I1670">
        <f t="shared" si="79"/>
        <v>256.5</v>
      </c>
      <c r="J1670">
        <f t="shared" si="80"/>
        <v>171</v>
      </c>
      <c r="K1670" t="s">
        <v>35</v>
      </c>
      <c r="L1670" t="s">
        <v>36</v>
      </c>
      <c r="M1670" t="s">
        <v>37</v>
      </c>
      <c r="N1670" t="s">
        <v>27</v>
      </c>
      <c r="O1670">
        <v>670</v>
      </c>
      <c r="P1670">
        <v>171</v>
      </c>
      <c r="Q1670" t="s">
        <v>70</v>
      </c>
      <c r="R1670" t="s">
        <v>71</v>
      </c>
      <c r="S1670" t="s">
        <v>72</v>
      </c>
      <c r="T1670">
        <v>2023</v>
      </c>
      <c r="U1670" t="s">
        <v>47</v>
      </c>
    </row>
    <row r="1671" spans="1:21" x14ac:dyDescent="0.35">
      <c r="A1671" s="1">
        <v>46261</v>
      </c>
      <c r="B1671" t="s">
        <v>21</v>
      </c>
      <c r="C1671" t="s">
        <v>22</v>
      </c>
      <c r="D1671" t="s">
        <v>23</v>
      </c>
      <c r="E1671">
        <v>455</v>
      </c>
      <c r="F1671">
        <v>8</v>
      </c>
      <c r="G1671">
        <f t="shared" si="78"/>
        <v>3640</v>
      </c>
      <c r="H1671">
        <v>5</v>
      </c>
      <c r="I1671">
        <f t="shared" si="79"/>
        <v>2275</v>
      </c>
      <c r="J1671">
        <f t="shared" si="80"/>
        <v>1365</v>
      </c>
      <c r="K1671" t="s">
        <v>35</v>
      </c>
      <c r="L1671" t="s">
        <v>36</v>
      </c>
      <c r="M1671" t="s">
        <v>37</v>
      </c>
      <c r="N1671" t="s">
        <v>38</v>
      </c>
      <c r="O1671">
        <v>849</v>
      </c>
      <c r="P1671">
        <v>455</v>
      </c>
      <c r="Q1671" t="s">
        <v>77</v>
      </c>
      <c r="R1671" t="s">
        <v>78</v>
      </c>
      <c r="S1671" t="s">
        <v>79</v>
      </c>
      <c r="T1671">
        <v>2023</v>
      </c>
      <c r="U1671" t="s">
        <v>53</v>
      </c>
    </row>
    <row r="1672" spans="1:21" x14ac:dyDescent="0.35">
      <c r="A1672" s="1">
        <v>46262</v>
      </c>
      <c r="B1672" t="s">
        <v>48</v>
      </c>
      <c r="C1672" t="s">
        <v>49</v>
      </c>
      <c r="D1672" t="s">
        <v>50</v>
      </c>
      <c r="E1672">
        <v>162</v>
      </c>
      <c r="F1672">
        <v>150</v>
      </c>
      <c r="G1672">
        <f t="shared" si="78"/>
        <v>24300</v>
      </c>
      <c r="H1672">
        <v>100</v>
      </c>
      <c r="I1672">
        <f t="shared" si="79"/>
        <v>16200</v>
      </c>
      <c r="J1672">
        <f t="shared" si="80"/>
        <v>8100</v>
      </c>
      <c r="K1672" t="s">
        <v>24</v>
      </c>
      <c r="L1672" t="s">
        <v>73</v>
      </c>
      <c r="M1672" t="s">
        <v>37</v>
      </c>
      <c r="N1672" t="s">
        <v>43</v>
      </c>
      <c r="O1672">
        <v>608</v>
      </c>
      <c r="P1672">
        <v>162</v>
      </c>
      <c r="Q1672" t="s">
        <v>90</v>
      </c>
      <c r="R1672" t="s">
        <v>55</v>
      </c>
      <c r="S1672" t="s">
        <v>85</v>
      </c>
      <c r="T1672">
        <v>2024</v>
      </c>
      <c r="U1672" t="s">
        <v>97</v>
      </c>
    </row>
    <row r="1673" spans="1:21" x14ac:dyDescent="0.35">
      <c r="A1673" s="1">
        <v>46263</v>
      </c>
      <c r="B1673" t="s">
        <v>98</v>
      </c>
      <c r="C1673" t="s">
        <v>99</v>
      </c>
      <c r="D1673" t="s">
        <v>100</v>
      </c>
      <c r="E1673">
        <v>21</v>
      </c>
      <c r="F1673">
        <v>6</v>
      </c>
      <c r="G1673">
        <f t="shared" si="78"/>
        <v>126</v>
      </c>
      <c r="H1673">
        <v>4</v>
      </c>
      <c r="I1673">
        <f t="shared" si="79"/>
        <v>84</v>
      </c>
      <c r="J1673">
        <f t="shared" si="80"/>
        <v>42</v>
      </c>
      <c r="K1673" t="s">
        <v>42</v>
      </c>
      <c r="L1673" t="s">
        <v>36</v>
      </c>
      <c r="M1673" t="s">
        <v>37</v>
      </c>
      <c r="N1673" t="s">
        <v>27</v>
      </c>
      <c r="O1673">
        <v>791</v>
      </c>
      <c r="P1673">
        <v>21</v>
      </c>
      <c r="Q1673" t="s">
        <v>39</v>
      </c>
      <c r="R1673" t="s">
        <v>40</v>
      </c>
      <c r="S1673" t="s">
        <v>41</v>
      </c>
      <c r="T1673">
        <v>2022</v>
      </c>
      <c r="U1673" t="s">
        <v>91</v>
      </c>
    </row>
    <row r="1674" spans="1:21" x14ac:dyDescent="0.35">
      <c r="A1674" s="1">
        <v>46264</v>
      </c>
      <c r="B1674" t="s">
        <v>80</v>
      </c>
      <c r="C1674" t="s">
        <v>81</v>
      </c>
      <c r="D1674" t="s">
        <v>82</v>
      </c>
      <c r="E1674">
        <v>44</v>
      </c>
      <c r="F1674">
        <v>2.5</v>
      </c>
      <c r="G1674">
        <f t="shared" si="78"/>
        <v>110</v>
      </c>
      <c r="H1674">
        <v>1.5</v>
      </c>
      <c r="I1674">
        <f t="shared" si="79"/>
        <v>66</v>
      </c>
      <c r="J1674">
        <f t="shared" si="80"/>
        <v>44</v>
      </c>
      <c r="K1674" t="s">
        <v>24</v>
      </c>
      <c r="L1674" t="s">
        <v>36</v>
      </c>
      <c r="M1674" t="s">
        <v>61</v>
      </c>
      <c r="N1674" t="s">
        <v>43</v>
      </c>
      <c r="O1674">
        <v>653</v>
      </c>
      <c r="P1674">
        <v>44</v>
      </c>
      <c r="Q1674" t="s">
        <v>70</v>
      </c>
      <c r="R1674" t="s">
        <v>71</v>
      </c>
      <c r="S1674" t="s">
        <v>72</v>
      </c>
      <c r="T1674">
        <v>2023</v>
      </c>
      <c r="U1674" t="s">
        <v>86</v>
      </c>
    </row>
    <row r="1675" spans="1:21" x14ac:dyDescent="0.35">
      <c r="A1675" s="1">
        <v>46265</v>
      </c>
      <c r="B1675" t="s">
        <v>32</v>
      </c>
      <c r="C1675" t="s">
        <v>33</v>
      </c>
      <c r="D1675" t="s">
        <v>34</v>
      </c>
      <c r="E1675">
        <v>108</v>
      </c>
      <c r="F1675">
        <v>20</v>
      </c>
      <c r="G1675">
        <f t="shared" si="78"/>
        <v>2160</v>
      </c>
      <c r="H1675">
        <v>12</v>
      </c>
      <c r="I1675">
        <f t="shared" si="79"/>
        <v>1296</v>
      </c>
      <c r="J1675">
        <f t="shared" si="80"/>
        <v>864</v>
      </c>
      <c r="K1675" t="s">
        <v>35</v>
      </c>
      <c r="L1675" t="s">
        <v>73</v>
      </c>
      <c r="M1675" t="s">
        <v>61</v>
      </c>
      <c r="N1675" t="s">
        <v>27</v>
      </c>
      <c r="O1675">
        <v>971</v>
      </c>
      <c r="P1675">
        <v>108</v>
      </c>
      <c r="Q1675" t="s">
        <v>94</v>
      </c>
      <c r="R1675" t="s">
        <v>75</v>
      </c>
      <c r="S1675" t="s">
        <v>95</v>
      </c>
      <c r="T1675">
        <v>2020</v>
      </c>
      <c r="U1675" t="s">
        <v>97</v>
      </c>
    </row>
    <row r="1676" spans="1:21" x14ac:dyDescent="0.35">
      <c r="A1676" s="1">
        <v>46266</v>
      </c>
      <c r="B1676" t="s">
        <v>48</v>
      </c>
      <c r="C1676" t="s">
        <v>49</v>
      </c>
      <c r="D1676" t="s">
        <v>50</v>
      </c>
      <c r="E1676">
        <v>212</v>
      </c>
      <c r="F1676">
        <v>150</v>
      </c>
      <c r="G1676">
        <f t="shared" si="78"/>
        <v>31800</v>
      </c>
      <c r="H1676">
        <v>100</v>
      </c>
      <c r="I1676">
        <f t="shared" si="79"/>
        <v>21200</v>
      </c>
      <c r="J1676">
        <f t="shared" si="80"/>
        <v>10600</v>
      </c>
      <c r="K1676" t="s">
        <v>35</v>
      </c>
      <c r="L1676" t="s">
        <v>36</v>
      </c>
      <c r="M1676" t="s">
        <v>26</v>
      </c>
      <c r="N1676" t="s">
        <v>27</v>
      </c>
      <c r="O1676">
        <v>602</v>
      </c>
      <c r="P1676">
        <v>212</v>
      </c>
      <c r="Q1676" t="s">
        <v>106</v>
      </c>
      <c r="R1676" t="s">
        <v>107</v>
      </c>
      <c r="S1676" t="s">
        <v>108</v>
      </c>
      <c r="T1676">
        <v>2020</v>
      </c>
      <c r="U1676" t="s">
        <v>53</v>
      </c>
    </row>
    <row r="1677" spans="1:21" x14ac:dyDescent="0.35">
      <c r="A1677" s="1">
        <v>46267</v>
      </c>
      <c r="B1677" t="s">
        <v>48</v>
      </c>
      <c r="C1677" t="s">
        <v>49</v>
      </c>
      <c r="D1677" t="s">
        <v>50</v>
      </c>
      <c r="E1677">
        <v>247</v>
      </c>
      <c r="F1677">
        <v>150</v>
      </c>
      <c r="G1677">
        <f t="shared" si="78"/>
        <v>37050</v>
      </c>
      <c r="H1677">
        <v>100</v>
      </c>
      <c r="I1677">
        <f t="shared" si="79"/>
        <v>24700</v>
      </c>
      <c r="J1677">
        <f t="shared" si="80"/>
        <v>12350</v>
      </c>
      <c r="K1677" t="s">
        <v>42</v>
      </c>
      <c r="L1677" t="s">
        <v>73</v>
      </c>
      <c r="M1677" t="s">
        <v>26</v>
      </c>
      <c r="N1677" t="s">
        <v>27</v>
      </c>
      <c r="O1677">
        <v>735</v>
      </c>
      <c r="P1677">
        <v>247</v>
      </c>
      <c r="Q1677" t="s">
        <v>44</v>
      </c>
      <c r="R1677" t="s">
        <v>45</v>
      </c>
      <c r="S1677" t="s">
        <v>46</v>
      </c>
      <c r="T1677">
        <v>2020</v>
      </c>
      <c r="U1677" t="s">
        <v>31</v>
      </c>
    </row>
    <row r="1678" spans="1:21" x14ac:dyDescent="0.35">
      <c r="A1678" s="1">
        <v>46268</v>
      </c>
      <c r="B1678" t="s">
        <v>98</v>
      </c>
      <c r="C1678" t="s">
        <v>99</v>
      </c>
      <c r="D1678" t="s">
        <v>100</v>
      </c>
      <c r="E1678">
        <v>178</v>
      </c>
      <c r="F1678">
        <v>6</v>
      </c>
      <c r="G1678">
        <f t="shared" si="78"/>
        <v>1068</v>
      </c>
      <c r="H1678">
        <v>4</v>
      </c>
      <c r="I1678">
        <f t="shared" si="79"/>
        <v>712</v>
      </c>
      <c r="J1678">
        <f t="shared" si="80"/>
        <v>356</v>
      </c>
      <c r="K1678" t="s">
        <v>35</v>
      </c>
      <c r="L1678" t="s">
        <v>25</v>
      </c>
      <c r="M1678" t="s">
        <v>26</v>
      </c>
      <c r="N1678" t="s">
        <v>27</v>
      </c>
      <c r="O1678">
        <v>688</v>
      </c>
      <c r="P1678">
        <v>178</v>
      </c>
      <c r="Q1678" t="s">
        <v>94</v>
      </c>
      <c r="R1678" t="s">
        <v>75</v>
      </c>
      <c r="S1678" t="s">
        <v>95</v>
      </c>
      <c r="T1678">
        <v>2022</v>
      </c>
      <c r="U1678" t="s">
        <v>97</v>
      </c>
    </row>
    <row r="1679" spans="1:21" x14ac:dyDescent="0.35">
      <c r="A1679" s="1">
        <v>46269</v>
      </c>
      <c r="B1679" t="s">
        <v>32</v>
      </c>
      <c r="C1679" t="s">
        <v>33</v>
      </c>
      <c r="D1679" t="s">
        <v>34</v>
      </c>
      <c r="E1679">
        <v>20</v>
      </c>
      <c r="F1679">
        <v>20</v>
      </c>
      <c r="G1679">
        <f t="shared" si="78"/>
        <v>400</v>
      </c>
      <c r="H1679">
        <v>12</v>
      </c>
      <c r="I1679">
        <f t="shared" si="79"/>
        <v>240</v>
      </c>
      <c r="J1679">
        <f t="shared" si="80"/>
        <v>160</v>
      </c>
      <c r="K1679" t="s">
        <v>24</v>
      </c>
      <c r="L1679" t="s">
        <v>63</v>
      </c>
      <c r="M1679" t="s">
        <v>26</v>
      </c>
      <c r="N1679" t="s">
        <v>43</v>
      </c>
      <c r="O1679">
        <v>930</v>
      </c>
      <c r="P1679">
        <v>20</v>
      </c>
      <c r="Q1679" t="s">
        <v>67</v>
      </c>
      <c r="R1679" t="s">
        <v>68</v>
      </c>
      <c r="S1679" t="s">
        <v>69</v>
      </c>
      <c r="T1679">
        <v>2023</v>
      </c>
      <c r="U1679" t="s">
        <v>105</v>
      </c>
    </row>
    <row r="1680" spans="1:21" x14ac:dyDescent="0.35">
      <c r="A1680" s="1">
        <v>46270</v>
      </c>
      <c r="B1680" t="s">
        <v>58</v>
      </c>
      <c r="C1680" t="s">
        <v>59</v>
      </c>
      <c r="D1680" t="s">
        <v>60</v>
      </c>
      <c r="E1680">
        <v>472</v>
      </c>
      <c r="F1680">
        <v>5</v>
      </c>
      <c r="G1680">
        <f t="shared" si="78"/>
        <v>2360</v>
      </c>
      <c r="H1680">
        <v>3</v>
      </c>
      <c r="I1680">
        <f t="shared" si="79"/>
        <v>1416</v>
      </c>
      <c r="J1680">
        <f t="shared" si="80"/>
        <v>944</v>
      </c>
      <c r="K1680" t="s">
        <v>35</v>
      </c>
      <c r="L1680" t="s">
        <v>63</v>
      </c>
      <c r="M1680" t="s">
        <v>61</v>
      </c>
      <c r="N1680" t="s">
        <v>27</v>
      </c>
      <c r="O1680">
        <v>545</v>
      </c>
      <c r="P1680">
        <v>472</v>
      </c>
      <c r="Q1680" t="s">
        <v>106</v>
      </c>
      <c r="R1680" t="s">
        <v>107</v>
      </c>
      <c r="S1680" t="s">
        <v>108</v>
      </c>
      <c r="T1680">
        <v>2021</v>
      </c>
      <c r="U1680" t="s">
        <v>96</v>
      </c>
    </row>
    <row r="1681" spans="1:21" x14ac:dyDescent="0.35">
      <c r="A1681" s="1">
        <v>46271</v>
      </c>
      <c r="B1681" t="s">
        <v>58</v>
      </c>
      <c r="C1681" t="s">
        <v>59</v>
      </c>
      <c r="D1681" t="s">
        <v>60</v>
      </c>
      <c r="E1681">
        <v>11</v>
      </c>
      <c r="F1681">
        <v>5</v>
      </c>
      <c r="G1681">
        <f t="shared" si="78"/>
        <v>55</v>
      </c>
      <c r="H1681">
        <v>3</v>
      </c>
      <c r="I1681">
        <f t="shared" si="79"/>
        <v>33</v>
      </c>
      <c r="J1681">
        <f t="shared" si="80"/>
        <v>22</v>
      </c>
      <c r="K1681" t="s">
        <v>24</v>
      </c>
      <c r="L1681" t="s">
        <v>36</v>
      </c>
      <c r="M1681" t="s">
        <v>37</v>
      </c>
      <c r="N1681" t="s">
        <v>43</v>
      </c>
      <c r="O1681">
        <v>748</v>
      </c>
      <c r="P1681">
        <v>11</v>
      </c>
      <c r="Q1681" t="s">
        <v>28</v>
      </c>
      <c r="R1681" t="s">
        <v>29</v>
      </c>
      <c r="S1681" t="s">
        <v>30</v>
      </c>
      <c r="T1681">
        <v>2020</v>
      </c>
      <c r="U1681" t="s">
        <v>57</v>
      </c>
    </row>
    <row r="1682" spans="1:21" x14ac:dyDescent="0.35">
      <c r="A1682" s="1">
        <v>46272</v>
      </c>
      <c r="B1682" t="s">
        <v>58</v>
      </c>
      <c r="C1682" t="s">
        <v>59</v>
      </c>
      <c r="D1682" t="s">
        <v>60</v>
      </c>
      <c r="E1682">
        <v>144</v>
      </c>
      <c r="F1682">
        <v>5</v>
      </c>
      <c r="G1682">
        <f t="shared" si="78"/>
        <v>720</v>
      </c>
      <c r="H1682">
        <v>3</v>
      </c>
      <c r="I1682">
        <f t="shared" si="79"/>
        <v>432</v>
      </c>
      <c r="J1682">
        <f t="shared" si="80"/>
        <v>288</v>
      </c>
      <c r="K1682" t="s">
        <v>42</v>
      </c>
      <c r="L1682" t="s">
        <v>63</v>
      </c>
      <c r="M1682" t="s">
        <v>37</v>
      </c>
      <c r="N1682" t="s">
        <v>43</v>
      </c>
      <c r="O1682">
        <v>677</v>
      </c>
      <c r="P1682">
        <v>144</v>
      </c>
      <c r="Q1682" t="s">
        <v>54</v>
      </c>
      <c r="R1682" t="s">
        <v>55</v>
      </c>
      <c r="S1682" t="s">
        <v>56</v>
      </c>
      <c r="T1682">
        <v>2020</v>
      </c>
      <c r="U1682" t="s">
        <v>109</v>
      </c>
    </row>
    <row r="1683" spans="1:21" x14ac:dyDescent="0.35">
      <c r="A1683" s="1">
        <v>46273</v>
      </c>
      <c r="B1683" t="s">
        <v>80</v>
      </c>
      <c r="C1683" t="s">
        <v>81</v>
      </c>
      <c r="D1683" t="s">
        <v>82</v>
      </c>
      <c r="E1683">
        <v>371</v>
      </c>
      <c r="F1683">
        <v>2.5</v>
      </c>
      <c r="G1683">
        <f t="shared" si="78"/>
        <v>927.5</v>
      </c>
      <c r="H1683">
        <v>1.5</v>
      </c>
      <c r="I1683">
        <f t="shared" si="79"/>
        <v>556.5</v>
      </c>
      <c r="J1683">
        <f t="shared" si="80"/>
        <v>371</v>
      </c>
      <c r="K1683" t="s">
        <v>24</v>
      </c>
      <c r="L1683" t="s">
        <v>63</v>
      </c>
      <c r="M1683" t="s">
        <v>37</v>
      </c>
      <c r="N1683" t="s">
        <v>38</v>
      </c>
      <c r="O1683">
        <v>976</v>
      </c>
      <c r="P1683">
        <v>371</v>
      </c>
      <c r="Q1683" t="s">
        <v>90</v>
      </c>
      <c r="R1683" t="s">
        <v>55</v>
      </c>
      <c r="S1683" t="s">
        <v>85</v>
      </c>
      <c r="T1683">
        <v>2022</v>
      </c>
      <c r="U1683" t="s">
        <v>86</v>
      </c>
    </row>
    <row r="1684" spans="1:21" x14ac:dyDescent="0.35">
      <c r="A1684" s="1">
        <v>46274</v>
      </c>
      <c r="B1684" t="s">
        <v>98</v>
      </c>
      <c r="C1684" t="s">
        <v>99</v>
      </c>
      <c r="D1684" t="s">
        <v>100</v>
      </c>
      <c r="E1684">
        <v>311</v>
      </c>
      <c r="F1684">
        <v>6</v>
      </c>
      <c r="G1684">
        <f t="shared" si="78"/>
        <v>1866</v>
      </c>
      <c r="H1684">
        <v>4</v>
      </c>
      <c r="I1684">
        <f t="shared" si="79"/>
        <v>1244</v>
      </c>
      <c r="J1684">
        <f t="shared" si="80"/>
        <v>622</v>
      </c>
      <c r="K1684" t="s">
        <v>35</v>
      </c>
      <c r="L1684" t="s">
        <v>63</v>
      </c>
      <c r="M1684" t="s">
        <v>26</v>
      </c>
      <c r="N1684" t="s">
        <v>27</v>
      </c>
      <c r="O1684">
        <v>850</v>
      </c>
      <c r="P1684">
        <v>311</v>
      </c>
      <c r="Q1684" t="s">
        <v>54</v>
      </c>
      <c r="R1684" t="s">
        <v>55</v>
      </c>
      <c r="S1684" t="s">
        <v>56</v>
      </c>
      <c r="T1684">
        <v>2022</v>
      </c>
      <c r="U1684" t="s">
        <v>105</v>
      </c>
    </row>
    <row r="1685" spans="1:21" x14ac:dyDescent="0.35">
      <c r="A1685" s="1">
        <v>46275</v>
      </c>
      <c r="B1685" t="s">
        <v>32</v>
      </c>
      <c r="C1685" t="s">
        <v>33</v>
      </c>
      <c r="D1685" t="s">
        <v>34</v>
      </c>
      <c r="E1685">
        <v>282</v>
      </c>
      <c r="F1685">
        <v>20</v>
      </c>
      <c r="G1685">
        <f t="shared" si="78"/>
        <v>5640</v>
      </c>
      <c r="H1685">
        <v>12</v>
      </c>
      <c r="I1685">
        <f t="shared" si="79"/>
        <v>3384</v>
      </c>
      <c r="J1685">
        <f t="shared" si="80"/>
        <v>2256</v>
      </c>
      <c r="K1685" t="s">
        <v>24</v>
      </c>
      <c r="L1685" t="s">
        <v>63</v>
      </c>
      <c r="M1685" t="s">
        <v>26</v>
      </c>
      <c r="N1685" t="s">
        <v>38</v>
      </c>
      <c r="O1685">
        <v>897</v>
      </c>
      <c r="P1685">
        <v>282</v>
      </c>
      <c r="Q1685" t="s">
        <v>67</v>
      </c>
      <c r="R1685" t="s">
        <v>68</v>
      </c>
      <c r="S1685" t="s">
        <v>69</v>
      </c>
      <c r="T1685">
        <v>2022</v>
      </c>
      <c r="U1685" t="s">
        <v>91</v>
      </c>
    </row>
    <row r="1686" spans="1:21" x14ac:dyDescent="0.35">
      <c r="A1686" s="1">
        <v>46276</v>
      </c>
      <c r="B1686" t="s">
        <v>58</v>
      </c>
      <c r="C1686" t="s">
        <v>59</v>
      </c>
      <c r="D1686" t="s">
        <v>60</v>
      </c>
      <c r="E1686">
        <v>452</v>
      </c>
      <c r="F1686">
        <v>5</v>
      </c>
      <c r="G1686">
        <f t="shared" si="78"/>
        <v>2260</v>
      </c>
      <c r="H1686">
        <v>3</v>
      </c>
      <c r="I1686">
        <f t="shared" si="79"/>
        <v>1356</v>
      </c>
      <c r="J1686">
        <f t="shared" si="80"/>
        <v>904</v>
      </c>
      <c r="K1686" t="s">
        <v>42</v>
      </c>
      <c r="L1686" t="s">
        <v>25</v>
      </c>
      <c r="M1686" t="s">
        <v>61</v>
      </c>
      <c r="N1686" t="s">
        <v>27</v>
      </c>
      <c r="O1686">
        <v>727</v>
      </c>
      <c r="P1686">
        <v>452</v>
      </c>
      <c r="Q1686" t="s">
        <v>74</v>
      </c>
      <c r="R1686" t="s">
        <v>75</v>
      </c>
      <c r="S1686" t="s">
        <v>76</v>
      </c>
      <c r="T1686">
        <v>2022</v>
      </c>
      <c r="U1686" t="s">
        <v>86</v>
      </c>
    </row>
    <row r="1687" spans="1:21" x14ac:dyDescent="0.35">
      <c r="A1687" s="1">
        <v>46277</v>
      </c>
      <c r="B1687" t="s">
        <v>80</v>
      </c>
      <c r="C1687" t="s">
        <v>81</v>
      </c>
      <c r="D1687" t="s">
        <v>82</v>
      </c>
      <c r="E1687">
        <v>215</v>
      </c>
      <c r="F1687">
        <v>2.5</v>
      </c>
      <c r="G1687">
        <f t="shared" si="78"/>
        <v>537.5</v>
      </c>
      <c r="H1687">
        <v>1.5</v>
      </c>
      <c r="I1687">
        <f t="shared" si="79"/>
        <v>322.5</v>
      </c>
      <c r="J1687">
        <f t="shared" si="80"/>
        <v>215</v>
      </c>
      <c r="K1687" t="s">
        <v>42</v>
      </c>
      <c r="L1687" t="s">
        <v>36</v>
      </c>
      <c r="M1687" t="s">
        <v>26</v>
      </c>
      <c r="N1687" t="s">
        <v>38</v>
      </c>
      <c r="O1687">
        <v>599</v>
      </c>
      <c r="P1687">
        <v>215</v>
      </c>
      <c r="Q1687" t="s">
        <v>92</v>
      </c>
      <c r="R1687" t="s">
        <v>45</v>
      </c>
      <c r="S1687" t="s">
        <v>93</v>
      </c>
      <c r="T1687">
        <v>2023</v>
      </c>
      <c r="U1687" t="s">
        <v>97</v>
      </c>
    </row>
    <row r="1688" spans="1:21" x14ac:dyDescent="0.35">
      <c r="A1688" s="1">
        <v>46278</v>
      </c>
      <c r="B1688" t="s">
        <v>80</v>
      </c>
      <c r="C1688" t="s">
        <v>81</v>
      </c>
      <c r="D1688" t="s">
        <v>82</v>
      </c>
      <c r="E1688">
        <v>279</v>
      </c>
      <c r="F1688">
        <v>2.5</v>
      </c>
      <c r="G1688">
        <f t="shared" si="78"/>
        <v>697.5</v>
      </c>
      <c r="H1688">
        <v>1.5</v>
      </c>
      <c r="I1688">
        <f t="shared" si="79"/>
        <v>418.5</v>
      </c>
      <c r="J1688">
        <f t="shared" si="80"/>
        <v>279</v>
      </c>
      <c r="K1688" t="s">
        <v>24</v>
      </c>
      <c r="L1688" t="s">
        <v>25</v>
      </c>
      <c r="M1688" t="s">
        <v>26</v>
      </c>
      <c r="N1688" t="s">
        <v>38</v>
      </c>
      <c r="O1688">
        <v>799</v>
      </c>
      <c r="P1688">
        <v>279</v>
      </c>
      <c r="Q1688" t="s">
        <v>106</v>
      </c>
      <c r="R1688" t="s">
        <v>107</v>
      </c>
      <c r="S1688" t="s">
        <v>108</v>
      </c>
      <c r="T1688">
        <v>2021</v>
      </c>
      <c r="U1688" t="s">
        <v>91</v>
      </c>
    </row>
    <row r="1689" spans="1:21" x14ac:dyDescent="0.35">
      <c r="A1689" s="1">
        <v>46279</v>
      </c>
      <c r="B1689" t="s">
        <v>32</v>
      </c>
      <c r="C1689" t="s">
        <v>33</v>
      </c>
      <c r="D1689" t="s">
        <v>34</v>
      </c>
      <c r="E1689">
        <v>14</v>
      </c>
      <c r="F1689">
        <v>20</v>
      </c>
      <c r="G1689">
        <f t="shared" si="78"/>
        <v>280</v>
      </c>
      <c r="H1689">
        <v>12</v>
      </c>
      <c r="I1689">
        <f t="shared" si="79"/>
        <v>168</v>
      </c>
      <c r="J1689">
        <f t="shared" si="80"/>
        <v>112</v>
      </c>
      <c r="K1689" t="s">
        <v>42</v>
      </c>
      <c r="L1689" t="s">
        <v>25</v>
      </c>
      <c r="M1689" t="s">
        <v>61</v>
      </c>
      <c r="N1689" t="s">
        <v>27</v>
      </c>
      <c r="O1689">
        <v>618</v>
      </c>
      <c r="P1689">
        <v>14</v>
      </c>
      <c r="Q1689" t="s">
        <v>64</v>
      </c>
      <c r="R1689" t="s">
        <v>29</v>
      </c>
      <c r="S1689" t="s">
        <v>65</v>
      </c>
      <c r="T1689">
        <v>2022</v>
      </c>
      <c r="U1689" t="s">
        <v>109</v>
      </c>
    </row>
    <row r="1690" spans="1:21" x14ac:dyDescent="0.35">
      <c r="A1690" s="1">
        <v>46280</v>
      </c>
      <c r="B1690" t="s">
        <v>80</v>
      </c>
      <c r="C1690" t="s">
        <v>81</v>
      </c>
      <c r="D1690" t="s">
        <v>82</v>
      </c>
      <c r="E1690">
        <v>268</v>
      </c>
      <c r="F1690">
        <v>2.5</v>
      </c>
      <c r="G1690">
        <f t="shared" si="78"/>
        <v>670</v>
      </c>
      <c r="H1690">
        <v>1.5</v>
      </c>
      <c r="I1690">
        <f t="shared" si="79"/>
        <v>402</v>
      </c>
      <c r="J1690">
        <f t="shared" si="80"/>
        <v>268</v>
      </c>
      <c r="K1690" t="s">
        <v>42</v>
      </c>
      <c r="L1690" t="s">
        <v>36</v>
      </c>
      <c r="M1690" t="s">
        <v>37</v>
      </c>
      <c r="N1690" t="s">
        <v>27</v>
      </c>
      <c r="O1690">
        <v>991</v>
      </c>
      <c r="P1690">
        <v>268</v>
      </c>
      <c r="Q1690" t="s">
        <v>113</v>
      </c>
      <c r="R1690" t="s">
        <v>114</v>
      </c>
      <c r="S1690" t="s">
        <v>115</v>
      </c>
      <c r="T1690">
        <v>2024</v>
      </c>
      <c r="U1690" t="s">
        <v>96</v>
      </c>
    </row>
    <row r="1691" spans="1:21" x14ac:dyDescent="0.35">
      <c r="A1691" s="1">
        <v>46281</v>
      </c>
      <c r="B1691" t="s">
        <v>98</v>
      </c>
      <c r="C1691" t="s">
        <v>99</v>
      </c>
      <c r="D1691" t="s">
        <v>100</v>
      </c>
      <c r="E1691">
        <v>226</v>
      </c>
      <c r="F1691">
        <v>6</v>
      </c>
      <c r="G1691">
        <f t="shared" si="78"/>
        <v>1356</v>
      </c>
      <c r="H1691">
        <v>4</v>
      </c>
      <c r="I1691">
        <f t="shared" si="79"/>
        <v>904</v>
      </c>
      <c r="J1691">
        <f t="shared" si="80"/>
        <v>452</v>
      </c>
      <c r="K1691" t="s">
        <v>35</v>
      </c>
      <c r="L1691" t="s">
        <v>73</v>
      </c>
      <c r="M1691" t="s">
        <v>26</v>
      </c>
      <c r="N1691" t="s">
        <v>43</v>
      </c>
      <c r="O1691">
        <v>929</v>
      </c>
      <c r="P1691">
        <v>226</v>
      </c>
      <c r="Q1691" t="s">
        <v>103</v>
      </c>
      <c r="R1691" t="s">
        <v>68</v>
      </c>
      <c r="S1691" t="s">
        <v>104</v>
      </c>
      <c r="T1691">
        <v>2020</v>
      </c>
      <c r="U1691" t="s">
        <v>57</v>
      </c>
    </row>
    <row r="1692" spans="1:21" x14ac:dyDescent="0.35">
      <c r="A1692" s="1">
        <v>46282</v>
      </c>
      <c r="B1692" t="s">
        <v>58</v>
      </c>
      <c r="C1692" t="s">
        <v>59</v>
      </c>
      <c r="D1692" t="s">
        <v>60</v>
      </c>
      <c r="E1692">
        <v>223</v>
      </c>
      <c r="F1692">
        <v>5</v>
      </c>
      <c r="G1692">
        <f t="shared" si="78"/>
        <v>1115</v>
      </c>
      <c r="H1692">
        <v>3</v>
      </c>
      <c r="I1692">
        <f t="shared" si="79"/>
        <v>669</v>
      </c>
      <c r="J1692">
        <f t="shared" si="80"/>
        <v>446</v>
      </c>
      <c r="K1692" t="s">
        <v>35</v>
      </c>
      <c r="L1692" t="s">
        <v>36</v>
      </c>
      <c r="M1692" t="s">
        <v>37</v>
      </c>
      <c r="N1692" t="s">
        <v>43</v>
      </c>
      <c r="O1692">
        <v>738</v>
      </c>
      <c r="P1692">
        <v>223</v>
      </c>
      <c r="Q1692" t="s">
        <v>74</v>
      </c>
      <c r="R1692" t="s">
        <v>75</v>
      </c>
      <c r="S1692" t="s">
        <v>76</v>
      </c>
      <c r="T1692">
        <v>2023</v>
      </c>
      <c r="U1692" t="s">
        <v>62</v>
      </c>
    </row>
    <row r="1693" spans="1:21" x14ac:dyDescent="0.35">
      <c r="A1693" s="1">
        <v>46283</v>
      </c>
      <c r="B1693" t="s">
        <v>48</v>
      </c>
      <c r="C1693" t="s">
        <v>49</v>
      </c>
      <c r="D1693" t="s">
        <v>50</v>
      </c>
      <c r="E1693">
        <v>210</v>
      </c>
      <c r="F1693">
        <v>150</v>
      </c>
      <c r="G1693">
        <f t="shared" si="78"/>
        <v>31500</v>
      </c>
      <c r="H1693">
        <v>100</v>
      </c>
      <c r="I1693">
        <f t="shared" si="79"/>
        <v>21000</v>
      </c>
      <c r="J1693">
        <f t="shared" si="80"/>
        <v>10500</v>
      </c>
      <c r="K1693" t="s">
        <v>42</v>
      </c>
      <c r="L1693" t="s">
        <v>36</v>
      </c>
      <c r="M1693" t="s">
        <v>26</v>
      </c>
      <c r="N1693" t="s">
        <v>27</v>
      </c>
      <c r="O1693">
        <v>848</v>
      </c>
      <c r="P1693">
        <v>210</v>
      </c>
      <c r="Q1693" t="s">
        <v>77</v>
      </c>
      <c r="R1693" t="s">
        <v>78</v>
      </c>
      <c r="S1693" t="s">
        <v>79</v>
      </c>
      <c r="T1693">
        <v>2022</v>
      </c>
      <c r="U1693" t="s">
        <v>66</v>
      </c>
    </row>
    <row r="1694" spans="1:21" x14ac:dyDescent="0.35">
      <c r="A1694" s="1">
        <v>46284</v>
      </c>
      <c r="B1694" t="s">
        <v>48</v>
      </c>
      <c r="C1694" t="s">
        <v>49</v>
      </c>
      <c r="D1694" t="s">
        <v>50</v>
      </c>
      <c r="E1694">
        <v>100</v>
      </c>
      <c r="F1694">
        <v>150</v>
      </c>
      <c r="G1694">
        <f t="shared" si="78"/>
        <v>15000</v>
      </c>
      <c r="H1694">
        <v>100</v>
      </c>
      <c r="I1694">
        <f t="shared" si="79"/>
        <v>10000</v>
      </c>
      <c r="J1694">
        <f t="shared" si="80"/>
        <v>5000</v>
      </c>
      <c r="K1694" t="s">
        <v>24</v>
      </c>
      <c r="L1694" t="s">
        <v>25</v>
      </c>
      <c r="M1694" t="s">
        <v>37</v>
      </c>
      <c r="N1694" t="s">
        <v>43</v>
      </c>
      <c r="O1694">
        <v>532</v>
      </c>
      <c r="P1694">
        <v>100</v>
      </c>
      <c r="Q1694" t="s">
        <v>64</v>
      </c>
      <c r="R1694" t="s">
        <v>29</v>
      </c>
      <c r="S1694" t="s">
        <v>65</v>
      </c>
      <c r="T1694">
        <v>2022</v>
      </c>
      <c r="U1694" t="s">
        <v>66</v>
      </c>
    </row>
    <row r="1695" spans="1:21" x14ac:dyDescent="0.35">
      <c r="A1695" s="1">
        <v>46285</v>
      </c>
      <c r="B1695" t="s">
        <v>98</v>
      </c>
      <c r="C1695" t="s">
        <v>99</v>
      </c>
      <c r="D1695" t="s">
        <v>100</v>
      </c>
      <c r="E1695">
        <v>219</v>
      </c>
      <c r="F1695">
        <v>6</v>
      </c>
      <c r="G1695">
        <f t="shared" si="78"/>
        <v>1314</v>
      </c>
      <c r="H1695">
        <v>4</v>
      </c>
      <c r="I1695">
        <f t="shared" si="79"/>
        <v>876</v>
      </c>
      <c r="J1695">
        <f t="shared" si="80"/>
        <v>438</v>
      </c>
      <c r="K1695" t="s">
        <v>24</v>
      </c>
      <c r="L1695" t="s">
        <v>36</v>
      </c>
      <c r="M1695" t="s">
        <v>26</v>
      </c>
      <c r="N1695" t="s">
        <v>27</v>
      </c>
      <c r="O1695">
        <v>555</v>
      </c>
      <c r="P1695">
        <v>219</v>
      </c>
      <c r="Q1695" t="s">
        <v>113</v>
      </c>
      <c r="R1695" t="s">
        <v>114</v>
      </c>
      <c r="S1695" t="s">
        <v>115</v>
      </c>
      <c r="T1695">
        <v>2021</v>
      </c>
      <c r="U1695" t="s">
        <v>109</v>
      </c>
    </row>
    <row r="1696" spans="1:21" x14ac:dyDescent="0.35">
      <c r="A1696" s="1">
        <v>46286</v>
      </c>
      <c r="B1696" t="s">
        <v>98</v>
      </c>
      <c r="C1696" t="s">
        <v>99</v>
      </c>
      <c r="D1696" t="s">
        <v>100</v>
      </c>
      <c r="E1696">
        <v>66</v>
      </c>
      <c r="F1696">
        <v>6</v>
      </c>
      <c r="G1696">
        <f t="shared" si="78"/>
        <v>396</v>
      </c>
      <c r="H1696">
        <v>4</v>
      </c>
      <c r="I1696">
        <f t="shared" si="79"/>
        <v>264</v>
      </c>
      <c r="J1696">
        <f t="shared" si="80"/>
        <v>132</v>
      </c>
      <c r="K1696" t="s">
        <v>24</v>
      </c>
      <c r="L1696" t="s">
        <v>25</v>
      </c>
      <c r="M1696" t="s">
        <v>37</v>
      </c>
      <c r="N1696" t="s">
        <v>38</v>
      </c>
      <c r="O1696">
        <v>945</v>
      </c>
      <c r="P1696">
        <v>66</v>
      </c>
      <c r="Q1696" t="s">
        <v>110</v>
      </c>
      <c r="R1696" t="s">
        <v>111</v>
      </c>
      <c r="S1696" t="s">
        <v>112</v>
      </c>
      <c r="T1696">
        <v>2024</v>
      </c>
      <c r="U1696" t="s">
        <v>91</v>
      </c>
    </row>
    <row r="1697" spans="1:21" x14ac:dyDescent="0.35">
      <c r="A1697" s="1">
        <v>46287</v>
      </c>
      <c r="B1697" t="s">
        <v>21</v>
      </c>
      <c r="C1697" t="s">
        <v>22</v>
      </c>
      <c r="D1697" t="s">
        <v>23</v>
      </c>
      <c r="E1697">
        <v>94</v>
      </c>
      <c r="F1697">
        <v>8</v>
      </c>
      <c r="G1697">
        <f t="shared" si="78"/>
        <v>752</v>
      </c>
      <c r="H1697">
        <v>5</v>
      </c>
      <c r="I1697">
        <f t="shared" si="79"/>
        <v>470</v>
      </c>
      <c r="J1697">
        <f t="shared" si="80"/>
        <v>282</v>
      </c>
      <c r="K1697" t="s">
        <v>35</v>
      </c>
      <c r="L1697" t="s">
        <v>36</v>
      </c>
      <c r="M1697" t="s">
        <v>37</v>
      </c>
      <c r="N1697" t="s">
        <v>27</v>
      </c>
      <c r="O1697">
        <v>595</v>
      </c>
      <c r="P1697">
        <v>94</v>
      </c>
      <c r="Q1697" t="s">
        <v>94</v>
      </c>
      <c r="R1697" t="s">
        <v>75</v>
      </c>
      <c r="S1697" t="s">
        <v>95</v>
      </c>
      <c r="T1697">
        <v>2020</v>
      </c>
      <c r="U1697" t="s">
        <v>109</v>
      </c>
    </row>
    <row r="1698" spans="1:21" x14ac:dyDescent="0.35">
      <c r="A1698" s="1">
        <v>46288</v>
      </c>
      <c r="B1698" t="s">
        <v>58</v>
      </c>
      <c r="C1698" t="s">
        <v>59</v>
      </c>
      <c r="D1698" t="s">
        <v>60</v>
      </c>
      <c r="E1698">
        <v>193</v>
      </c>
      <c r="F1698">
        <v>5</v>
      </c>
      <c r="G1698">
        <f t="shared" si="78"/>
        <v>965</v>
      </c>
      <c r="H1698">
        <v>3</v>
      </c>
      <c r="I1698">
        <f t="shared" si="79"/>
        <v>579</v>
      </c>
      <c r="J1698">
        <f t="shared" si="80"/>
        <v>386</v>
      </c>
      <c r="K1698" t="s">
        <v>42</v>
      </c>
      <c r="L1698" t="s">
        <v>25</v>
      </c>
      <c r="M1698" t="s">
        <v>37</v>
      </c>
      <c r="N1698" t="s">
        <v>27</v>
      </c>
      <c r="O1698">
        <v>740</v>
      </c>
      <c r="P1698">
        <v>193</v>
      </c>
      <c r="Q1698" t="s">
        <v>44</v>
      </c>
      <c r="R1698" t="s">
        <v>45</v>
      </c>
      <c r="S1698" t="s">
        <v>46</v>
      </c>
      <c r="T1698">
        <v>2020</v>
      </c>
      <c r="U1698" t="s">
        <v>86</v>
      </c>
    </row>
    <row r="1699" spans="1:21" x14ac:dyDescent="0.35">
      <c r="A1699" s="1">
        <v>46289</v>
      </c>
      <c r="B1699" t="s">
        <v>32</v>
      </c>
      <c r="C1699" t="s">
        <v>33</v>
      </c>
      <c r="D1699" t="s">
        <v>34</v>
      </c>
      <c r="E1699">
        <v>56</v>
      </c>
      <c r="F1699">
        <v>20</v>
      </c>
      <c r="G1699">
        <f t="shared" si="78"/>
        <v>1120</v>
      </c>
      <c r="H1699">
        <v>12</v>
      </c>
      <c r="I1699">
        <f t="shared" si="79"/>
        <v>672</v>
      </c>
      <c r="J1699">
        <f t="shared" si="80"/>
        <v>448</v>
      </c>
      <c r="K1699" t="s">
        <v>24</v>
      </c>
      <c r="L1699" t="s">
        <v>36</v>
      </c>
      <c r="M1699" t="s">
        <v>61</v>
      </c>
      <c r="N1699" t="s">
        <v>43</v>
      </c>
      <c r="O1699">
        <v>539</v>
      </c>
      <c r="P1699">
        <v>56</v>
      </c>
      <c r="Q1699" t="s">
        <v>70</v>
      </c>
      <c r="R1699" t="s">
        <v>71</v>
      </c>
      <c r="S1699" t="s">
        <v>72</v>
      </c>
      <c r="T1699">
        <v>2020</v>
      </c>
      <c r="U1699" t="s">
        <v>91</v>
      </c>
    </row>
    <row r="1700" spans="1:21" x14ac:dyDescent="0.35">
      <c r="A1700" s="1">
        <v>46290</v>
      </c>
      <c r="B1700" t="s">
        <v>58</v>
      </c>
      <c r="C1700" t="s">
        <v>59</v>
      </c>
      <c r="D1700" t="s">
        <v>60</v>
      </c>
      <c r="E1700">
        <v>24</v>
      </c>
      <c r="F1700">
        <v>5</v>
      </c>
      <c r="G1700">
        <f t="shared" si="78"/>
        <v>120</v>
      </c>
      <c r="H1700">
        <v>3</v>
      </c>
      <c r="I1700">
        <f t="shared" si="79"/>
        <v>72</v>
      </c>
      <c r="J1700">
        <f t="shared" si="80"/>
        <v>48</v>
      </c>
      <c r="K1700" t="s">
        <v>24</v>
      </c>
      <c r="L1700" t="s">
        <v>63</v>
      </c>
      <c r="M1700" t="s">
        <v>26</v>
      </c>
      <c r="N1700" t="s">
        <v>43</v>
      </c>
      <c r="O1700">
        <v>941</v>
      </c>
      <c r="P1700">
        <v>24</v>
      </c>
      <c r="Q1700" t="s">
        <v>110</v>
      </c>
      <c r="R1700" t="s">
        <v>111</v>
      </c>
      <c r="S1700" t="s">
        <v>112</v>
      </c>
      <c r="T1700">
        <v>2023</v>
      </c>
      <c r="U1700" t="s">
        <v>53</v>
      </c>
    </row>
    <row r="1701" spans="1:21" x14ac:dyDescent="0.35">
      <c r="A1701" s="1">
        <v>46291</v>
      </c>
      <c r="B1701" t="s">
        <v>98</v>
      </c>
      <c r="C1701" t="s">
        <v>99</v>
      </c>
      <c r="D1701" t="s">
        <v>100</v>
      </c>
      <c r="E1701">
        <v>339</v>
      </c>
      <c r="F1701">
        <v>6</v>
      </c>
      <c r="G1701">
        <f t="shared" si="78"/>
        <v>2034</v>
      </c>
      <c r="H1701">
        <v>4</v>
      </c>
      <c r="I1701">
        <f t="shared" si="79"/>
        <v>1356</v>
      </c>
      <c r="J1701">
        <f t="shared" si="80"/>
        <v>678</v>
      </c>
      <c r="K1701" t="s">
        <v>24</v>
      </c>
      <c r="L1701" t="s">
        <v>73</v>
      </c>
      <c r="M1701" t="s">
        <v>61</v>
      </c>
      <c r="N1701" t="s">
        <v>38</v>
      </c>
      <c r="O1701">
        <v>772</v>
      </c>
      <c r="P1701">
        <v>339</v>
      </c>
      <c r="Q1701" t="s">
        <v>64</v>
      </c>
      <c r="R1701" t="s">
        <v>29</v>
      </c>
      <c r="S1701" t="s">
        <v>65</v>
      </c>
      <c r="T1701">
        <v>2023</v>
      </c>
      <c r="U1701" t="s">
        <v>105</v>
      </c>
    </row>
    <row r="1702" spans="1:21" x14ac:dyDescent="0.35">
      <c r="A1702" s="1">
        <v>46292</v>
      </c>
      <c r="B1702" t="s">
        <v>58</v>
      </c>
      <c r="C1702" t="s">
        <v>59</v>
      </c>
      <c r="D1702" t="s">
        <v>60</v>
      </c>
      <c r="E1702">
        <v>205</v>
      </c>
      <c r="F1702">
        <v>5</v>
      </c>
      <c r="G1702">
        <f t="shared" si="78"/>
        <v>1025</v>
      </c>
      <c r="H1702">
        <v>3</v>
      </c>
      <c r="I1702">
        <f t="shared" si="79"/>
        <v>615</v>
      </c>
      <c r="J1702">
        <f t="shared" si="80"/>
        <v>410</v>
      </c>
      <c r="K1702" t="s">
        <v>42</v>
      </c>
      <c r="L1702" t="s">
        <v>25</v>
      </c>
      <c r="M1702" t="s">
        <v>61</v>
      </c>
      <c r="N1702" t="s">
        <v>43</v>
      </c>
      <c r="O1702">
        <v>526</v>
      </c>
      <c r="P1702">
        <v>205</v>
      </c>
      <c r="Q1702" t="s">
        <v>87</v>
      </c>
      <c r="R1702" t="s">
        <v>88</v>
      </c>
      <c r="S1702" t="s">
        <v>89</v>
      </c>
      <c r="T1702">
        <v>2021</v>
      </c>
      <c r="U1702" t="s">
        <v>47</v>
      </c>
    </row>
    <row r="1703" spans="1:21" x14ac:dyDescent="0.35">
      <c r="A1703" s="1">
        <v>46293</v>
      </c>
      <c r="B1703" t="s">
        <v>80</v>
      </c>
      <c r="C1703" t="s">
        <v>81</v>
      </c>
      <c r="D1703" t="s">
        <v>82</v>
      </c>
      <c r="E1703">
        <v>434</v>
      </c>
      <c r="F1703">
        <v>2.5</v>
      </c>
      <c r="G1703">
        <f t="shared" si="78"/>
        <v>1085</v>
      </c>
      <c r="H1703">
        <v>1.5</v>
      </c>
      <c r="I1703">
        <f t="shared" si="79"/>
        <v>651</v>
      </c>
      <c r="J1703">
        <f t="shared" si="80"/>
        <v>434</v>
      </c>
      <c r="K1703" t="s">
        <v>35</v>
      </c>
      <c r="L1703" t="s">
        <v>63</v>
      </c>
      <c r="M1703" t="s">
        <v>26</v>
      </c>
      <c r="N1703" t="s">
        <v>43</v>
      </c>
      <c r="O1703">
        <v>919</v>
      </c>
      <c r="P1703">
        <v>434</v>
      </c>
      <c r="Q1703" t="s">
        <v>90</v>
      </c>
      <c r="R1703" t="s">
        <v>55</v>
      </c>
      <c r="S1703" t="s">
        <v>85</v>
      </c>
      <c r="T1703">
        <v>2022</v>
      </c>
      <c r="U1703" t="s">
        <v>66</v>
      </c>
    </row>
    <row r="1704" spans="1:21" x14ac:dyDescent="0.35">
      <c r="A1704" s="1">
        <v>46294</v>
      </c>
      <c r="B1704" t="s">
        <v>48</v>
      </c>
      <c r="C1704" t="s">
        <v>49</v>
      </c>
      <c r="D1704" t="s">
        <v>50</v>
      </c>
      <c r="E1704">
        <v>368</v>
      </c>
      <c r="F1704">
        <v>150</v>
      </c>
      <c r="G1704">
        <f t="shared" si="78"/>
        <v>55200</v>
      </c>
      <c r="H1704">
        <v>100</v>
      </c>
      <c r="I1704">
        <f t="shared" si="79"/>
        <v>36800</v>
      </c>
      <c r="J1704">
        <f t="shared" si="80"/>
        <v>18400</v>
      </c>
      <c r="K1704" t="s">
        <v>24</v>
      </c>
      <c r="L1704" t="s">
        <v>36</v>
      </c>
      <c r="M1704" t="s">
        <v>61</v>
      </c>
      <c r="N1704" t="s">
        <v>27</v>
      </c>
      <c r="O1704">
        <v>852</v>
      </c>
      <c r="P1704">
        <v>368</v>
      </c>
      <c r="Q1704" t="s">
        <v>28</v>
      </c>
      <c r="R1704" t="s">
        <v>29</v>
      </c>
      <c r="S1704" t="s">
        <v>30</v>
      </c>
      <c r="T1704">
        <v>2023</v>
      </c>
      <c r="U1704" t="s">
        <v>31</v>
      </c>
    </row>
    <row r="1705" spans="1:21" x14ac:dyDescent="0.35">
      <c r="A1705" s="1">
        <v>46295</v>
      </c>
      <c r="B1705" t="s">
        <v>80</v>
      </c>
      <c r="C1705" t="s">
        <v>81</v>
      </c>
      <c r="D1705" t="s">
        <v>82</v>
      </c>
      <c r="E1705">
        <v>489</v>
      </c>
      <c r="F1705">
        <v>2.5</v>
      </c>
      <c r="G1705">
        <f t="shared" si="78"/>
        <v>1222.5</v>
      </c>
      <c r="H1705">
        <v>1.5</v>
      </c>
      <c r="I1705">
        <f t="shared" si="79"/>
        <v>733.5</v>
      </c>
      <c r="J1705">
        <f t="shared" si="80"/>
        <v>489</v>
      </c>
      <c r="K1705" t="s">
        <v>24</v>
      </c>
      <c r="L1705" t="s">
        <v>63</v>
      </c>
      <c r="M1705" t="s">
        <v>26</v>
      </c>
      <c r="N1705" t="s">
        <v>43</v>
      </c>
      <c r="O1705">
        <v>526</v>
      </c>
      <c r="P1705">
        <v>489</v>
      </c>
      <c r="Q1705" t="s">
        <v>64</v>
      </c>
      <c r="R1705" t="s">
        <v>29</v>
      </c>
      <c r="S1705" t="s">
        <v>65</v>
      </c>
      <c r="T1705">
        <v>2024</v>
      </c>
      <c r="U1705" t="s">
        <v>62</v>
      </c>
    </row>
    <row r="1706" spans="1:21" x14ac:dyDescent="0.35">
      <c r="A1706" s="1">
        <v>46296</v>
      </c>
      <c r="B1706" t="s">
        <v>58</v>
      </c>
      <c r="C1706" t="s">
        <v>59</v>
      </c>
      <c r="D1706" t="s">
        <v>60</v>
      </c>
      <c r="E1706">
        <v>81</v>
      </c>
      <c r="F1706">
        <v>5</v>
      </c>
      <c r="G1706">
        <f t="shared" si="78"/>
        <v>405</v>
      </c>
      <c r="H1706">
        <v>3</v>
      </c>
      <c r="I1706">
        <f t="shared" si="79"/>
        <v>243</v>
      </c>
      <c r="J1706">
        <f t="shared" si="80"/>
        <v>162</v>
      </c>
      <c r="K1706" t="s">
        <v>42</v>
      </c>
      <c r="L1706" t="s">
        <v>36</v>
      </c>
      <c r="M1706" t="s">
        <v>61</v>
      </c>
      <c r="N1706" t="s">
        <v>38</v>
      </c>
      <c r="O1706">
        <v>917</v>
      </c>
      <c r="P1706">
        <v>81</v>
      </c>
      <c r="Q1706" t="s">
        <v>44</v>
      </c>
      <c r="R1706" t="s">
        <v>45</v>
      </c>
      <c r="S1706" t="s">
        <v>46</v>
      </c>
      <c r="T1706">
        <v>2023</v>
      </c>
      <c r="U1706" t="s">
        <v>97</v>
      </c>
    </row>
    <row r="1707" spans="1:21" x14ac:dyDescent="0.35">
      <c r="A1707" s="1">
        <v>46297</v>
      </c>
      <c r="B1707" t="s">
        <v>58</v>
      </c>
      <c r="C1707" t="s">
        <v>59</v>
      </c>
      <c r="D1707" t="s">
        <v>60</v>
      </c>
      <c r="E1707">
        <v>385</v>
      </c>
      <c r="F1707">
        <v>5</v>
      </c>
      <c r="G1707">
        <f t="shared" si="78"/>
        <v>1925</v>
      </c>
      <c r="H1707">
        <v>3</v>
      </c>
      <c r="I1707">
        <f t="shared" si="79"/>
        <v>1155</v>
      </c>
      <c r="J1707">
        <f t="shared" si="80"/>
        <v>770</v>
      </c>
      <c r="K1707" t="s">
        <v>24</v>
      </c>
      <c r="L1707" t="s">
        <v>63</v>
      </c>
      <c r="M1707" t="s">
        <v>37</v>
      </c>
      <c r="N1707" t="s">
        <v>27</v>
      </c>
      <c r="O1707">
        <v>518</v>
      </c>
      <c r="P1707">
        <v>385</v>
      </c>
      <c r="Q1707" t="s">
        <v>94</v>
      </c>
      <c r="R1707" t="s">
        <v>75</v>
      </c>
      <c r="S1707" t="s">
        <v>95</v>
      </c>
      <c r="T1707">
        <v>2024</v>
      </c>
      <c r="U1707" t="s">
        <v>53</v>
      </c>
    </row>
    <row r="1708" spans="1:21" x14ac:dyDescent="0.35">
      <c r="A1708" s="1">
        <v>46298</v>
      </c>
      <c r="B1708" t="s">
        <v>32</v>
      </c>
      <c r="C1708" t="s">
        <v>33</v>
      </c>
      <c r="D1708" t="s">
        <v>34</v>
      </c>
      <c r="E1708">
        <v>221</v>
      </c>
      <c r="F1708">
        <v>20</v>
      </c>
      <c r="G1708">
        <f t="shared" si="78"/>
        <v>4420</v>
      </c>
      <c r="H1708">
        <v>12</v>
      </c>
      <c r="I1708">
        <f t="shared" si="79"/>
        <v>2652</v>
      </c>
      <c r="J1708">
        <f t="shared" si="80"/>
        <v>1768</v>
      </c>
      <c r="K1708" t="s">
        <v>24</v>
      </c>
      <c r="L1708" t="s">
        <v>63</v>
      </c>
      <c r="M1708" t="s">
        <v>61</v>
      </c>
      <c r="N1708" t="s">
        <v>27</v>
      </c>
      <c r="O1708">
        <v>626</v>
      </c>
      <c r="P1708">
        <v>221</v>
      </c>
      <c r="Q1708" t="s">
        <v>70</v>
      </c>
      <c r="R1708" t="s">
        <v>71</v>
      </c>
      <c r="S1708" t="s">
        <v>72</v>
      </c>
      <c r="T1708">
        <v>2023</v>
      </c>
      <c r="U1708" t="s">
        <v>66</v>
      </c>
    </row>
    <row r="1709" spans="1:21" x14ac:dyDescent="0.35">
      <c r="A1709" s="1">
        <v>46299</v>
      </c>
      <c r="B1709" t="s">
        <v>80</v>
      </c>
      <c r="C1709" t="s">
        <v>81</v>
      </c>
      <c r="D1709" t="s">
        <v>82</v>
      </c>
      <c r="E1709">
        <v>262</v>
      </c>
      <c r="F1709">
        <v>2.5</v>
      </c>
      <c r="G1709">
        <f t="shared" si="78"/>
        <v>655</v>
      </c>
      <c r="H1709">
        <v>1.5</v>
      </c>
      <c r="I1709">
        <f t="shared" si="79"/>
        <v>393</v>
      </c>
      <c r="J1709">
        <f t="shared" si="80"/>
        <v>262</v>
      </c>
      <c r="K1709" t="s">
        <v>35</v>
      </c>
      <c r="L1709" t="s">
        <v>36</v>
      </c>
      <c r="M1709" t="s">
        <v>26</v>
      </c>
      <c r="N1709" t="s">
        <v>38</v>
      </c>
      <c r="O1709">
        <v>890</v>
      </c>
      <c r="P1709">
        <v>262</v>
      </c>
      <c r="Q1709" t="s">
        <v>87</v>
      </c>
      <c r="R1709" t="s">
        <v>88</v>
      </c>
      <c r="S1709" t="s">
        <v>89</v>
      </c>
      <c r="T1709">
        <v>2022</v>
      </c>
      <c r="U1709" t="s">
        <v>86</v>
      </c>
    </row>
    <row r="1710" spans="1:21" x14ac:dyDescent="0.35">
      <c r="A1710" s="1">
        <v>46300</v>
      </c>
      <c r="B1710" t="s">
        <v>98</v>
      </c>
      <c r="C1710" t="s">
        <v>99</v>
      </c>
      <c r="D1710" t="s">
        <v>100</v>
      </c>
      <c r="E1710">
        <v>180</v>
      </c>
      <c r="F1710">
        <v>6</v>
      </c>
      <c r="G1710">
        <f t="shared" si="78"/>
        <v>1080</v>
      </c>
      <c r="H1710">
        <v>4</v>
      </c>
      <c r="I1710">
        <f t="shared" si="79"/>
        <v>720</v>
      </c>
      <c r="J1710">
        <f t="shared" si="80"/>
        <v>360</v>
      </c>
      <c r="K1710" t="s">
        <v>24</v>
      </c>
      <c r="L1710" t="s">
        <v>25</v>
      </c>
      <c r="M1710" t="s">
        <v>26</v>
      </c>
      <c r="N1710" t="s">
        <v>27</v>
      </c>
      <c r="O1710">
        <v>607</v>
      </c>
      <c r="P1710">
        <v>180</v>
      </c>
      <c r="Q1710" t="s">
        <v>92</v>
      </c>
      <c r="R1710" t="s">
        <v>45</v>
      </c>
      <c r="S1710" t="s">
        <v>93</v>
      </c>
      <c r="T1710">
        <v>2023</v>
      </c>
      <c r="U1710" t="s">
        <v>97</v>
      </c>
    </row>
    <row r="1711" spans="1:21" x14ac:dyDescent="0.35">
      <c r="A1711" s="1">
        <v>46301</v>
      </c>
      <c r="B1711" t="s">
        <v>48</v>
      </c>
      <c r="C1711" t="s">
        <v>49</v>
      </c>
      <c r="D1711" t="s">
        <v>50</v>
      </c>
      <c r="E1711">
        <v>65</v>
      </c>
      <c r="F1711">
        <v>150</v>
      </c>
      <c r="G1711">
        <f t="shared" si="78"/>
        <v>9750</v>
      </c>
      <c r="H1711">
        <v>100</v>
      </c>
      <c r="I1711">
        <f t="shared" si="79"/>
        <v>6500</v>
      </c>
      <c r="J1711">
        <f t="shared" si="80"/>
        <v>3250</v>
      </c>
      <c r="K1711" t="s">
        <v>35</v>
      </c>
      <c r="L1711" t="s">
        <v>73</v>
      </c>
      <c r="M1711" t="s">
        <v>26</v>
      </c>
      <c r="N1711" t="s">
        <v>43</v>
      </c>
      <c r="O1711">
        <v>936</v>
      </c>
      <c r="P1711">
        <v>65</v>
      </c>
      <c r="Q1711" t="s">
        <v>54</v>
      </c>
      <c r="R1711" t="s">
        <v>55</v>
      </c>
      <c r="S1711" t="s">
        <v>56</v>
      </c>
      <c r="T1711">
        <v>2020</v>
      </c>
      <c r="U1711" t="s">
        <v>66</v>
      </c>
    </row>
    <row r="1712" spans="1:21" x14ac:dyDescent="0.35">
      <c r="A1712" s="1">
        <v>46302</v>
      </c>
      <c r="B1712" t="s">
        <v>98</v>
      </c>
      <c r="C1712" t="s">
        <v>99</v>
      </c>
      <c r="D1712" t="s">
        <v>100</v>
      </c>
      <c r="E1712">
        <v>349</v>
      </c>
      <c r="F1712">
        <v>6</v>
      </c>
      <c r="G1712">
        <f t="shared" si="78"/>
        <v>2094</v>
      </c>
      <c r="H1712">
        <v>4</v>
      </c>
      <c r="I1712">
        <f t="shared" si="79"/>
        <v>1396</v>
      </c>
      <c r="J1712">
        <f t="shared" si="80"/>
        <v>698</v>
      </c>
      <c r="K1712" t="s">
        <v>35</v>
      </c>
      <c r="L1712" t="s">
        <v>25</v>
      </c>
      <c r="M1712" t="s">
        <v>37</v>
      </c>
      <c r="N1712" t="s">
        <v>43</v>
      </c>
      <c r="O1712">
        <v>978</v>
      </c>
      <c r="P1712">
        <v>349</v>
      </c>
      <c r="Q1712" t="s">
        <v>106</v>
      </c>
      <c r="R1712" t="s">
        <v>107</v>
      </c>
      <c r="S1712" t="s">
        <v>108</v>
      </c>
      <c r="T1712">
        <v>2020</v>
      </c>
      <c r="U1712" t="s">
        <v>97</v>
      </c>
    </row>
    <row r="1713" spans="1:21" x14ac:dyDescent="0.35">
      <c r="A1713" s="1">
        <v>46303</v>
      </c>
      <c r="B1713" t="s">
        <v>21</v>
      </c>
      <c r="C1713" t="s">
        <v>22</v>
      </c>
      <c r="D1713" t="s">
        <v>23</v>
      </c>
      <c r="E1713">
        <v>247</v>
      </c>
      <c r="F1713">
        <v>8</v>
      </c>
      <c r="G1713">
        <f t="shared" si="78"/>
        <v>1976</v>
      </c>
      <c r="H1713">
        <v>5</v>
      </c>
      <c r="I1713">
        <f t="shared" si="79"/>
        <v>1235</v>
      </c>
      <c r="J1713">
        <f t="shared" si="80"/>
        <v>741</v>
      </c>
      <c r="K1713" t="s">
        <v>35</v>
      </c>
      <c r="L1713" t="s">
        <v>73</v>
      </c>
      <c r="M1713" t="s">
        <v>37</v>
      </c>
      <c r="N1713" t="s">
        <v>27</v>
      </c>
      <c r="O1713">
        <v>621</v>
      </c>
      <c r="P1713">
        <v>247</v>
      </c>
      <c r="Q1713" t="s">
        <v>39</v>
      </c>
      <c r="R1713" t="s">
        <v>40</v>
      </c>
      <c r="S1713" t="s">
        <v>41</v>
      </c>
      <c r="T1713">
        <v>2021</v>
      </c>
      <c r="U1713" t="s">
        <v>62</v>
      </c>
    </row>
    <row r="1714" spans="1:21" x14ac:dyDescent="0.35">
      <c r="A1714" s="1">
        <v>46304</v>
      </c>
      <c r="B1714" t="s">
        <v>80</v>
      </c>
      <c r="C1714" t="s">
        <v>81</v>
      </c>
      <c r="D1714" t="s">
        <v>82</v>
      </c>
      <c r="E1714">
        <v>75</v>
      </c>
      <c r="F1714">
        <v>2.5</v>
      </c>
      <c r="G1714">
        <f t="shared" si="78"/>
        <v>187.5</v>
      </c>
      <c r="H1714">
        <v>1.5</v>
      </c>
      <c r="I1714">
        <f t="shared" si="79"/>
        <v>112.5</v>
      </c>
      <c r="J1714">
        <f t="shared" si="80"/>
        <v>75</v>
      </c>
      <c r="K1714" t="s">
        <v>42</v>
      </c>
      <c r="L1714" t="s">
        <v>73</v>
      </c>
      <c r="M1714" t="s">
        <v>61</v>
      </c>
      <c r="N1714" t="s">
        <v>43</v>
      </c>
      <c r="O1714">
        <v>623</v>
      </c>
      <c r="P1714">
        <v>75</v>
      </c>
      <c r="Q1714" t="s">
        <v>39</v>
      </c>
      <c r="R1714" t="s">
        <v>40</v>
      </c>
      <c r="S1714" t="s">
        <v>41</v>
      </c>
      <c r="T1714">
        <v>2023</v>
      </c>
      <c r="U1714" t="s">
        <v>62</v>
      </c>
    </row>
    <row r="1715" spans="1:21" x14ac:dyDescent="0.35">
      <c r="A1715" s="1">
        <v>46305</v>
      </c>
      <c r="B1715" t="s">
        <v>58</v>
      </c>
      <c r="C1715" t="s">
        <v>59</v>
      </c>
      <c r="D1715" t="s">
        <v>60</v>
      </c>
      <c r="E1715">
        <v>177</v>
      </c>
      <c r="F1715">
        <v>5</v>
      </c>
      <c r="G1715">
        <f t="shared" si="78"/>
        <v>885</v>
      </c>
      <c r="H1715">
        <v>3</v>
      </c>
      <c r="I1715">
        <f t="shared" si="79"/>
        <v>531</v>
      </c>
      <c r="J1715">
        <f t="shared" si="80"/>
        <v>354</v>
      </c>
      <c r="K1715" t="s">
        <v>24</v>
      </c>
      <c r="L1715" t="s">
        <v>63</v>
      </c>
      <c r="M1715" t="s">
        <v>37</v>
      </c>
      <c r="N1715" t="s">
        <v>43</v>
      </c>
      <c r="O1715">
        <v>768</v>
      </c>
      <c r="P1715">
        <v>177</v>
      </c>
      <c r="Q1715" t="s">
        <v>90</v>
      </c>
      <c r="R1715" t="s">
        <v>55</v>
      </c>
      <c r="S1715" t="s">
        <v>85</v>
      </c>
      <c r="T1715">
        <v>2020</v>
      </c>
      <c r="U1715" t="s">
        <v>31</v>
      </c>
    </row>
    <row r="1716" spans="1:21" x14ac:dyDescent="0.35">
      <c r="A1716" s="1">
        <v>46306</v>
      </c>
      <c r="B1716" t="s">
        <v>58</v>
      </c>
      <c r="C1716" t="s">
        <v>59</v>
      </c>
      <c r="D1716" t="s">
        <v>60</v>
      </c>
      <c r="E1716">
        <v>17</v>
      </c>
      <c r="F1716">
        <v>5</v>
      </c>
      <c r="G1716">
        <f t="shared" si="78"/>
        <v>85</v>
      </c>
      <c r="H1716">
        <v>3</v>
      </c>
      <c r="I1716">
        <f t="shared" si="79"/>
        <v>51</v>
      </c>
      <c r="J1716">
        <f t="shared" si="80"/>
        <v>34</v>
      </c>
      <c r="K1716" t="s">
        <v>35</v>
      </c>
      <c r="L1716" t="s">
        <v>73</v>
      </c>
      <c r="M1716" t="s">
        <v>26</v>
      </c>
      <c r="N1716" t="s">
        <v>43</v>
      </c>
      <c r="O1716">
        <v>528</v>
      </c>
      <c r="P1716">
        <v>17</v>
      </c>
      <c r="Q1716" t="s">
        <v>74</v>
      </c>
      <c r="R1716" t="s">
        <v>75</v>
      </c>
      <c r="S1716" t="s">
        <v>76</v>
      </c>
      <c r="T1716">
        <v>2022</v>
      </c>
      <c r="U1716" t="s">
        <v>86</v>
      </c>
    </row>
    <row r="1717" spans="1:21" x14ac:dyDescent="0.35">
      <c r="A1717" s="1">
        <v>46307</v>
      </c>
      <c r="B1717" t="s">
        <v>32</v>
      </c>
      <c r="C1717" t="s">
        <v>33</v>
      </c>
      <c r="D1717" t="s">
        <v>34</v>
      </c>
      <c r="E1717">
        <v>59</v>
      </c>
      <c r="F1717">
        <v>20</v>
      </c>
      <c r="G1717">
        <f t="shared" si="78"/>
        <v>1180</v>
      </c>
      <c r="H1717">
        <v>12</v>
      </c>
      <c r="I1717">
        <f t="shared" si="79"/>
        <v>708</v>
      </c>
      <c r="J1717">
        <f t="shared" si="80"/>
        <v>472</v>
      </c>
      <c r="K1717" t="s">
        <v>24</v>
      </c>
      <c r="L1717" t="s">
        <v>25</v>
      </c>
      <c r="M1717" t="s">
        <v>37</v>
      </c>
      <c r="N1717" t="s">
        <v>38</v>
      </c>
      <c r="O1717">
        <v>992</v>
      </c>
      <c r="P1717">
        <v>59</v>
      </c>
      <c r="Q1717" t="s">
        <v>64</v>
      </c>
      <c r="R1717" t="s">
        <v>29</v>
      </c>
      <c r="S1717" t="s">
        <v>65</v>
      </c>
      <c r="T1717">
        <v>2022</v>
      </c>
      <c r="U1717" t="s">
        <v>86</v>
      </c>
    </row>
    <row r="1718" spans="1:21" x14ac:dyDescent="0.35">
      <c r="A1718" s="1">
        <v>46308</v>
      </c>
      <c r="B1718" t="s">
        <v>58</v>
      </c>
      <c r="C1718" t="s">
        <v>59</v>
      </c>
      <c r="D1718" t="s">
        <v>60</v>
      </c>
      <c r="E1718">
        <v>41</v>
      </c>
      <c r="F1718">
        <v>5</v>
      </c>
      <c r="G1718">
        <f t="shared" si="78"/>
        <v>205</v>
      </c>
      <c r="H1718">
        <v>3</v>
      </c>
      <c r="I1718">
        <f t="shared" si="79"/>
        <v>123</v>
      </c>
      <c r="J1718">
        <f t="shared" si="80"/>
        <v>82</v>
      </c>
      <c r="K1718" t="s">
        <v>42</v>
      </c>
      <c r="L1718" t="s">
        <v>25</v>
      </c>
      <c r="M1718" t="s">
        <v>37</v>
      </c>
      <c r="N1718" t="s">
        <v>27</v>
      </c>
      <c r="O1718">
        <v>529</v>
      </c>
      <c r="P1718">
        <v>41</v>
      </c>
      <c r="Q1718" t="s">
        <v>67</v>
      </c>
      <c r="R1718" t="s">
        <v>68</v>
      </c>
      <c r="S1718" t="s">
        <v>69</v>
      </c>
      <c r="T1718">
        <v>2023</v>
      </c>
      <c r="U1718" t="s">
        <v>86</v>
      </c>
    </row>
    <row r="1719" spans="1:21" x14ac:dyDescent="0.35">
      <c r="A1719" s="1">
        <v>46309</v>
      </c>
      <c r="B1719" t="s">
        <v>80</v>
      </c>
      <c r="C1719" t="s">
        <v>81</v>
      </c>
      <c r="D1719" t="s">
        <v>82</v>
      </c>
      <c r="E1719">
        <v>475</v>
      </c>
      <c r="F1719">
        <v>2.5</v>
      </c>
      <c r="G1719">
        <f t="shared" si="78"/>
        <v>1187.5</v>
      </c>
      <c r="H1719">
        <v>1.5</v>
      </c>
      <c r="I1719">
        <f t="shared" si="79"/>
        <v>712.5</v>
      </c>
      <c r="J1719">
        <f t="shared" si="80"/>
        <v>475</v>
      </c>
      <c r="K1719" t="s">
        <v>24</v>
      </c>
      <c r="L1719" t="s">
        <v>63</v>
      </c>
      <c r="M1719" t="s">
        <v>26</v>
      </c>
      <c r="N1719" t="s">
        <v>43</v>
      </c>
      <c r="O1719">
        <v>883</v>
      </c>
      <c r="P1719">
        <v>475</v>
      </c>
      <c r="Q1719" t="s">
        <v>101</v>
      </c>
      <c r="R1719" t="s">
        <v>101</v>
      </c>
      <c r="S1719" t="s">
        <v>102</v>
      </c>
      <c r="T1719">
        <v>2023</v>
      </c>
      <c r="U1719" t="s">
        <v>53</v>
      </c>
    </row>
    <row r="1720" spans="1:21" x14ac:dyDescent="0.35">
      <c r="A1720" s="1">
        <v>46310</v>
      </c>
      <c r="B1720" t="s">
        <v>21</v>
      </c>
      <c r="C1720" t="s">
        <v>22</v>
      </c>
      <c r="D1720" t="s">
        <v>23</v>
      </c>
      <c r="E1720">
        <v>125</v>
      </c>
      <c r="F1720">
        <v>8</v>
      </c>
      <c r="G1720">
        <f t="shared" si="78"/>
        <v>1000</v>
      </c>
      <c r="H1720">
        <v>5</v>
      </c>
      <c r="I1720">
        <f t="shared" si="79"/>
        <v>625</v>
      </c>
      <c r="J1720">
        <f t="shared" si="80"/>
        <v>375</v>
      </c>
      <c r="K1720" t="s">
        <v>42</v>
      </c>
      <c r="L1720" t="s">
        <v>73</v>
      </c>
      <c r="M1720" t="s">
        <v>26</v>
      </c>
      <c r="N1720" t="s">
        <v>43</v>
      </c>
      <c r="O1720">
        <v>969</v>
      </c>
      <c r="P1720">
        <v>125</v>
      </c>
      <c r="Q1720" t="s">
        <v>110</v>
      </c>
      <c r="R1720" t="s">
        <v>111</v>
      </c>
      <c r="S1720" t="s">
        <v>112</v>
      </c>
      <c r="T1720">
        <v>2020</v>
      </c>
      <c r="U1720" t="s">
        <v>97</v>
      </c>
    </row>
    <row r="1721" spans="1:21" x14ac:dyDescent="0.35">
      <c r="A1721" s="1">
        <v>46311</v>
      </c>
      <c r="B1721" t="s">
        <v>80</v>
      </c>
      <c r="C1721" t="s">
        <v>81</v>
      </c>
      <c r="D1721" t="s">
        <v>82</v>
      </c>
      <c r="E1721">
        <v>200</v>
      </c>
      <c r="F1721">
        <v>2.5</v>
      </c>
      <c r="G1721">
        <f t="shared" si="78"/>
        <v>500</v>
      </c>
      <c r="H1721">
        <v>1.5</v>
      </c>
      <c r="I1721">
        <f t="shared" si="79"/>
        <v>300</v>
      </c>
      <c r="J1721">
        <f t="shared" si="80"/>
        <v>200</v>
      </c>
      <c r="K1721" t="s">
        <v>35</v>
      </c>
      <c r="L1721" t="s">
        <v>63</v>
      </c>
      <c r="M1721" t="s">
        <v>37</v>
      </c>
      <c r="N1721" t="s">
        <v>27</v>
      </c>
      <c r="O1721">
        <v>765</v>
      </c>
      <c r="P1721">
        <v>200</v>
      </c>
      <c r="Q1721" t="s">
        <v>94</v>
      </c>
      <c r="R1721" t="s">
        <v>75</v>
      </c>
      <c r="S1721" t="s">
        <v>95</v>
      </c>
      <c r="T1721">
        <v>2023</v>
      </c>
      <c r="U1721" t="s">
        <v>62</v>
      </c>
    </row>
    <row r="1722" spans="1:21" x14ac:dyDescent="0.35">
      <c r="A1722" s="1">
        <v>46312</v>
      </c>
      <c r="B1722" t="s">
        <v>32</v>
      </c>
      <c r="C1722" t="s">
        <v>33</v>
      </c>
      <c r="D1722" t="s">
        <v>34</v>
      </c>
      <c r="E1722">
        <v>459</v>
      </c>
      <c r="F1722">
        <v>20</v>
      </c>
      <c r="G1722">
        <f t="shared" si="78"/>
        <v>9180</v>
      </c>
      <c r="H1722">
        <v>12</v>
      </c>
      <c r="I1722">
        <f t="shared" si="79"/>
        <v>5508</v>
      </c>
      <c r="J1722">
        <f t="shared" si="80"/>
        <v>3672</v>
      </c>
      <c r="K1722" t="s">
        <v>35</v>
      </c>
      <c r="L1722" t="s">
        <v>25</v>
      </c>
      <c r="M1722" t="s">
        <v>37</v>
      </c>
      <c r="N1722" t="s">
        <v>38</v>
      </c>
      <c r="O1722">
        <v>642</v>
      </c>
      <c r="P1722">
        <v>459</v>
      </c>
      <c r="Q1722" t="s">
        <v>110</v>
      </c>
      <c r="R1722" t="s">
        <v>111</v>
      </c>
      <c r="S1722" t="s">
        <v>112</v>
      </c>
      <c r="T1722">
        <v>2021</v>
      </c>
      <c r="U1722" t="s">
        <v>91</v>
      </c>
    </row>
    <row r="1723" spans="1:21" x14ac:dyDescent="0.35">
      <c r="A1723" s="1">
        <v>46313</v>
      </c>
      <c r="B1723" t="s">
        <v>80</v>
      </c>
      <c r="C1723" t="s">
        <v>81</v>
      </c>
      <c r="D1723" t="s">
        <v>82</v>
      </c>
      <c r="E1723">
        <v>352</v>
      </c>
      <c r="F1723">
        <v>2.5</v>
      </c>
      <c r="G1723">
        <f t="shared" si="78"/>
        <v>880</v>
      </c>
      <c r="H1723">
        <v>1.5</v>
      </c>
      <c r="I1723">
        <f t="shared" si="79"/>
        <v>528</v>
      </c>
      <c r="J1723">
        <f t="shared" si="80"/>
        <v>352</v>
      </c>
      <c r="K1723" t="s">
        <v>35</v>
      </c>
      <c r="L1723" t="s">
        <v>63</v>
      </c>
      <c r="M1723" t="s">
        <v>26</v>
      </c>
      <c r="N1723" t="s">
        <v>38</v>
      </c>
      <c r="O1723">
        <v>834</v>
      </c>
      <c r="P1723">
        <v>352</v>
      </c>
      <c r="Q1723" t="s">
        <v>67</v>
      </c>
      <c r="R1723" t="s">
        <v>68</v>
      </c>
      <c r="S1723" t="s">
        <v>69</v>
      </c>
      <c r="T1723">
        <v>2021</v>
      </c>
      <c r="U1723" t="s">
        <v>62</v>
      </c>
    </row>
    <row r="1724" spans="1:21" x14ac:dyDescent="0.35">
      <c r="A1724" s="1">
        <v>46314</v>
      </c>
      <c r="B1724" t="s">
        <v>80</v>
      </c>
      <c r="C1724" t="s">
        <v>81</v>
      </c>
      <c r="D1724" t="s">
        <v>82</v>
      </c>
      <c r="E1724">
        <v>112</v>
      </c>
      <c r="F1724">
        <v>2.5</v>
      </c>
      <c r="G1724">
        <f t="shared" si="78"/>
        <v>280</v>
      </c>
      <c r="H1724">
        <v>1.5</v>
      </c>
      <c r="I1724">
        <f t="shared" si="79"/>
        <v>168</v>
      </c>
      <c r="J1724">
        <f t="shared" si="80"/>
        <v>112</v>
      </c>
      <c r="K1724" t="s">
        <v>35</v>
      </c>
      <c r="L1724" t="s">
        <v>36</v>
      </c>
      <c r="M1724" t="s">
        <v>26</v>
      </c>
      <c r="N1724" t="s">
        <v>27</v>
      </c>
      <c r="O1724">
        <v>780</v>
      </c>
      <c r="P1724">
        <v>112</v>
      </c>
      <c r="Q1724" t="s">
        <v>87</v>
      </c>
      <c r="R1724" t="s">
        <v>88</v>
      </c>
      <c r="S1724" t="s">
        <v>89</v>
      </c>
      <c r="T1724">
        <v>2021</v>
      </c>
      <c r="U1724" t="s">
        <v>109</v>
      </c>
    </row>
    <row r="1725" spans="1:21" x14ac:dyDescent="0.35">
      <c r="A1725" s="1">
        <v>46315</v>
      </c>
      <c r="B1725" t="s">
        <v>21</v>
      </c>
      <c r="C1725" t="s">
        <v>22</v>
      </c>
      <c r="D1725" t="s">
        <v>23</v>
      </c>
      <c r="E1725">
        <v>68</v>
      </c>
      <c r="F1725">
        <v>8</v>
      </c>
      <c r="G1725">
        <f t="shared" si="78"/>
        <v>544</v>
      </c>
      <c r="H1725">
        <v>5</v>
      </c>
      <c r="I1725">
        <f t="shared" si="79"/>
        <v>340</v>
      </c>
      <c r="J1725">
        <f t="shared" si="80"/>
        <v>204</v>
      </c>
      <c r="K1725" t="s">
        <v>24</v>
      </c>
      <c r="L1725" t="s">
        <v>73</v>
      </c>
      <c r="M1725" t="s">
        <v>61</v>
      </c>
      <c r="N1725" t="s">
        <v>27</v>
      </c>
      <c r="O1725">
        <v>806</v>
      </c>
      <c r="P1725">
        <v>68</v>
      </c>
      <c r="Q1725" t="s">
        <v>110</v>
      </c>
      <c r="R1725" t="s">
        <v>111</v>
      </c>
      <c r="S1725" t="s">
        <v>112</v>
      </c>
      <c r="T1725">
        <v>2023</v>
      </c>
      <c r="U1725" t="s">
        <v>53</v>
      </c>
    </row>
    <row r="1726" spans="1:21" x14ac:dyDescent="0.35">
      <c r="A1726" s="1">
        <v>46316</v>
      </c>
      <c r="B1726" t="s">
        <v>58</v>
      </c>
      <c r="C1726" t="s">
        <v>59</v>
      </c>
      <c r="D1726" t="s">
        <v>60</v>
      </c>
      <c r="E1726">
        <v>465</v>
      </c>
      <c r="F1726">
        <v>5</v>
      </c>
      <c r="G1726">
        <f t="shared" si="78"/>
        <v>2325</v>
      </c>
      <c r="H1726">
        <v>3</v>
      </c>
      <c r="I1726">
        <f t="shared" si="79"/>
        <v>1395</v>
      </c>
      <c r="J1726">
        <f t="shared" si="80"/>
        <v>930</v>
      </c>
      <c r="K1726" t="s">
        <v>35</v>
      </c>
      <c r="L1726" t="s">
        <v>63</v>
      </c>
      <c r="M1726" t="s">
        <v>37</v>
      </c>
      <c r="N1726" t="s">
        <v>43</v>
      </c>
      <c r="O1726">
        <v>571</v>
      </c>
      <c r="P1726">
        <v>465</v>
      </c>
      <c r="Q1726" t="s">
        <v>28</v>
      </c>
      <c r="R1726" t="s">
        <v>29</v>
      </c>
      <c r="S1726" t="s">
        <v>30</v>
      </c>
      <c r="T1726">
        <v>2020</v>
      </c>
      <c r="U1726" t="s">
        <v>86</v>
      </c>
    </row>
    <row r="1727" spans="1:21" x14ac:dyDescent="0.35">
      <c r="A1727" s="1">
        <v>46317</v>
      </c>
      <c r="B1727" t="s">
        <v>21</v>
      </c>
      <c r="C1727" t="s">
        <v>22</v>
      </c>
      <c r="D1727" t="s">
        <v>23</v>
      </c>
      <c r="E1727">
        <v>491</v>
      </c>
      <c r="F1727">
        <v>8</v>
      </c>
      <c r="G1727">
        <f t="shared" si="78"/>
        <v>3928</v>
      </c>
      <c r="H1727">
        <v>5</v>
      </c>
      <c r="I1727">
        <f t="shared" si="79"/>
        <v>2455</v>
      </c>
      <c r="J1727">
        <f t="shared" si="80"/>
        <v>1473</v>
      </c>
      <c r="K1727" t="s">
        <v>24</v>
      </c>
      <c r="L1727" t="s">
        <v>36</v>
      </c>
      <c r="M1727" t="s">
        <v>37</v>
      </c>
      <c r="N1727" t="s">
        <v>38</v>
      </c>
      <c r="O1727">
        <v>601</v>
      </c>
      <c r="P1727">
        <v>491</v>
      </c>
      <c r="Q1727" t="s">
        <v>87</v>
      </c>
      <c r="R1727" t="s">
        <v>88</v>
      </c>
      <c r="S1727" t="s">
        <v>89</v>
      </c>
      <c r="T1727">
        <v>2022</v>
      </c>
      <c r="U1727" t="s">
        <v>105</v>
      </c>
    </row>
    <row r="1728" spans="1:21" x14ac:dyDescent="0.35">
      <c r="A1728" s="1">
        <v>46318</v>
      </c>
      <c r="B1728" t="s">
        <v>48</v>
      </c>
      <c r="C1728" t="s">
        <v>49</v>
      </c>
      <c r="D1728" t="s">
        <v>50</v>
      </c>
      <c r="E1728">
        <v>33</v>
      </c>
      <c r="F1728">
        <v>150</v>
      </c>
      <c r="G1728">
        <f t="shared" si="78"/>
        <v>4950</v>
      </c>
      <c r="H1728">
        <v>100</v>
      </c>
      <c r="I1728">
        <f t="shared" si="79"/>
        <v>3300</v>
      </c>
      <c r="J1728">
        <f t="shared" si="80"/>
        <v>1650</v>
      </c>
      <c r="K1728" t="s">
        <v>24</v>
      </c>
      <c r="L1728" t="s">
        <v>73</v>
      </c>
      <c r="M1728" t="s">
        <v>26</v>
      </c>
      <c r="N1728" t="s">
        <v>27</v>
      </c>
      <c r="O1728">
        <v>544</v>
      </c>
      <c r="P1728">
        <v>33</v>
      </c>
      <c r="Q1728" t="s">
        <v>70</v>
      </c>
      <c r="R1728" t="s">
        <v>71</v>
      </c>
      <c r="S1728" t="s">
        <v>72</v>
      </c>
      <c r="T1728">
        <v>2020</v>
      </c>
      <c r="U1728" t="s">
        <v>66</v>
      </c>
    </row>
    <row r="1729" spans="1:21" x14ac:dyDescent="0.35">
      <c r="A1729" s="1">
        <v>46319</v>
      </c>
      <c r="B1729" t="s">
        <v>21</v>
      </c>
      <c r="C1729" t="s">
        <v>22</v>
      </c>
      <c r="D1729" t="s">
        <v>23</v>
      </c>
      <c r="E1729">
        <v>442</v>
      </c>
      <c r="F1729">
        <v>8</v>
      </c>
      <c r="G1729">
        <f t="shared" si="78"/>
        <v>3536</v>
      </c>
      <c r="H1729">
        <v>5</v>
      </c>
      <c r="I1729">
        <f t="shared" si="79"/>
        <v>2210</v>
      </c>
      <c r="J1729">
        <f t="shared" si="80"/>
        <v>1326</v>
      </c>
      <c r="K1729" t="s">
        <v>42</v>
      </c>
      <c r="L1729" t="s">
        <v>36</v>
      </c>
      <c r="M1729" t="s">
        <v>61</v>
      </c>
      <c r="N1729" t="s">
        <v>43</v>
      </c>
      <c r="O1729">
        <v>505</v>
      </c>
      <c r="P1729">
        <v>442</v>
      </c>
      <c r="Q1729" t="s">
        <v>83</v>
      </c>
      <c r="R1729" t="s">
        <v>84</v>
      </c>
      <c r="S1729" t="s">
        <v>85</v>
      </c>
      <c r="T1729">
        <v>2023</v>
      </c>
      <c r="U1729" t="s">
        <v>47</v>
      </c>
    </row>
    <row r="1730" spans="1:21" x14ac:dyDescent="0.35">
      <c r="A1730" s="1">
        <v>46320</v>
      </c>
      <c r="B1730" t="s">
        <v>98</v>
      </c>
      <c r="C1730" t="s">
        <v>99</v>
      </c>
      <c r="D1730" t="s">
        <v>100</v>
      </c>
      <c r="E1730">
        <v>126</v>
      </c>
      <c r="F1730">
        <v>6</v>
      </c>
      <c r="G1730">
        <f t="shared" si="78"/>
        <v>756</v>
      </c>
      <c r="H1730">
        <v>4</v>
      </c>
      <c r="I1730">
        <f t="shared" si="79"/>
        <v>504</v>
      </c>
      <c r="J1730">
        <f t="shared" si="80"/>
        <v>252</v>
      </c>
      <c r="K1730" t="s">
        <v>24</v>
      </c>
      <c r="L1730" t="s">
        <v>63</v>
      </c>
      <c r="M1730" t="s">
        <v>26</v>
      </c>
      <c r="N1730" t="s">
        <v>43</v>
      </c>
      <c r="O1730">
        <v>579</v>
      </c>
      <c r="P1730">
        <v>126</v>
      </c>
      <c r="Q1730" t="s">
        <v>51</v>
      </c>
      <c r="R1730" t="s">
        <v>45</v>
      </c>
      <c r="S1730" t="s">
        <v>52</v>
      </c>
      <c r="T1730">
        <v>2021</v>
      </c>
      <c r="U1730" t="s">
        <v>105</v>
      </c>
    </row>
    <row r="1731" spans="1:21" x14ac:dyDescent="0.35">
      <c r="A1731" s="1">
        <v>46321</v>
      </c>
      <c r="B1731" t="s">
        <v>80</v>
      </c>
      <c r="C1731" t="s">
        <v>81</v>
      </c>
      <c r="D1731" t="s">
        <v>82</v>
      </c>
      <c r="E1731">
        <v>352</v>
      </c>
      <c r="F1731">
        <v>2.5</v>
      </c>
      <c r="G1731">
        <f t="shared" ref="G1731:G1794" si="81">E1731*F1731</f>
        <v>880</v>
      </c>
      <c r="H1731">
        <v>1.5</v>
      </c>
      <c r="I1731">
        <f t="shared" ref="I1731:I1794" si="82">E1731*H1731</f>
        <v>528</v>
      </c>
      <c r="J1731">
        <f t="shared" ref="J1731:J1794" si="83">G1731-I1731</f>
        <v>352</v>
      </c>
      <c r="K1731" t="s">
        <v>42</v>
      </c>
      <c r="L1731" t="s">
        <v>63</v>
      </c>
      <c r="M1731" t="s">
        <v>61</v>
      </c>
      <c r="N1731" t="s">
        <v>43</v>
      </c>
      <c r="O1731">
        <v>863</v>
      </c>
      <c r="P1731">
        <v>352</v>
      </c>
      <c r="Q1731" t="s">
        <v>77</v>
      </c>
      <c r="R1731" t="s">
        <v>78</v>
      </c>
      <c r="S1731" t="s">
        <v>79</v>
      </c>
      <c r="T1731">
        <v>2021</v>
      </c>
      <c r="U1731" t="s">
        <v>105</v>
      </c>
    </row>
    <row r="1732" spans="1:21" x14ac:dyDescent="0.35">
      <c r="A1732" s="1">
        <v>46322</v>
      </c>
      <c r="B1732" t="s">
        <v>98</v>
      </c>
      <c r="C1732" t="s">
        <v>99</v>
      </c>
      <c r="D1732" t="s">
        <v>100</v>
      </c>
      <c r="E1732">
        <v>82</v>
      </c>
      <c r="F1732">
        <v>6</v>
      </c>
      <c r="G1732">
        <f t="shared" si="81"/>
        <v>492</v>
      </c>
      <c r="H1732">
        <v>4</v>
      </c>
      <c r="I1732">
        <f t="shared" si="82"/>
        <v>328</v>
      </c>
      <c r="J1732">
        <f t="shared" si="83"/>
        <v>164</v>
      </c>
      <c r="K1732" t="s">
        <v>35</v>
      </c>
      <c r="L1732" t="s">
        <v>36</v>
      </c>
      <c r="M1732" t="s">
        <v>26</v>
      </c>
      <c r="N1732" t="s">
        <v>38</v>
      </c>
      <c r="O1732">
        <v>909</v>
      </c>
      <c r="P1732">
        <v>82</v>
      </c>
      <c r="Q1732" t="s">
        <v>106</v>
      </c>
      <c r="R1732" t="s">
        <v>107</v>
      </c>
      <c r="S1732" t="s">
        <v>108</v>
      </c>
      <c r="T1732">
        <v>2023</v>
      </c>
      <c r="U1732" t="s">
        <v>57</v>
      </c>
    </row>
    <row r="1733" spans="1:21" x14ac:dyDescent="0.35">
      <c r="A1733" s="1">
        <v>46323</v>
      </c>
      <c r="B1733" t="s">
        <v>48</v>
      </c>
      <c r="C1733" t="s">
        <v>49</v>
      </c>
      <c r="D1733" t="s">
        <v>50</v>
      </c>
      <c r="E1733">
        <v>356</v>
      </c>
      <c r="F1733">
        <v>150</v>
      </c>
      <c r="G1733">
        <f t="shared" si="81"/>
        <v>53400</v>
      </c>
      <c r="H1733">
        <v>100</v>
      </c>
      <c r="I1733">
        <f t="shared" si="82"/>
        <v>35600</v>
      </c>
      <c r="J1733">
        <f t="shared" si="83"/>
        <v>17800</v>
      </c>
      <c r="K1733" t="s">
        <v>35</v>
      </c>
      <c r="L1733" t="s">
        <v>73</v>
      </c>
      <c r="M1733" t="s">
        <v>26</v>
      </c>
      <c r="N1733" t="s">
        <v>43</v>
      </c>
      <c r="O1733">
        <v>595</v>
      </c>
      <c r="P1733">
        <v>356</v>
      </c>
      <c r="Q1733" t="s">
        <v>87</v>
      </c>
      <c r="R1733" t="s">
        <v>88</v>
      </c>
      <c r="S1733" t="s">
        <v>89</v>
      </c>
      <c r="T1733">
        <v>2024</v>
      </c>
      <c r="U1733" t="s">
        <v>86</v>
      </c>
    </row>
    <row r="1734" spans="1:21" x14ac:dyDescent="0.35">
      <c r="A1734" s="1">
        <v>46324</v>
      </c>
      <c r="B1734" t="s">
        <v>58</v>
      </c>
      <c r="C1734" t="s">
        <v>59</v>
      </c>
      <c r="D1734" t="s">
        <v>60</v>
      </c>
      <c r="E1734">
        <v>141</v>
      </c>
      <c r="F1734">
        <v>5</v>
      </c>
      <c r="G1734">
        <f t="shared" si="81"/>
        <v>705</v>
      </c>
      <c r="H1734">
        <v>3</v>
      </c>
      <c r="I1734">
        <f t="shared" si="82"/>
        <v>423</v>
      </c>
      <c r="J1734">
        <f t="shared" si="83"/>
        <v>282</v>
      </c>
      <c r="K1734" t="s">
        <v>35</v>
      </c>
      <c r="L1734" t="s">
        <v>73</v>
      </c>
      <c r="M1734" t="s">
        <v>61</v>
      </c>
      <c r="N1734" t="s">
        <v>43</v>
      </c>
      <c r="O1734">
        <v>615</v>
      </c>
      <c r="P1734">
        <v>141</v>
      </c>
      <c r="Q1734" t="s">
        <v>113</v>
      </c>
      <c r="R1734" t="s">
        <v>114</v>
      </c>
      <c r="S1734" t="s">
        <v>115</v>
      </c>
      <c r="T1734">
        <v>2023</v>
      </c>
      <c r="U1734" t="s">
        <v>105</v>
      </c>
    </row>
    <row r="1735" spans="1:21" x14ac:dyDescent="0.35">
      <c r="A1735" s="1">
        <v>46325</v>
      </c>
      <c r="B1735" t="s">
        <v>21</v>
      </c>
      <c r="C1735" t="s">
        <v>22</v>
      </c>
      <c r="D1735" t="s">
        <v>23</v>
      </c>
      <c r="E1735">
        <v>33</v>
      </c>
      <c r="F1735">
        <v>8</v>
      </c>
      <c r="G1735">
        <f t="shared" si="81"/>
        <v>264</v>
      </c>
      <c r="H1735">
        <v>5</v>
      </c>
      <c r="I1735">
        <f t="shared" si="82"/>
        <v>165</v>
      </c>
      <c r="J1735">
        <f t="shared" si="83"/>
        <v>99</v>
      </c>
      <c r="K1735" t="s">
        <v>24</v>
      </c>
      <c r="L1735" t="s">
        <v>25</v>
      </c>
      <c r="M1735" t="s">
        <v>26</v>
      </c>
      <c r="N1735" t="s">
        <v>27</v>
      </c>
      <c r="O1735">
        <v>883</v>
      </c>
      <c r="P1735">
        <v>33</v>
      </c>
      <c r="Q1735" t="s">
        <v>64</v>
      </c>
      <c r="R1735" t="s">
        <v>29</v>
      </c>
      <c r="S1735" t="s">
        <v>65</v>
      </c>
      <c r="T1735">
        <v>2022</v>
      </c>
      <c r="U1735" t="s">
        <v>86</v>
      </c>
    </row>
    <row r="1736" spans="1:21" x14ac:dyDescent="0.35">
      <c r="A1736" s="1">
        <v>46326</v>
      </c>
      <c r="B1736" t="s">
        <v>21</v>
      </c>
      <c r="C1736" t="s">
        <v>22</v>
      </c>
      <c r="D1736" t="s">
        <v>23</v>
      </c>
      <c r="E1736">
        <v>342</v>
      </c>
      <c r="F1736">
        <v>8</v>
      </c>
      <c r="G1736">
        <f t="shared" si="81"/>
        <v>2736</v>
      </c>
      <c r="H1736">
        <v>5</v>
      </c>
      <c r="I1736">
        <f t="shared" si="82"/>
        <v>1710</v>
      </c>
      <c r="J1736">
        <f t="shared" si="83"/>
        <v>1026</v>
      </c>
      <c r="K1736" t="s">
        <v>35</v>
      </c>
      <c r="L1736" t="s">
        <v>73</v>
      </c>
      <c r="M1736" t="s">
        <v>61</v>
      </c>
      <c r="N1736" t="s">
        <v>43</v>
      </c>
      <c r="O1736">
        <v>756</v>
      </c>
      <c r="P1736">
        <v>342</v>
      </c>
      <c r="Q1736" t="s">
        <v>51</v>
      </c>
      <c r="R1736" t="s">
        <v>45</v>
      </c>
      <c r="S1736" t="s">
        <v>52</v>
      </c>
      <c r="T1736">
        <v>2024</v>
      </c>
      <c r="U1736" t="s">
        <v>53</v>
      </c>
    </row>
    <row r="1737" spans="1:21" x14ac:dyDescent="0.35">
      <c r="A1737" s="1">
        <v>46327</v>
      </c>
      <c r="B1737" t="s">
        <v>48</v>
      </c>
      <c r="C1737" t="s">
        <v>49</v>
      </c>
      <c r="D1737" t="s">
        <v>50</v>
      </c>
      <c r="E1737">
        <v>177</v>
      </c>
      <c r="F1737">
        <v>150</v>
      </c>
      <c r="G1737">
        <f t="shared" si="81"/>
        <v>26550</v>
      </c>
      <c r="H1737">
        <v>100</v>
      </c>
      <c r="I1737">
        <f t="shared" si="82"/>
        <v>17700</v>
      </c>
      <c r="J1737">
        <f t="shared" si="83"/>
        <v>8850</v>
      </c>
      <c r="K1737" t="s">
        <v>42</v>
      </c>
      <c r="L1737" t="s">
        <v>63</v>
      </c>
      <c r="M1737" t="s">
        <v>26</v>
      </c>
      <c r="N1737" t="s">
        <v>43</v>
      </c>
      <c r="O1737">
        <v>587</v>
      </c>
      <c r="P1737">
        <v>177</v>
      </c>
      <c r="Q1737" t="s">
        <v>64</v>
      </c>
      <c r="R1737" t="s">
        <v>29</v>
      </c>
      <c r="S1737" t="s">
        <v>65</v>
      </c>
      <c r="T1737">
        <v>2023</v>
      </c>
      <c r="U1737" t="s">
        <v>105</v>
      </c>
    </row>
    <row r="1738" spans="1:21" x14ac:dyDescent="0.35">
      <c r="A1738" s="1">
        <v>46328</v>
      </c>
      <c r="B1738" t="s">
        <v>32</v>
      </c>
      <c r="C1738" t="s">
        <v>33</v>
      </c>
      <c r="D1738" t="s">
        <v>34</v>
      </c>
      <c r="E1738">
        <v>175</v>
      </c>
      <c r="F1738">
        <v>20</v>
      </c>
      <c r="G1738">
        <f t="shared" si="81"/>
        <v>3500</v>
      </c>
      <c r="H1738">
        <v>12</v>
      </c>
      <c r="I1738">
        <f t="shared" si="82"/>
        <v>2100</v>
      </c>
      <c r="J1738">
        <f t="shared" si="83"/>
        <v>1400</v>
      </c>
      <c r="K1738" t="s">
        <v>42</v>
      </c>
      <c r="L1738" t="s">
        <v>73</v>
      </c>
      <c r="M1738" t="s">
        <v>26</v>
      </c>
      <c r="N1738" t="s">
        <v>27</v>
      </c>
      <c r="O1738">
        <v>655</v>
      </c>
      <c r="P1738">
        <v>175</v>
      </c>
      <c r="Q1738" t="s">
        <v>70</v>
      </c>
      <c r="R1738" t="s">
        <v>71</v>
      </c>
      <c r="S1738" t="s">
        <v>72</v>
      </c>
      <c r="T1738">
        <v>2023</v>
      </c>
      <c r="U1738" t="s">
        <v>66</v>
      </c>
    </row>
    <row r="1739" spans="1:21" x14ac:dyDescent="0.35">
      <c r="A1739" s="1">
        <v>46329</v>
      </c>
      <c r="B1739" t="s">
        <v>58</v>
      </c>
      <c r="C1739" t="s">
        <v>59</v>
      </c>
      <c r="D1739" t="s">
        <v>60</v>
      </c>
      <c r="E1739">
        <v>153</v>
      </c>
      <c r="F1739">
        <v>5</v>
      </c>
      <c r="G1739">
        <f t="shared" si="81"/>
        <v>765</v>
      </c>
      <c r="H1739">
        <v>3</v>
      </c>
      <c r="I1739">
        <f t="shared" si="82"/>
        <v>459</v>
      </c>
      <c r="J1739">
        <f t="shared" si="83"/>
        <v>306</v>
      </c>
      <c r="K1739" t="s">
        <v>42</v>
      </c>
      <c r="L1739" t="s">
        <v>25</v>
      </c>
      <c r="M1739" t="s">
        <v>37</v>
      </c>
      <c r="N1739" t="s">
        <v>43</v>
      </c>
      <c r="O1739">
        <v>839</v>
      </c>
      <c r="P1739">
        <v>153</v>
      </c>
      <c r="Q1739" t="s">
        <v>28</v>
      </c>
      <c r="R1739" t="s">
        <v>29</v>
      </c>
      <c r="S1739" t="s">
        <v>30</v>
      </c>
      <c r="T1739">
        <v>2020</v>
      </c>
      <c r="U1739" t="s">
        <v>47</v>
      </c>
    </row>
    <row r="1740" spans="1:21" x14ac:dyDescent="0.35">
      <c r="A1740" s="1">
        <v>46330</v>
      </c>
      <c r="B1740" t="s">
        <v>98</v>
      </c>
      <c r="C1740" t="s">
        <v>99</v>
      </c>
      <c r="D1740" t="s">
        <v>100</v>
      </c>
      <c r="E1740">
        <v>229</v>
      </c>
      <c r="F1740">
        <v>6</v>
      </c>
      <c r="G1740">
        <f t="shared" si="81"/>
        <v>1374</v>
      </c>
      <c r="H1740">
        <v>4</v>
      </c>
      <c r="I1740">
        <f t="shared" si="82"/>
        <v>916</v>
      </c>
      <c r="J1740">
        <f t="shared" si="83"/>
        <v>458</v>
      </c>
      <c r="K1740" t="s">
        <v>24</v>
      </c>
      <c r="L1740" t="s">
        <v>63</v>
      </c>
      <c r="M1740" t="s">
        <v>37</v>
      </c>
      <c r="N1740" t="s">
        <v>38</v>
      </c>
      <c r="O1740">
        <v>547</v>
      </c>
      <c r="P1740">
        <v>229</v>
      </c>
      <c r="Q1740" t="s">
        <v>67</v>
      </c>
      <c r="R1740" t="s">
        <v>68</v>
      </c>
      <c r="S1740" t="s">
        <v>69</v>
      </c>
      <c r="T1740">
        <v>2024</v>
      </c>
      <c r="U1740" t="s">
        <v>47</v>
      </c>
    </row>
    <row r="1741" spans="1:21" x14ac:dyDescent="0.35">
      <c r="A1741" s="1">
        <v>46331</v>
      </c>
      <c r="B1741" t="s">
        <v>32</v>
      </c>
      <c r="C1741" t="s">
        <v>33</v>
      </c>
      <c r="D1741" t="s">
        <v>34</v>
      </c>
      <c r="E1741">
        <v>411</v>
      </c>
      <c r="F1741">
        <v>20</v>
      </c>
      <c r="G1741">
        <f t="shared" si="81"/>
        <v>8220</v>
      </c>
      <c r="H1741">
        <v>12</v>
      </c>
      <c r="I1741">
        <f t="shared" si="82"/>
        <v>4932</v>
      </c>
      <c r="J1741">
        <f t="shared" si="83"/>
        <v>3288</v>
      </c>
      <c r="K1741" t="s">
        <v>24</v>
      </c>
      <c r="L1741" t="s">
        <v>73</v>
      </c>
      <c r="M1741" t="s">
        <v>26</v>
      </c>
      <c r="N1741" t="s">
        <v>38</v>
      </c>
      <c r="O1741">
        <v>866</v>
      </c>
      <c r="P1741">
        <v>411</v>
      </c>
      <c r="Q1741" t="s">
        <v>94</v>
      </c>
      <c r="R1741" t="s">
        <v>75</v>
      </c>
      <c r="S1741" t="s">
        <v>95</v>
      </c>
      <c r="T1741">
        <v>2021</v>
      </c>
      <c r="U1741" t="s">
        <v>109</v>
      </c>
    </row>
    <row r="1742" spans="1:21" x14ac:dyDescent="0.35">
      <c r="A1742" s="1">
        <v>46332</v>
      </c>
      <c r="B1742" t="s">
        <v>32</v>
      </c>
      <c r="C1742" t="s">
        <v>33</v>
      </c>
      <c r="D1742" t="s">
        <v>34</v>
      </c>
      <c r="E1742">
        <v>307</v>
      </c>
      <c r="F1742">
        <v>20</v>
      </c>
      <c r="G1742">
        <f t="shared" si="81"/>
        <v>6140</v>
      </c>
      <c r="H1742">
        <v>12</v>
      </c>
      <c r="I1742">
        <f t="shared" si="82"/>
        <v>3684</v>
      </c>
      <c r="J1742">
        <f t="shared" si="83"/>
        <v>2456</v>
      </c>
      <c r="K1742" t="s">
        <v>42</v>
      </c>
      <c r="L1742" t="s">
        <v>36</v>
      </c>
      <c r="M1742" t="s">
        <v>37</v>
      </c>
      <c r="N1742" t="s">
        <v>43</v>
      </c>
      <c r="O1742">
        <v>756</v>
      </c>
      <c r="P1742">
        <v>307</v>
      </c>
      <c r="Q1742" t="s">
        <v>90</v>
      </c>
      <c r="R1742" t="s">
        <v>55</v>
      </c>
      <c r="S1742" t="s">
        <v>85</v>
      </c>
      <c r="T1742">
        <v>2020</v>
      </c>
      <c r="U1742" t="s">
        <v>47</v>
      </c>
    </row>
    <row r="1743" spans="1:21" x14ac:dyDescent="0.35">
      <c r="A1743" s="1">
        <v>46333</v>
      </c>
      <c r="B1743" t="s">
        <v>98</v>
      </c>
      <c r="C1743" t="s">
        <v>99</v>
      </c>
      <c r="D1743" t="s">
        <v>100</v>
      </c>
      <c r="E1743">
        <v>442</v>
      </c>
      <c r="F1743">
        <v>6</v>
      </c>
      <c r="G1743">
        <f t="shared" si="81"/>
        <v>2652</v>
      </c>
      <c r="H1743">
        <v>4</v>
      </c>
      <c r="I1743">
        <f t="shared" si="82"/>
        <v>1768</v>
      </c>
      <c r="J1743">
        <f t="shared" si="83"/>
        <v>884</v>
      </c>
      <c r="K1743" t="s">
        <v>35</v>
      </c>
      <c r="L1743" t="s">
        <v>36</v>
      </c>
      <c r="M1743" t="s">
        <v>26</v>
      </c>
      <c r="N1743" t="s">
        <v>27</v>
      </c>
      <c r="O1743">
        <v>649</v>
      </c>
      <c r="P1743">
        <v>442</v>
      </c>
      <c r="Q1743" t="s">
        <v>74</v>
      </c>
      <c r="R1743" t="s">
        <v>75</v>
      </c>
      <c r="S1743" t="s">
        <v>76</v>
      </c>
      <c r="T1743">
        <v>2021</v>
      </c>
      <c r="U1743" t="s">
        <v>91</v>
      </c>
    </row>
    <row r="1744" spans="1:21" x14ac:dyDescent="0.35">
      <c r="A1744" s="1">
        <v>46334</v>
      </c>
      <c r="B1744" t="s">
        <v>80</v>
      </c>
      <c r="C1744" t="s">
        <v>81</v>
      </c>
      <c r="D1744" t="s">
        <v>82</v>
      </c>
      <c r="E1744">
        <v>340</v>
      </c>
      <c r="F1744">
        <v>2.5</v>
      </c>
      <c r="G1744">
        <f t="shared" si="81"/>
        <v>850</v>
      </c>
      <c r="H1744">
        <v>1.5</v>
      </c>
      <c r="I1744">
        <f t="shared" si="82"/>
        <v>510</v>
      </c>
      <c r="J1744">
        <f t="shared" si="83"/>
        <v>340</v>
      </c>
      <c r="K1744" t="s">
        <v>42</v>
      </c>
      <c r="L1744" t="s">
        <v>25</v>
      </c>
      <c r="M1744" t="s">
        <v>61</v>
      </c>
      <c r="N1744" t="s">
        <v>43</v>
      </c>
      <c r="O1744">
        <v>656</v>
      </c>
      <c r="P1744">
        <v>340</v>
      </c>
      <c r="Q1744" t="s">
        <v>39</v>
      </c>
      <c r="R1744" t="s">
        <v>40</v>
      </c>
      <c r="S1744" t="s">
        <v>41</v>
      </c>
      <c r="T1744">
        <v>2023</v>
      </c>
      <c r="U1744" t="s">
        <v>31</v>
      </c>
    </row>
    <row r="1745" spans="1:21" x14ac:dyDescent="0.35">
      <c r="A1745" s="1">
        <v>46335</v>
      </c>
      <c r="B1745" t="s">
        <v>32</v>
      </c>
      <c r="C1745" t="s">
        <v>33</v>
      </c>
      <c r="D1745" t="s">
        <v>34</v>
      </c>
      <c r="E1745">
        <v>324</v>
      </c>
      <c r="F1745">
        <v>20</v>
      </c>
      <c r="G1745">
        <f t="shared" si="81"/>
        <v>6480</v>
      </c>
      <c r="H1745">
        <v>12</v>
      </c>
      <c r="I1745">
        <f t="shared" si="82"/>
        <v>3888</v>
      </c>
      <c r="J1745">
        <f t="shared" si="83"/>
        <v>2592</v>
      </c>
      <c r="K1745" t="s">
        <v>35</v>
      </c>
      <c r="L1745" t="s">
        <v>63</v>
      </c>
      <c r="M1745" t="s">
        <v>37</v>
      </c>
      <c r="N1745" t="s">
        <v>43</v>
      </c>
      <c r="O1745">
        <v>785</v>
      </c>
      <c r="P1745">
        <v>324</v>
      </c>
      <c r="Q1745" t="s">
        <v>54</v>
      </c>
      <c r="R1745" t="s">
        <v>55</v>
      </c>
      <c r="S1745" t="s">
        <v>56</v>
      </c>
      <c r="T1745">
        <v>2020</v>
      </c>
      <c r="U1745" t="s">
        <v>47</v>
      </c>
    </row>
    <row r="1746" spans="1:21" x14ac:dyDescent="0.35">
      <c r="A1746" s="1">
        <v>46336</v>
      </c>
      <c r="B1746" t="s">
        <v>98</v>
      </c>
      <c r="C1746" t="s">
        <v>99</v>
      </c>
      <c r="D1746" t="s">
        <v>100</v>
      </c>
      <c r="E1746">
        <v>204</v>
      </c>
      <c r="F1746">
        <v>6</v>
      </c>
      <c r="G1746">
        <f t="shared" si="81"/>
        <v>1224</v>
      </c>
      <c r="H1746">
        <v>4</v>
      </c>
      <c r="I1746">
        <f t="shared" si="82"/>
        <v>816</v>
      </c>
      <c r="J1746">
        <f t="shared" si="83"/>
        <v>408</v>
      </c>
      <c r="K1746" t="s">
        <v>42</v>
      </c>
      <c r="L1746" t="s">
        <v>63</v>
      </c>
      <c r="M1746" t="s">
        <v>37</v>
      </c>
      <c r="N1746" t="s">
        <v>38</v>
      </c>
      <c r="O1746">
        <v>749</v>
      </c>
      <c r="P1746">
        <v>204</v>
      </c>
      <c r="Q1746" t="s">
        <v>77</v>
      </c>
      <c r="R1746" t="s">
        <v>78</v>
      </c>
      <c r="S1746" t="s">
        <v>79</v>
      </c>
      <c r="T1746">
        <v>2023</v>
      </c>
      <c r="U1746" t="s">
        <v>66</v>
      </c>
    </row>
    <row r="1747" spans="1:21" x14ac:dyDescent="0.35">
      <c r="A1747" s="1">
        <v>46337</v>
      </c>
      <c r="B1747" t="s">
        <v>48</v>
      </c>
      <c r="C1747" t="s">
        <v>49</v>
      </c>
      <c r="D1747" t="s">
        <v>50</v>
      </c>
      <c r="E1747">
        <v>18</v>
      </c>
      <c r="F1747">
        <v>150</v>
      </c>
      <c r="G1747">
        <f t="shared" si="81"/>
        <v>2700</v>
      </c>
      <c r="H1747">
        <v>100</v>
      </c>
      <c r="I1747">
        <f t="shared" si="82"/>
        <v>1800</v>
      </c>
      <c r="J1747">
        <f t="shared" si="83"/>
        <v>900</v>
      </c>
      <c r="K1747" t="s">
        <v>42</v>
      </c>
      <c r="L1747" t="s">
        <v>25</v>
      </c>
      <c r="M1747" t="s">
        <v>26</v>
      </c>
      <c r="N1747" t="s">
        <v>43</v>
      </c>
      <c r="O1747">
        <v>772</v>
      </c>
      <c r="P1747">
        <v>18</v>
      </c>
      <c r="Q1747" t="s">
        <v>101</v>
      </c>
      <c r="R1747" t="s">
        <v>101</v>
      </c>
      <c r="S1747" t="s">
        <v>102</v>
      </c>
      <c r="T1747">
        <v>2022</v>
      </c>
      <c r="U1747" t="s">
        <v>96</v>
      </c>
    </row>
    <row r="1748" spans="1:21" x14ac:dyDescent="0.35">
      <c r="A1748" s="1">
        <v>46338</v>
      </c>
      <c r="B1748" t="s">
        <v>32</v>
      </c>
      <c r="C1748" t="s">
        <v>33</v>
      </c>
      <c r="D1748" t="s">
        <v>34</v>
      </c>
      <c r="E1748">
        <v>377</v>
      </c>
      <c r="F1748">
        <v>20</v>
      </c>
      <c r="G1748">
        <f t="shared" si="81"/>
        <v>7540</v>
      </c>
      <c r="H1748">
        <v>12</v>
      </c>
      <c r="I1748">
        <f t="shared" si="82"/>
        <v>4524</v>
      </c>
      <c r="J1748">
        <f t="shared" si="83"/>
        <v>3016</v>
      </c>
      <c r="K1748" t="s">
        <v>24</v>
      </c>
      <c r="L1748" t="s">
        <v>36</v>
      </c>
      <c r="M1748" t="s">
        <v>61</v>
      </c>
      <c r="N1748" t="s">
        <v>43</v>
      </c>
      <c r="O1748">
        <v>695</v>
      </c>
      <c r="P1748">
        <v>377</v>
      </c>
      <c r="Q1748" t="s">
        <v>67</v>
      </c>
      <c r="R1748" t="s">
        <v>68</v>
      </c>
      <c r="S1748" t="s">
        <v>69</v>
      </c>
      <c r="T1748">
        <v>2020</v>
      </c>
      <c r="U1748" t="s">
        <v>62</v>
      </c>
    </row>
    <row r="1749" spans="1:21" x14ac:dyDescent="0.35">
      <c r="A1749" s="1">
        <v>46339</v>
      </c>
      <c r="B1749" t="s">
        <v>98</v>
      </c>
      <c r="C1749" t="s">
        <v>99</v>
      </c>
      <c r="D1749" t="s">
        <v>100</v>
      </c>
      <c r="E1749">
        <v>391</v>
      </c>
      <c r="F1749">
        <v>6</v>
      </c>
      <c r="G1749">
        <f t="shared" si="81"/>
        <v>2346</v>
      </c>
      <c r="H1749">
        <v>4</v>
      </c>
      <c r="I1749">
        <f t="shared" si="82"/>
        <v>1564</v>
      </c>
      <c r="J1749">
        <f t="shared" si="83"/>
        <v>782</v>
      </c>
      <c r="K1749" t="s">
        <v>24</v>
      </c>
      <c r="L1749" t="s">
        <v>36</v>
      </c>
      <c r="M1749" t="s">
        <v>26</v>
      </c>
      <c r="N1749" t="s">
        <v>27</v>
      </c>
      <c r="O1749">
        <v>769</v>
      </c>
      <c r="P1749">
        <v>391</v>
      </c>
      <c r="Q1749" t="s">
        <v>90</v>
      </c>
      <c r="R1749" t="s">
        <v>55</v>
      </c>
      <c r="S1749" t="s">
        <v>85</v>
      </c>
      <c r="T1749">
        <v>2022</v>
      </c>
      <c r="U1749" t="s">
        <v>105</v>
      </c>
    </row>
    <row r="1750" spans="1:21" x14ac:dyDescent="0.35">
      <c r="A1750" s="1">
        <v>46340</v>
      </c>
      <c r="B1750" t="s">
        <v>98</v>
      </c>
      <c r="C1750" t="s">
        <v>99</v>
      </c>
      <c r="D1750" t="s">
        <v>100</v>
      </c>
      <c r="E1750">
        <v>79</v>
      </c>
      <c r="F1750">
        <v>6</v>
      </c>
      <c r="G1750">
        <f t="shared" si="81"/>
        <v>474</v>
      </c>
      <c r="H1750">
        <v>4</v>
      </c>
      <c r="I1750">
        <f t="shared" si="82"/>
        <v>316</v>
      </c>
      <c r="J1750">
        <f t="shared" si="83"/>
        <v>158</v>
      </c>
      <c r="K1750" t="s">
        <v>35</v>
      </c>
      <c r="L1750" t="s">
        <v>36</v>
      </c>
      <c r="M1750" t="s">
        <v>61</v>
      </c>
      <c r="N1750" t="s">
        <v>43</v>
      </c>
      <c r="O1750">
        <v>971</v>
      </c>
      <c r="P1750">
        <v>79</v>
      </c>
      <c r="Q1750" t="s">
        <v>77</v>
      </c>
      <c r="R1750" t="s">
        <v>78</v>
      </c>
      <c r="S1750" t="s">
        <v>79</v>
      </c>
      <c r="T1750">
        <v>2021</v>
      </c>
      <c r="U1750" t="s">
        <v>57</v>
      </c>
    </row>
    <row r="1751" spans="1:21" x14ac:dyDescent="0.35">
      <c r="A1751" s="1">
        <v>46341</v>
      </c>
      <c r="B1751" t="s">
        <v>80</v>
      </c>
      <c r="C1751" t="s">
        <v>81</v>
      </c>
      <c r="D1751" t="s">
        <v>82</v>
      </c>
      <c r="E1751">
        <v>402</v>
      </c>
      <c r="F1751">
        <v>2.5</v>
      </c>
      <c r="G1751">
        <f t="shared" si="81"/>
        <v>1005</v>
      </c>
      <c r="H1751">
        <v>1.5</v>
      </c>
      <c r="I1751">
        <f t="shared" si="82"/>
        <v>603</v>
      </c>
      <c r="J1751">
        <f t="shared" si="83"/>
        <v>402</v>
      </c>
      <c r="K1751" t="s">
        <v>24</v>
      </c>
      <c r="L1751" t="s">
        <v>63</v>
      </c>
      <c r="M1751" t="s">
        <v>26</v>
      </c>
      <c r="N1751" t="s">
        <v>43</v>
      </c>
      <c r="O1751">
        <v>794</v>
      </c>
      <c r="P1751">
        <v>402</v>
      </c>
      <c r="Q1751" t="s">
        <v>92</v>
      </c>
      <c r="R1751" t="s">
        <v>45</v>
      </c>
      <c r="S1751" t="s">
        <v>93</v>
      </c>
      <c r="T1751">
        <v>2022</v>
      </c>
      <c r="U1751" t="s">
        <v>97</v>
      </c>
    </row>
    <row r="1752" spans="1:21" x14ac:dyDescent="0.35">
      <c r="A1752" s="1">
        <v>46342</v>
      </c>
      <c r="B1752" t="s">
        <v>58</v>
      </c>
      <c r="C1752" t="s">
        <v>59</v>
      </c>
      <c r="D1752" t="s">
        <v>60</v>
      </c>
      <c r="E1752">
        <v>44</v>
      </c>
      <c r="F1752">
        <v>5</v>
      </c>
      <c r="G1752">
        <f t="shared" si="81"/>
        <v>220</v>
      </c>
      <c r="H1752">
        <v>3</v>
      </c>
      <c r="I1752">
        <f t="shared" si="82"/>
        <v>132</v>
      </c>
      <c r="J1752">
        <f t="shared" si="83"/>
        <v>88</v>
      </c>
      <c r="K1752" t="s">
        <v>24</v>
      </c>
      <c r="L1752" t="s">
        <v>36</v>
      </c>
      <c r="M1752" t="s">
        <v>26</v>
      </c>
      <c r="N1752" t="s">
        <v>38</v>
      </c>
      <c r="O1752">
        <v>533</v>
      </c>
      <c r="P1752">
        <v>44</v>
      </c>
      <c r="Q1752" t="s">
        <v>103</v>
      </c>
      <c r="R1752" t="s">
        <v>68</v>
      </c>
      <c r="S1752" t="s">
        <v>104</v>
      </c>
      <c r="T1752">
        <v>2024</v>
      </c>
      <c r="U1752" t="s">
        <v>96</v>
      </c>
    </row>
    <row r="1753" spans="1:21" x14ac:dyDescent="0.35">
      <c r="A1753" s="1">
        <v>46343</v>
      </c>
      <c r="B1753" t="s">
        <v>80</v>
      </c>
      <c r="C1753" t="s">
        <v>81</v>
      </c>
      <c r="D1753" t="s">
        <v>82</v>
      </c>
      <c r="E1753">
        <v>179</v>
      </c>
      <c r="F1753">
        <v>2.5</v>
      </c>
      <c r="G1753">
        <f t="shared" si="81"/>
        <v>447.5</v>
      </c>
      <c r="H1753">
        <v>1.5</v>
      </c>
      <c r="I1753">
        <f t="shared" si="82"/>
        <v>268.5</v>
      </c>
      <c r="J1753">
        <f t="shared" si="83"/>
        <v>179</v>
      </c>
      <c r="K1753" t="s">
        <v>24</v>
      </c>
      <c r="L1753" t="s">
        <v>25</v>
      </c>
      <c r="M1753" t="s">
        <v>61</v>
      </c>
      <c r="N1753" t="s">
        <v>27</v>
      </c>
      <c r="O1753">
        <v>836</v>
      </c>
      <c r="P1753">
        <v>179</v>
      </c>
      <c r="Q1753" t="s">
        <v>77</v>
      </c>
      <c r="R1753" t="s">
        <v>78</v>
      </c>
      <c r="S1753" t="s">
        <v>79</v>
      </c>
      <c r="T1753">
        <v>2024</v>
      </c>
      <c r="U1753" t="s">
        <v>109</v>
      </c>
    </row>
    <row r="1754" spans="1:21" x14ac:dyDescent="0.35">
      <c r="A1754" s="1">
        <v>46344</v>
      </c>
      <c r="B1754" t="s">
        <v>80</v>
      </c>
      <c r="C1754" t="s">
        <v>81</v>
      </c>
      <c r="D1754" t="s">
        <v>82</v>
      </c>
      <c r="E1754">
        <v>329</v>
      </c>
      <c r="F1754">
        <v>2.5</v>
      </c>
      <c r="G1754">
        <f t="shared" si="81"/>
        <v>822.5</v>
      </c>
      <c r="H1754">
        <v>1.5</v>
      </c>
      <c r="I1754">
        <f t="shared" si="82"/>
        <v>493.5</v>
      </c>
      <c r="J1754">
        <f t="shared" si="83"/>
        <v>329</v>
      </c>
      <c r="K1754" t="s">
        <v>42</v>
      </c>
      <c r="L1754" t="s">
        <v>25</v>
      </c>
      <c r="M1754" t="s">
        <v>61</v>
      </c>
      <c r="N1754" t="s">
        <v>38</v>
      </c>
      <c r="O1754">
        <v>782</v>
      </c>
      <c r="P1754">
        <v>329</v>
      </c>
      <c r="Q1754" t="s">
        <v>87</v>
      </c>
      <c r="R1754" t="s">
        <v>88</v>
      </c>
      <c r="S1754" t="s">
        <v>89</v>
      </c>
      <c r="T1754">
        <v>2020</v>
      </c>
      <c r="U1754" t="s">
        <v>66</v>
      </c>
    </row>
    <row r="1755" spans="1:21" x14ac:dyDescent="0.35">
      <c r="A1755" s="1">
        <v>46345</v>
      </c>
      <c r="B1755" t="s">
        <v>58</v>
      </c>
      <c r="C1755" t="s">
        <v>59</v>
      </c>
      <c r="D1755" t="s">
        <v>60</v>
      </c>
      <c r="E1755">
        <v>270</v>
      </c>
      <c r="F1755">
        <v>5</v>
      </c>
      <c r="G1755">
        <f t="shared" si="81"/>
        <v>1350</v>
      </c>
      <c r="H1755">
        <v>3</v>
      </c>
      <c r="I1755">
        <f t="shared" si="82"/>
        <v>810</v>
      </c>
      <c r="J1755">
        <f t="shared" si="83"/>
        <v>540</v>
      </c>
      <c r="K1755" t="s">
        <v>42</v>
      </c>
      <c r="L1755" t="s">
        <v>63</v>
      </c>
      <c r="M1755" t="s">
        <v>61</v>
      </c>
      <c r="N1755" t="s">
        <v>43</v>
      </c>
      <c r="O1755">
        <v>665</v>
      </c>
      <c r="P1755">
        <v>270</v>
      </c>
      <c r="Q1755" t="s">
        <v>92</v>
      </c>
      <c r="R1755" t="s">
        <v>45</v>
      </c>
      <c r="S1755" t="s">
        <v>93</v>
      </c>
      <c r="T1755">
        <v>2022</v>
      </c>
      <c r="U1755" t="s">
        <v>47</v>
      </c>
    </row>
    <row r="1756" spans="1:21" x14ac:dyDescent="0.35">
      <c r="A1756" s="1">
        <v>46346</v>
      </c>
      <c r="B1756" t="s">
        <v>58</v>
      </c>
      <c r="C1756" t="s">
        <v>59</v>
      </c>
      <c r="D1756" t="s">
        <v>60</v>
      </c>
      <c r="E1756">
        <v>277</v>
      </c>
      <c r="F1756">
        <v>5</v>
      </c>
      <c r="G1756">
        <f t="shared" si="81"/>
        <v>1385</v>
      </c>
      <c r="H1756">
        <v>3</v>
      </c>
      <c r="I1756">
        <f t="shared" si="82"/>
        <v>831</v>
      </c>
      <c r="J1756">
        <f t="shared" si="83"/>
        <v>554</v>
      </c>
      <c r="K1756" t="s">
        <v>24</v>
      </c>
      <c r="L1756" t="s">
        <v>25</v>
      </c>
      <c r="M1756" t="s">
        <v>37</v>
      </c>
      <c r="N1756" t="s">
        <v>38</v>
      </c>
      <c r="O1756">
        <v>844</v>
      </c>
      <c r="P1756">
        <v>277</v>
      </c>
      <c r="Q1756" t="s">
        <v>87</v>
      </c>
      <c r="R1756" t="s">
        <v>88</v>
      </c>
      <c r="S1756" t="s">
        <v>89</v>
      </c>
      <c r="T1756">
        <v>2024</v>
      </c>
      <c r="U1756" t="s">
        <v>53</v>
      </c>
    </row>
    <row r="1757" spans="1:21" x14ac:dyDescent="0.35">
      <c r="A1757" s="1">
        <v>46347</v>
      </c>
      <c r="B1757" t="s">
        <v>58</v>
      </c>
      <c r="C1757" t="s">
        <v>59</v>
      </c>
      <c r="D1757" t="s">
        <v>60</v>
      </c>
      <c r="E1757">
        <v>238</v>
      </c>
      <c r="F1757">
        <v>5</v>
      </c>
      <c r="G1757">
        <f t="shared" si="81"/>
        <v>1190</v>
      </c>
      <c r="H1757">
        <v>3</v>
      </c>
      <c r="I1757">
        <f t="shared" si="82"/>
        <v>714</v>
      </c>
      <c r="J1757">
        <f t="shared" si="83"/>
        <v>476</v>
      </c>
      <c r="K1757" t="s">
        <v>42</v>
      </c>
      <c r="L1757" t="s">
        <v>73</v>
      </c>
      <c r="M1757" t="s">
        <v>61</v>
      </c>
      <c r="N1757" t="s">
        <v>27</v>
      </c>
      <c r="O1757">
        <v>880</v>
      </c>
      <c r="P1757">
        <v>238</v>
      </c>
      <c r="Q1757" t="s">
        <v>64</v>
      </c>
      <c r="R1757" t="s">
        <v>29</v>
      </c>
      <c r="S1757" t="s">
        <v>65</v>
      </c>
      <c r="T1757">
        <v>2024</v>
      </c>
      <c r="U1757" t="s">
        <v>96</v>
      </c>
    </row>
    <row r="1758" spans="1:21" x14ac:dyDescent="0.35">
      <c r="A1758" s="1">
        <v>46348</v>
      </c>
      <c r="B1758" t="s">
        <v>32</v>
      </c>
      <c r="C1758" t="s">
        <v>33</v>
      </c>
      <c r="D1758" t="s">
        <v>34</v>
      </c>
      <c r="E1758">
        <v>179</v>
      </c>
      <c r="F1758">
        <v>20</v>
      </c>
      <c r="G1758">
        <f t="shared" si="81"/>
        <v>3580</v>
      </c>
      <c r="H1758">
        <v>12</v>
      </c>
      <c r="I1758">
        <f t="shared" si="82"/>
        <v>2148</v>
      </c>
      <c r="J1758">
        <f t="shared" si="83"/>
        <v>1432</v>
      </c>
      <c r="K1758" t="s">
        <v>42</v>
      </c>
      <c r="L1758" t="s">
        <v>73</v>
      </c>
      <c r="M1758" t="s">
        <v>26</v>
      </c>
      <c r="N1758" t="s">
        <v>43</v>
      </c>
      <c r="O1758">
        <v>702</v>
      </c>
      <c r="P1758">
        <v>179</v>
      </c>
      <c r="Q1758" t="s">
        <v>74</v>
      </c>
      <c r="R1758" t="s">
        <v>75</v>
      </c>
      <c r="S1758" t="s">
        <v>76</v>
      </c>
      <c r="T1758">
        <v>2021</v>
      </c>
      <c r="U1758" t="s">
        <v>53</v>
      </c>
    </row>
    <row r="1759" spans="1:21" x14ac:dyDescent="0.35">
      <c r="A1759" s="1">
        <v>46349</v>
      </c>
      <c r="B1759" t="s">
        <v>21</v>
      </c>
      <c r="C1759" t="s">
        <v>22</v>
      </c>
      <c r="D1759" t="s">
        <v>23</v>
      </c>
      <c r="E1759">
        <v>325</v>
      </c>
      <c r="F1759">
        <v>8</v>
      </c>
      <c r="G1759">
        <f t="shared" si="81"/>
        <v>2600</v>
      </c>
      <c r="H1759">
        <v>5</v>
      </c>
      <c r="I1759">
        <f t="shared" si="82"/>
        <v>1625</v>
      </c>
      <c r="J1759">
        <f t="shared" si="83"/>
        <v>975</v>
      </c>
      <c r="K1759" t="s">
        <v>35</v>
      </c>
      <c r="L1759" t="s">
        <v>63</v>
      </c>
      <c r="M1759" t="s">
        <v>37</v>
      </c>
      <c r="N1759" t="s">
        <v>43</v>
      </c>
      <c r="O1759">
        <v>672</v>
      </c>
      <c r="P1759">
        <v>325</v>
      </c>
      <c r="Q1759" t="s">
        <v>54</v>
      </c>
      <c r="R1759" t="s">
        <v>55</v>
      </c>
      <c r="S1759" t="s">
        <v>56</v>
      </c>
      <c r="T1759">
        <v>2020</v>
      </c>
      <c r="U1759" t="s">
        <v>96</v>
      </c>
    </row>
    <row r="1760" spans="1:21" x14ac:dyDescent="0.35">
      <c r="A1760" s="1">
        <v>46350</v>
      </c>
      <c r="B1760" t="s">
        <v>98</v>
      </c>
      <c r="C1760" t="s">
        <v>99</v>
      </c>
      <c r="D1760" t="s">
        <v>100</v>
      </c>
      <c r="E1760">
        <v>433</v>
      </c>
      <c r="F1760">
        <v>6</v>
      </c>
      <c r="G1760">
        <f t="shared" si="81"/>
        <v>2598</v>
      </c>
      <c r="H1760">
        <v>4</v>
      </c>
      <c r="I1760">
        <f t="shared" si="82"/>
        <v>1732</v>
      </c>
      <c r="J1760">
        <f t="shared" si="83"/>
        <v>866</v>
      </c>
      <c r="K1760" t="s">
        <v>35</v>
      </c>
      <c r="L1760" t="s">
        <v>25</v>
      </c>
      <c r="M1760" t="s">
        <v>37</v>
      </c>
      <c r="N1760" t="s">
        <v>43</v>
      </c>
      <c r="O1760">
        <v>527</v>
      </c>
      <c r="P1760">
        <v>433</v>
      </c>
      <c r="Q1760" t="s">
        <v>92</v>
      </c>
      <c r="R1760" t="s">
        <v>45</v>
      </c>
      <c r="S1760" t="s">
        <v>93</v>
      </c>
      <c r="T1760">
        <v>2021</v>
      </c>
      <c r="U1760" t="s">
        <v>47</v>
      </c>
    </row>
    <row r="1761" spans="1:21" x14ac:dyDescent="0.35">
      <c r="A1761" s="1">
        <v>46351</v>
      </c>
      <c r="B1761" t="s">
        <v>58</v>
      </c>
      <c r="C1761" t="s">
        <v>59</v>
      </c>
      <c r="D1761" t="s">
        <v>60</v>
      </c>
      <c r="E1761">
        <v>366</v>
      </c>
      <c r="F1761">
        <v>5</v>
      </c>
      <c r="G1761">
        <f t="shared" si="81"/>
        <v>1830</v>
      </c>
      <c r="H1761">
        <v>3</v>
      </c>
      <c r="I1761">
        <f t="shared" si="82"/>
        <v>1098</v>
      </c>
      <c r="J1761">
        <f t="shared" si="83"/>
        <v>732</v>
      </c>
      <c r="K1761" t="s">
        <v>24</v>
      </c>
      <c r="L1761" t="s">
        <v>73</v>
      </c>
      <c r="M1761" t="s">
        <v>61</v>
      </c>
      <c r="N1761" t="s">
        <v>38</v>
      </c>
      <c r="O1761">
        <v>676</v>
      </c>
      <c r="P1761">
        <v>366</v>
      </c>
      <c r="Q1761" t="s">
        <v>106</v>
      </c>
      <c r="R1761" t="s">
        <v>107</v>
      </c>
      <c r="S1761" t="s">
        <v>108</v>
      </c>
      <c r="T1761">
        <v>2023</v>
      </c>
      <c r="U1761" t="s">
        <v>105</v>
      </c>
    </row>
    <row r="1762" spans="1:21" x14ac:dyDescent="0.35">
      <c r="A1762" s="1">
        <v>46352</v>
      </c>
      <c r="B1762" t="s">
        <v>98</v>
      </c>
      <c r="C1762" t="s">
        <v>99</v>
      </c>
      <c r="D1762" t="s">
        <v>100</v>
      </c>
      <c r="E1762">
        <v>279</v>
      </c>
      <c r="F1762">
        <v>6</v>
      </c>
      <c r="G1762">
        <f t="shared" si="81"/>
        <v>1674</v>
      </c>
      <c r="H1762">
        <v>4</v>
      </c>
      <c r="I1762">
        <f t="shared" si="82"/>
        <v>1116</v>
      </c>
      <c r="J1762">
        <f t="shared" si="83"/>
        <v>558</v>
      </c>
      <c r="K1762" t="s">
        <v>35</v>
      </c>
      <c r="L1762" t="s">
        <v>63</v>
      </c>
      <c r="M1762" t="s">
        <v>37</v>
      </c>
      <c r="N1762" t="s">
        <v>27</v>
      </c>
      <c r="O1762">
        <v>964</v>
      </c>
      <c r="P1762">
        <v>279</v>
      </c>
      <c r="Q1762" t="s">
        <v>44</v>
      </c>
      <c r="R1762" t="s">
        <v>45</v>
      </c>
      <c r="S1762" t="s">
        <v>46</v>
      </c>
      <c r="T1762">
        <v>2020</v>
      </c>
      <c r="U1762" t="s">
        <v>97</v>
      </c>
    </row>
    <row r="1763" spans="1:21" x14ac:dyDescent="0.35">
      <c r="A1763" s="1">
        <v>46353</v>
      </c>
      <c r="B1763" t="s">
        <v>80</v>
      </c>
      <c r="C1763" t="s">
        <v>81</v>
      </c>
      <c r="D1763" t="s">
        <v>82</v>
      </c>
      <c r="E1763">
        <v>225</v>
      </c>
      <c r="F1763">
        <v>2.5</v>
      </c>
      <c r="G1763">
        <f t="shared" si="81"/>
        <v>562.5</v>
      </c>
      <c r="H1763">
        <v>1.5</v>
      </c>
      <c r="I1763">
        <f t="shared" si="82"/>
        <v>337.5</v>
      </c>
      <c r="J1763">
        <f t="shared" si="83"/>
        <v>225</v>
      </c>
      <c r="K1763" t="s">
        <v>42</v>
      </c>
      <c r="L1763" t="s">
        <v>36</v>
      </c>
      <c r="M1763" t="s">
        <v>37</v>
      </c>
      <c r="N1763" t="s">
        <v>38</v>
      </c>
      <c r="O1763">
        <v>620</v>
      </c>
      <c r="P1763">
        <v>225</v>
      </c>
      <c r="Q1763" t="s">
        <v>51</v>
      </c>
      <c r="R1763" t="s">
        <v>45</v>
      </c>
      <c r="S1763" t="s">
        <v>52</v>
      </c>
      <c r="T1763">
        <v>2020</v>
      </c>
      <c r="U1763" t="s">
        <v>96</v>
      </c>
    </row>
    <row r="1764" spans="1:21" x14ac:dyDescent="0.35">
      <c r="A1764" s="1">
        <v>46354</v>
      </c>
      <c r="B1764" t="s">
        <v>32</v>
      </c>
      <c r="C1764" t="s">
        <v>33</v>
      </c>
      <c r="D1764" t="s">
        <v>34</v>
      </c>
      <c r="E1764">
        <v>207</v>
      </c>
      <c r="F1764">
        <v>20</v>
      </c>
      <c r="G1764">
        <f t="shared" si="81"/>
        <v>4140</v>
      </c>
      <c r="H1764">
        <v>12</v>
      </c>
      <c r="I1764">
        <f t="shared" si="82"/>
        <v>2484</v>
      </c>
      <c r="J1764">
        <f t="shared" si="83"/>
        <v>1656</v>
      </c>
      <c r="K1764" t="s">
        <v>42</v>
      </c>
      <c r="L1764" t="s">
        <v>73</v>
      </c>
      <c r="M1764" t="s">
        <v>26</v>
      </c>
      <c r="N1764" t="s">
        <v>38</v>
      </c>
      <c r="O1764">
        <v>902</v>
      </c>
      <c r="P1764">
        <v>207</v>
      </c>
      <c r="Q1764" t="s">
        <v>83</v>
      </c>
      <c r="R1764" t="s">
        <v>84</v>
      </c>
      <c r="S1764" t="s">
        <v>85</v>
      </c>
      <c r="T1764">
        <v>2020</v>
      </c>
      <c r="U1764" t="s">
        <v>57</v>
      </c>
    </row>
    <row r="1765" spans="1:21" x14ac:dyDescent="0.35">
      <c r="A1765" s="1">
        <v>46355</v>
      </c>
      <c r="B1765" t="s">
        <v>98</v>
      </c>
      <c r="C1765" t="s">
        <v>99</v>
      </c>
      <c r="D1765" t="s">
        <v>100</v>
      </c>
      <c r="E1765">
        <v>17</v>
      </c>
      <c r="F1765">
        <v>6</v>
      </c>
      <c r="G1765">
        <f t="shared" si="81"/>
        <v>102</v>
      </c>
      <c r="H1765">
        <v>4</v>
      </c>
      <c r="I1765">
        <f t="shared" si="82"/>
        <v>68</v>
      </c>
      <c r="J1765">
        <f t="shared" si="83"/>
        <v>34</v>
      </c>
      <c r="K1765" t="s">
        <v>24</v>
      </c>
      <c r="L1765" t="s">
        <v>73</v>
      </c>
      <c r="M1765" t="s">
        <v>37</v>
      </c>
      <c r="N1765" t="s">
        <v>38</v>
      </c>
      <c r="O1765">
        <v>692</v>
      </c>
      <c r="P1765">
        <v>17</v>
      </c>
      <c r="Q1765" t="s">
        <v>54</v>
      </c>
      <c r="R1765" t="s">
        <v>55</v>
      </c>
      <c r="S1765" t="s">
        <v>56</v>
      </c>
      <c r="T1765">
        <v>2020</v>
      </c>
      <c r="U1765" t="s">
        <v>105</v>
      </c>
    </row>
    <row r="1766" spans="1:21" x14ac:dyDescent="0.35">
      <c r="A1766" s="1">
        <v>46356</v>
      </c>
      <c r="B1766" t="s">
        <v>58</v>
      </c>
      <c r="C1766" t="s">
        <v>59</v>
      </c>
      <c r="D1766" t="s">
        <v>60</v>
      </c>
      <c r="E1766">
        <v>89</v>
      </c>
      <c r="F1766">
        <v>5</v>
      </c>
      <c r="G1766">
        <f t="shared" si="81"/>
        <v>445</v>
      </c>
      <c r="H1766">
        <v>3</v>
      </c>
      <c r="I1766">
        <f t="shared" si="82"/>
        <v>267</v>
      </c>
      <c r="J1766">
        <f t="shared" si="83"/>
        <v>178</v>
      </c>
      <c r="K1766" t="s">
        <v>24</v>
      </c>
      <c r="L1766" t="s">
        <v>36</v>
      </c>
      <c r="M1766" t="s">
        <v>37</v>
      </c>
      <c r="N1766" t="s">
        <v>38</v>
      </c>
      <c r="O1766">
        <v>967</v>
      </c>
      <c r="P1766">
        <v>89</v>
      </c>
      <c r="Q1766" t="s">
        <v>92</v>
      </c>
      <c r="R1766" t="s">
        <v>45</v>
      </c>
      <c r="S1766" t="s">
        <v>93</v>
      </c>
      <c r="T1766">
        <v>2024</v>
      </c>
      <c r="U1766" t="s">
        <v>53</v>
      </c>
    </row>
    <row r="1767" spans="1:21" x14ac:dyDescent="0.35">
      <c r="A1767" s="1">
        <v>46357</v>
      </c>
      <c r="B1767" t="s">
        <v>32</v>
      </c>
      <c r="C1767" t="s">
        <v>33</v>
      </c>
      <c r="D1767" t="s">
        <v>34</v>
      </c>
      <c r="E1767">
        <v>136</v>
      </c>
      <c r="F1767">
        <v>20</v>
      </c>
      <c r="G1767">
        <f t="shared" si="81"/>
        <v>2720</v>
      </c>
      <c r="H1767">
        <v>12</v>
      </c>
      <c r="I1767">
        <f t="shared" si="82"/>
        <v>1632</v>
      </c>
      <c r="J1767">
        <f t="shared" si="83"/>
        <v>1088</v>
      </c>
      <c r="K1767" t="s">
        <v>35</v>
      </c>
      <c r="L1767" t="s">
        <v>73</v>
      </c>
      <c r="M1767" t="s">
        <v>37</v>
      </c>
      <c r="N1767" t="s">
        <v>43</v>
      </c>
      <c r="O1767">
        <v>594</v>
      </c>
      <c r="P1767">
        <v>136</v>
      </c>
      <c r="Q1767" t="s">
        <v>83</v>
      </c>
      <c r="R1767" t="s">
        <v>84</v>
      </c>
      <c r="S1767" t="s">
        <v>85</v>
      </c>
      <c r="T1767">
        <v>2024</v>
      </c>
      <c r="U1767" t="s">
        <v>66</v>
      </c>
    </row>
    <row r="1768" spans="1:21" x14ac:dyDescent="0.35">
      <c r="A1768" s="1">
        <v>46358</v>
      </c>
      <c r="B1768" t="s">
        <v>32</v>
      </c>
      <c r="C1768" t="s">
        <v>33</v>
      </c>
      <c r="D1768" t="s">
        <v>34</v>
      </c>
      <c r="E1768">
        <v>471</v>
      </c>
      <c r="F1768">
        <v>20</v>
      </c>
      <c r="G1768">
        <f t="shared" si="81"/>
        <v>9420</v>
      </c>
      <c r="H1768">
        <v>12</v>
      </c>
      <c r="I1768">
        <f t="shared" si="82"/>
        <v>5652</v>
      </c>
      <c r="J1768">
        <f t="shared" si="83"/>
        <v>3768</v>
      </c>
      <c r="K1768" t="s">
        <v>42</v>
      </c>
      <c r="L1768" t="s">
        <v>25</v>
      </c>
      <c r="M1768" t="s">
        <v>61</v>
      </c>
      <c r="N1768" t="s">
        <v>27</v>
      </c>
      <c r="O1768">
        <v>563</v>
      </c>
      <c r="P1768">
        <v>471</v>
      </c>
      <c r="Q1768" t="s">
        <v>54</v>
      </c>
      <c r="R1768" t="s">
        <v>55</v>
      </c>
      <c r="S1768" t="s">
        <v>56</v>
      </c>
      <c r="T1768">
        <v>2022</v>
      </c>
      <c r="U1768" t="s">
        <v>91</v>
      </c>
    </row>
    <row r="1769" spans="1:21" x14ac:dyDescent="0.35">
      <c r="A1769" s="1">
        <v>46359</v>
      </c>
      <c r="B1769" t="s">
        <v>32</v>
      </c>
      <c r="C1769" t="s">
        <v>33</v>
      </c>
      <c r="D1769" t="s">
        <v>34</v>
      </c>
      <c r="E1769">
        <v>336</v>
      </c>
      <c r="F1769">
        <v>20</v>
      </c>
      <c r="G1769">
        <f t="shared" si="81"/>
        <v>6720</v>
      </c>
      <c r="H1769">
        <v>12</v>
      </c>
      <c r="I1769">
        <f t="shared" si="82"/>
        <v>4032</v>
      </c>
      <c r="J1769">
        <f t="shared" si="83"/>
        <v>2688</v>
      </c>
      <c r="K1769" t="s">
        <v>42</v>
      </c>
      <c r="L1769" t="s">
        <v>73</v>
      </c>
      <c r="M1769" t="s">
        <v>26</v>
      </c>
      <c r="N1769" t="s">
        <v>38</v>
      </c>
      <c r="O1769">
        <v>931</v>
      </c>
      <c r="P1769">
        <v>336</v>
      </c>
      <c r="Q1769" t="s">
        <v>106</v>
      </c>
      <c r="R1769" t="s">
        <v>107</v>
      </c>
      <c r="S1769" t="s">
        <v>108</v>
      </c>
      <c r="T1769">
        <v>2024</v>
      </c>
      <c r="U1769" t="s">
        <v>105</v>
      </c>
    </row>
    <row r="1770" spans="1:21" x14ac:dyDescent="0.35">
      <c r="A1770" s="1">
        <v>46360</v>
      </c>
      <c r="B1770" t="s">
        <v>32</v>
      </c>
      <c r="C1770" t="s">
        <v>33</v>
      </c>
      <c r="D1770" t="s">
        <v>34</v>
      </c>
      <c r="E1770">
        <v>311</v>
      </c>
      <c r="F1770">
        <v>20</v>
      </c>
      <c r="G1770">
        <f t="shared" si="81"/>
        <v>6220</v>
      </c>
      <c r="H1770">
        <v>12</v>
      </c>
      <c r="I1770">
        <f t="shared" si="82"/>
        <v>3732</v>
      </c>
      <c r="J1770">
        <f t="shared" si="83"/>
        <v>2488</v>
      </c>
      <c r="K1770" t="s">
        <v>24</v>
      </c>
      <c r="L1770" t="s">
        <v>36</v>
      </c>
      <c r="M1770" t="s">
        <v>61</v>
      </c>
      <c r="N1770" t="s">
        <v>38</v>
      </c>
      <c r="O1770">
        <v>892</v>
      </c>
      <c r="P1770">
        <v>311</v>
      </c>
      <c r="Q1770" t="s">
        <v>87</v>
      </c>
      <c r="R1770" t="s">
        <v>88</v>
      </c>
      <c r="S1770" t="s">
        <v>89</v>
      </c>
      <c r="T1770">
        <v>2020</v>
      </c>
      <c r="U1770" t="s">
        <v>105</v>
      </c>
    </row>
    <row r="1771" spans="1:21" x14ac:dyDescent="0.35">
      <c r="A1771" s="1">
        <v>46361</v>
      </c>
      <c r="B1771" t="s">
        <v>21</v>
      </c>
      <c r="C1771" t="s">
        <v>22</v>
      </c>
      <c r="D1771" t="s">
        <v>23</v>
      </c>
      <c r="E1771">
        <v>320</v>
      </c>
      <c r="F1771">
        <v>8</v>
      </c>
      <c r="G1771">
        <f t="shared" si="81"/>
        <v>2560</v>
      </c>
      <c r="H1771">
        <v>5</v>
      </c>
      <c r="I1771">
        <f t="shared" si="82"/>
        <v>1600</v>
      </c>
      <c r="J1771">
        <f t="shared" si="83"/>
        <v>960</v>
      </c>
      <c r="K1771" t="s">
        <v>24</v>
      </c>
      <c r="L1771" t="s">
        <v>73</v>
      </c>
      <c r="M1771" t="s">
        <v>26</v>
      </c>
      <c r="N1771" t="s">
        <v>43</v>
      </c>
      <c r="O1771">
        <v>632</v>
      </c>
      <c r="P1771">
        <v>320</v>
      </c>
      <c r="Q1771" t="s">
        <v>54</v>
      </c>
      <c r="R1771" t="s">
        <v>55</v>
      </c>
      <c r="S1771" t="s">
        <v>56</v>
      </c>
      <c r="T1771">
        <v>2021</v>
      </c>
      <c r="U1771" t="s">
        <v>62</v>
      </c>
    </row>
    <row r="1772" spans="1:21" x14ac:dyDescent="0.35">
      <c r="A1772" s="1">
        <v>46362</v>
      </c>
      <c r="B1772" t="s">
        <v>32</v>
      </c>
      <c r="C1772" t="s">
        <v>33</v>
      </c>
      <c r="D1772" t="s">
        <v>34</v>
      </c>
      <c r="E1772">
        <v>286</v>
      </c>
      <c r="F1772">
        <v>20</v>
      </c>
      <c r="G1772">
        <f t="shared" si="81"/>
        <v>5720</v>
      </c>
      <c r="H1772">
        <v>12</v>
      </c>
      <c r="I1772">
        <f t="shared" si="82"/>
        <v>3432</v>
      </c>
      <c r="J1772">
        <f t="shared" si="83"/>
        <v>2288</v>
      </c>
      <c r="K1772" t="s">
        <v>42</v>
      </c>
      <c r="L1772" t="s">
        <v>73</v>
      </c>
      <c r="M1772" t="s">
        <v>61</v>
      </c>
      <c r="N1772" t="s">
        <v>27</v>
      </c>
      <c r="O1772">
        <v>791</v>
      </c>
      <c r="P1772">
        <v>286</v>
      </c>
      <c r="Q1772" t="s">
        <v>113</v>
      </c>
      <c r="R1772" t="s">
        <v>114</v>
      </c>
      <c r="S1772" t="s">
        <v>115</v>
      </c>
      <c r="T1772">
        <v>2020</v>
      </c>
      <c r="U1772" t="s">
        <v>57</v>
      </c>
    </row>
    <row r="1773" spans="1:21" x14ac:dyDescent="0.35">
      <c r="A1773" s="1">
        <v>46363</v>
      </c>
      <c r="B1773" t="s">
        <v>98</v>
      </c>
      <c r="C1773" t="s">
        <v>99</v>
      </c>
      <c r="D1773" t="s">
        <v>100</v>
      </c>
      <c r="E1773">
        <v>308</v>
      </c>
      <c r="F1773">
        <v>6</v>
      </c>
      <c r="G1773">
        <f t="shared" si="81"/>
        <v>1848</v>
      </c>
      <c r="H1773">
        <v>4</v>
      </c>
      <c r="I1773">
        <f t="shared" si="82"/>
        <v>1232</v>
      </c>
      <c r="J1773">
        <f t="shared" si="83"/>
        <v>616</v>
      </c>
      <c r="K1773" t="s">
        <v>42</v>
      </c>
      <c r="L1773" t="s">
        <v>73</v>
      </c>
      <c r="M1773" t="s">
        <v>61</v>
      </c>
      <c r="N1773" t="s">
        <v>38</v>
      </c>
      <c r="O1773">
        <v>721</v>
      </c>
      <c r="P1773">
        <v>308</v>
      </c>
      <c r="Q1773" t="s">
        <v>70</v>
      </c>
      <c r="R1773" t="s">
        <v>71</v>
      </c>
      <c r="S1773" t="s">
        <v>72</v>
      </c>
      <c r="T1773">
        <v>2020</v>
      </c>
      <c r="U1773" t="s">
        <v>47</v>
      </c>
    </row>
    <row r="1774" spans="1:21" x14ac:dyDescent="0.35">
      <c r="A1774" s="1">
        <v>46364</v>
      </c>
      <c r="B1774" t="s">
        <v>98</v>
      </c>
      <c r="C1774" t="s">
        <v>99</v>
      </c>
      <c r="D1774" t="s">
        <v>100</v>
      </c>
      <c r="E1774">
        <v>125</v>
      </c>
      <c r="F1774">
        <v>6</v>
      </c>
      <c r="G1774">
        <f t="shared" si="81"/>
        <v>750</v>
      </c>
      <c r="H1774">
        <v>4</v>
      </c>
      <c r="I1774">
        <f t="shared" si="82"/>
        <v>500</v>
      </c>
      <c r="J1774">
        <f t="shared" si="83"/>
        <v>250</v>
      </c>
      <c r="K1774" t="s">
        <v>35</v>
      </c>
      <c r="L1774" t="s">
        <v>25</v>
      </c>
      <c r="M1774" t="s">
        <v>61</v>
      </c>
      <c r="N1774" t="s">
        <v>43</v>
      </c>
      <c r="O1774">
        <v>934</v>
      </c>
      <c r="P1774">
        <v>125</v>
      </c>
      <c r="Q1774" t="s">
        <v>90</v>
      </c>
      <c r="R1774" t="s">
        <v>55</v>
      </c>
      <c r="S1774" t="s">
        <v>85</v>
      </c>
      <c r="T1774">
        <v>2024</v>
      </c>
      <c r="U1774" t="s">
        <v>97</v>
      </c>
    </row>
    <row r="1775" spans="1:21" x14ac:dyDescent="0.35">
      <c r="A1775" s="1">
        <v>46365</v>
      </c>
      <c r="B1775" t="s">
        <v>58</v>
      </c>
      <c r="C1775" t="s">
        <v>59</v>
      </c>
      <c r="D1775" t="s">
        <v>60</v>
      </c>
      <c r="E1775">
        <v>458</v>
      </c>
      <c r="F1775">
        <v>5</v>
      </c>
      <c r="G1775">
        <f t="shared" si="81"/>
        <v>2290</v>
      </c>
      <c r="H1775">
        <v>3</v>
      </c>
      <c r="I1775">
        <f t="shared" si="82"/>
        <v>1374</v>
      </c>
      <c r="J1775">
        <f t="shared" si="83"/>
        <v>916</v>
      </c>
      <c r="K1775" t="s">
        <v>42</v>
      </c>
      <c r="L1775" t="s">
        <v>36</v>
      </c>
      <c r="M1775" t="s">
        <v>37</v>
      </c>
      <c r="N1775" t="s">
        <v>27</v>
      </c>
      <c r="O1775">
        <v>634</v>
      </c>
      <c r="P1775">
        <v>458</v>
      </c>
      <c r="Q1775" t="s">
        <v>87</v>
      </c>
      <c r="R1775" t="s">
        <v>88</v>
      </c>
      <c r="S1775" t="s">
        <v>89</v>
      </c>
      <c r="T1775">
        <v>2024</v>
      </c>
      <c r="U1775" t="s">
        <v>86</v>
      </c>
    </row>
    <row r="1776" spans="1:21" x14ac:dyDescent="0.35">
      <c r="A1776" s="1">
        <v>46366</v>
      </c>
      <c r="B1776" t="s">
        <v>48</v>
      </c>
      <c r="C1776" t="s">
        <v>49</v>
      </c>
      <c r="D1776" t="s">
        <v>50</v>
      </c>
      <c r="E1776">
        <v>245</v>
      </c>
      <c r="F1776">
        <v>150</v>
      </c>
      <c r="G1776">
        <f t="shared" si="81"/>
        <v>36750</v>
      </c>
      <c r="H1776">
        <v>100</v>
      </c>
      <c r="I1776">
        <f t="shared" si="82"/>
        <v>24500</v>
      </c>
      <c r="J1776">
        <f t="shared" si="83"/>
        <v>12250</v>
      </c>
      <c r="K1776" t="s">
        <v>42</v>
      </c>
      <c r="L1776" t="s">
        <v>36</v>
      </c>
      <c r="M1776" t="s">
        <v>37</v>
      </c>
      <c r="N1776" t="s">
        <v>27</v>
      </c>
      <c r="O1776">
        <v>788</v>
      </c>
      <c r="P1776">
        <v>245</v>
      </c>
      <c r="Q1776" t="s">
        <v>70</v>
      </c>
      <c r="R1776" t="s">
        <v>71</v>
      </c>
      <c r="S1776" t="s">
        <v>72</v>
      </c>
      <c r="T1776">
        <v>2021</v>
      </c>
      <c r="U1776" t="s">
        <v>53</v>
      </c>
    </row>
    <row r="1777" spans="1:21" x14ac:dyDescent="0.35">
      <c r="A1777" s="1">
        <v>46367</v>
      </c>
      <c r="B1777" t="s">
        <v>21</v>
      </c>
      <c r="C1777" t="s">
        <v>22</v>
      </c>
      <c r="D1777" t="s">
        <v>23</v>
      </c>
      <c r="E1777">
        <v>320</v>
      </c>
      <c r="F1777">
        <v>8</v>
      </c>
      <c r="G1777">
        <f t="shared" si="81"/>
        <v>2560</v>
      </c>
      <c r="H1777">
        <v>5</v>
      </c>
      <c r="I1777">
        <f t="shared" si="82"/>
        <v>1600</v>
      </c>
      <c r="J1777">
        <f t="shared" si="83"/>
        <v>960</v>
      </c>
      <c r="K1777" t="s">
        <v>35</v>
      </c>
      <c r="L1777" t="s">
        <v>73</v>
      </c>
      <c r="M1777" t="s">
        <v>26</v>
      </c>
      <c r="N1777" t="s">
        <v>27</v>
      </c>
      <c r="O1777">
        <v>899</v>
      </c>
      <c r="P1777">
        <v>320</v>
      </c>
      <c r="Q1777" t="s">
        <v>90</v>
      </c>
      <c r="R1777" t="s">
        <v>55</v>
      </c>
      <c r="S1777" t="s">
        <v>85</v>
      </c>
      <c r="T1777">
        <v>2021</v>
      </c>
      <c r="U1777" t="s">
        <v>62</v>
      </c>
    </row>
    <row r="1778" spans="1:21" x14ac:dyDescent="0.35">
      <c r="A1778" s="1">
        <v>46368</v>
      </c>
      <c r="B1778" t="s">
        <v>98</v>
      </c>
      <c r="C1778" t="s">
        <v>99</v>
      </c>
      <c r="D1778" t="s">
        <v>100</v>
      </c>
      <c r="E1778">
        <v>125</v>
      </c>
      <c r="F1778">
        <v>6</v>
      </c>
      <c r="G1778">
        <f t="shared" si="81"/>
        <v>750</v>
      </c>
      <c r="H1778">
        <v>4</v>
      </c>
      <c r="I1778">
        <f t="shared" si="82"/>
        <v>500</v>
      </c>
      <c r="J1778">
        <f t="shared" si="83"/>
        <v>250</v>
      </c>
      <c r="K1778" t="s">
        <v>42</v>
      </c>
      <c r="L1778" t="s">
        <v>25</v>
      </c>
      <c r="M1778" t="s">
        <v>61</v>
      </c>
      <c r="N1778" t="s">
        <v>43</v>
      </c>
      <c r="O1778">
        <v>704</v>
      </c>
      <c r="P1778">
        <v>125</v>
      </c>
      <c r="Q1778" t="s">
        <v>44</v>
      </c>
      <c r="R1778" t="s">
        <v>45</v>
      </c>
      <c r="S1778" t="s">
        <v>46</v>
      </c>
      <c r="T1778">
        <v>2024</v>
      </c>
      <c r="U1778" t="s">
        <v>62</v>
      </c>
    </row>
    <row r="1779" spans="1:21" x14ac:dyDescent="0.35">
      <c r="A1779" s="1">
        <v>46369</v>
      </c>
      <c r="B1779" t="s">
        <v>21</v>
      </c>
      <c r="C1779" t="s">
        <v>22</v>
      </c>
      <c r="D1779" t="s">
        <v>23</v>
      </c>
      <c r="E1779">
        <v>115</v>
      </c>
      <c r="F1779">
        <v>8</v>
      </c>
      <c r="G1779">
        <f t="shared" si="81"/>
        <v>920</v>
      </c>
      <c r="H1779">
        <v>5</v>
      </c>
      <c r="I1779">
        <f t="shared" si="82"/>
        <v>575</v>
      </c>
      <c r="J1779">
        <f t="shared" si="83"/>
        <v>345</v>
      </c>
      <c r="K1779" t="s">
        <v>24</v>
      </c>
      <c r="L1779" t="s">
        <v>25</v>
      </c>
      <c r="M1779" t="s">
        <v>61</v>
      </c>
      <c r="N1779" t="s">
        <v>38</v>
      </c>
      <c r="O1779">
        <v>752</v>
      </c>
      <c r="P1779">
        <v>115</v>
      </c>
      <c r="Q1779" t="s">
        <v>110</v>
      </c>
      <c r="R1779" t="s">
        <v>111</v>
      </c>
      <c r="S1779" t="s">
        <v>112</v>
      </c>
      <c r="T1779">
        <v>2022</v>
      </c>
      <c r="U1779" t="s">
        <v>109</v>
      </c>
    </row>
    <row r="1780" spans="1:21" x14ac:dyDescent="0.35">
      <c r="A1780" s="1">
        <v>46370</v>
      </c>
      <c r="B1780" t="s">
        <v>98</v>
      </c>
      <c r="C1780" t="s">
        <v>99</v>
      </c>
      <c r="D1780" t="s">
        <v>100</v>
      </c>
      <c r="E1780">
        <v>92</v>
      </c>
      <c r="F1780">
        <v>6</v>
      </c>
      <c r="G1780">
        <f t="shared" si="81"/>
        <v>552</v>
      </c>
      <c r="H1780">
        <v>4</v>
      </c>
      <c r="I1780">
        <f t="shared" si="82"/>
        <v>368</v>
      </c>
      <c r="J1780">
        <f t="shared" si="83"/>
        <v>184</v>
      </c>
      <c r="K1780" t="s">
        <v>42</v>
      </c>
      <c r="L1780" t="s">
        <v>63</v>
      </c>
      <c r="M1780" t="s">
        <v>26</v>
      </c>
      <c r="N1780" t="s">
        <v>38</v>
      </c>
      <c r="O1780">
        <v>680</v>
      </c>
      <c r="P1780">
        <v>92</v>
      </c>
      <c r="Q1780" t="s">
        <v>77</v>
      </c>
      <c r="R1780" t="s">
        <v>78</v>
      </c>
      <c r="S1780" t="s">
        <v>79</v>
      </c>
      <c r="T1780">
        <v>2024</v>
      </c>
      <c r="U1780" t="s">
        <v>31</v>
      </c>
    </row>
    <row r="1781" spans="1:21" x14ac:dyDescent="0.35">
      <c r="A1781" s="1">
        <v>46371</v>
      </c>
      <c r="B1781" t="s">
        <v>32</v>
      </c>
      <c r="C1781" t="s">
        <v>33</v>
      </c>
      <c r="D1781" t="s">
        <v>34</v>
      </c>
      <c r="E1781">
        <v>38</v>
      </c>
      <c r="F1781">
        <v>20</v>
      </c>
      <c r="G1781">
        <f t="shared" si="81"/>
        <v>760</v>
      </c>
      <c r="H1781">
        <v>12</v>
      </c>
      <c r="I1781">
        <f t="shared" si="82"/>
        <v>456</v>
      </c>
      <c r="J1781">
        <f t="shared" si="83"/>
        <v>304</v>
      </c>
      <c r="K1781" t="s">
        <v>24</v>
      </c>
      <c r="L1781" t="s">
        <v>63</v>
      </c>
      <c r="M1781" t="s">
        <v>61</v>
      </c>
      <c r="N1781" t="s">
        <v>38</v>
      </c>
      <c r="O1781">
        <v>981</v>
      </c>
      <c r="P1781">
        <v>38</v>
      </c>
      <c r="Q1781" t="s">
        <v>64</v>
      </c>
      <c r="R1781" t="s">
        <v>29</v>
      </c>
      <c r="S1781" t="s">
        <v>65</v>
      </c>
      <c r="T1781">
        <v>2024</v>
      </c>
      <c r="U1781" t="s">
        <v>53</v>
      </c>
    </row>
    <row r="1782" spans="1:21" x14ac:dyDescent="0.35">
      <c r="A1782" s="1">
        <v>46372</v>
      </c>
      <c r="B1782" t="s">
        <v>32</v>
      </c>
      <c r="C1782" t="s">
        <v>33</v>
      </c>
      <c r="D1782" t="s">
        <v>34</v>
      </c>
      <c r="E1782">
        <v>445</v>
      </c>
      <c r="F1782">
        <v>20</v>
      </c>
      <c r="G1782">
        <f t="shared" si="81"/>
        <v>8900</v>
      </c>
      <c r="H1782">
        <v>12</v>
      </c>
      <c r="I1782">
        <f t="shared" si="82"/>
        <v>5340</v>
      </c>
      <c r="J1782">
        <f t="shared" si="83"/>
        <v>3560</v>
      </c>
      <c r="K1782" t="s">
        <v>35</v>
      </c>
      <c r="L1782" t="s">
        <v>73</v>
      </c>
      <c r="M1782" t="s">
        <v>61</v>
      </c>
      <c r="N1782" t="s">
        <v>38</v>
      </c>
      <c r="O1782">
        <v>548</v>
      </c>
      <c r="P1782">
        <v>445</v>
      </c>
      <c r="Q1782" t="s">
        <v>94</v>
      </c>
      <c r="R1782" t="s">
        <v>75</v>
      </c>
      <c r="S1782" t="s">
        <v>95</v>
      </c>
      <c r="T1782">
        <v>2024</v>
      </c>
      <c r="U1782" t="s">
        <v>109</v>
      </c>
    </row>
    <row r="1783" spans="1:21" x14ac:dyDescent="0.35">
      <c r="A1783" s="1">
        <v>46373</v>
      </c>
      <c r="B1783" t="s">
        <v>80</v>
      </c>
      <c r="C1783" t="s">
        <v>81</v>
      </c>
      <c r="D1783" t="s">
        <v>82</v>
      </c>
      <c r="E1783">
        <v>27</v>
      </c>
      <c r="F1783">
        <v>2.5</v>
      </c>
      <c r="G1783">
        <f t="shared" si="81"/>
        <v>67.5</v>
      </c>
      <c r="H1783">
        <v>1.5</v>
      </c>
      <c r="I1783">
        <f t="shared" si="82"/>
        <v>40.5</v>
      </c>
      <c r="J1783">
        <f t="shared" si="83"/>
        <v>27</v>
      </c>
      <c r="K1783" t="s">
        <v>42</v>
      </c>
      <c r="L1783" t="s">
        <v>63</v>
      </c>
      <c r="M1783" t="s">
        <v>26</v>
      </c>
      <c r="N1783" t="s">
        <v>27</v>
      </c>
      <c r="O1783">
        <v>804</v>
      </c>
      <c r="P1783">
        <v>27</v>
      </c>
      <c r="Q1783" t="s">
        <v>44</v>
      </c>
      <c r="R1783" t="s">
        <v>45</v>
      </c>
      <c r="S1783" t="s">
        <v>46</v>
      </c>
      <c r="T1783">
        <v>2020</v>
      </c>
      <c r="U1783" t="s">
        <v>57</v>
      </c>
    </row>
    <row r="1784" spans="1:21" x14ac:dyDescent="0.35">
      <c r="A1784" s="1">
        <v>46374</v>
      </c>
      <c r="B1784" t="s">
        <v>21</v>
      </c>
      <c r="C1784" t="s">
        <v>22</v>
      </c>
      <c r="D1784" t="s">
        <v>23</v>
      </c>
      <c r="E1784">
        <v>400</v>
      </c>
      <c r="F1784">
        <v>8</v>
      </c>
      <c r="G1784">
        <f t="shared" si="81"/>
        <v>3200</v>
      </c>
      <c r="H1784">
        <v>5</v>
      </c>
      <c r="I1784">
        <f t="shared" si="82"/>
        <v>2000</v>
      </c>
      <c r="J1784">
        <f t="shared" si="83"/>
        <v>1200</v>
      </c>
      <c r="K1784" t="s">
        <v>42</v>
      </c>
      <c r="L1784" t="s">
        <v>25</v>
      </c>
      <c r="M1784" t="s">
        <v>37</v>
      </c>
      <c r="N1784" t="s">
        <v>27</v>
      </c>
      <c r="O1784">
        <v>710</v>
      </c>
      <c r="P1784">
        <v>400</v>
      </c>
      <c r="Q1784" t="s">
        <v>39</v>
      </c>
      <c r="R1784" t="s">
        <v>40</v>
      </c>
      <c r="S1784" t="s">
        <v>41</v>
      </c>
      <c r="T1784">
        <v>2021</v>
      </c>
      <c r="U1784" t="s">
        <v>62</v>
      </c>
    </row>
    <row r="1785" spans="1:21" x14ac:dyDescent="0.35">
      <c r="A1785" s="1">
        <v>46375</v>
      </c>
      <c r="B1785" t="s">
        <v>32</v>
      </c>
      <c r="C1785" t="s">
        <v>33</v>
      </c>
      <c r="D1785" t="s">
        <v>34</v>
      </c>
      <c r="E1785">
        <v>384</v>
      </c>
      <c r="F1785">
        <v>20</v>
      </c>
      <c r="G1785">
        <f t="shared" si="81"/>
        <v>7680</v>
      </c>
      <c r="H1785">
        <v>12</v>
      </c>
      <c r="I1785">
        <f t="shared" si="82"/>
        <v>4608</v>
      </c>
      <c r="J1785">
        <f t="shared" si="83"/>
        <v>3072</v>
      </c>
      <c r="K1785" t="s">
        <v>35</v>
      </c>
      <c r="L1785" t="s">
        <v>63</v>
      </c>
      <c r="M1785" t="s">
        <v>37</v>
      </c>
      <c r="N1785" t="s">
        <v>38</v>
      </c>
      <c r="O1785">
        <v>687</v>
      </c>
      <c r="P1785">
        <v>384</v>
      </c>
      <c r="Q1785" t="s">
        <v>94</v>
      </c>
      <c r="R1785" t="s">
        <v>75</v>
      </c>
      <c r="S1785" t="s">
        <v>95</v>
      </c>
      <c r="T1785">
        <v>2024</v>
      </c>
      <c r="U1785" t="s">
        <v>57</v>
      </c>
    </row>
    <row r="1786" spans="1:21" x14ac:dyDescent="0.35">
      <c r="A1786" s="1">
        <v>46376</v>
      </c>
      <c r="B1786" t="s">
        <v>98</v>
      </c>
      <c r="C1786" t="s">
        <v>99</v>
      </c>
      <c r="D1786" t="s">
        <v>100</v>
      </c>
      <c r="E1786">
        <v>318</v>
      </c>
      <c r="F1786">
        <v>6</v>
      </c>
      <c r="G1786">
        <f t="shared" si="81"/>
        <v>1908</v>
      </c>
      <c r="H1786">
        <v>4</v>
      </c>
      <c r="I1786">
        <f t="shared" si="82"/>
        <v>1272</v>
      </c>
      <c r="J1786">
        <f t="shared" si="83"/>
        <v>636</v>
      </c>
      <c r="K1786" t="s">
        <v>35</v>
      </c>
      <c r="L1786" t="s">
        <v>73</v>
      </c>
      <c r="M1786" t="s">
        <v>37</v>
      </c>
      <c r="N1786" t="s">
        <v>43</v>
      </c>
      <c r="O1786">
        <v>531</v>
      </c>
      <c r="P1786">
        <v>318</v>
      </c>
      <c r="Q1786" t="s">
        <v>83</v>
      </c>
      <c r="R1786" t="s">
        <v>84</v>
      </c>
      <c r="S1786" t="s">
        <v>85</v>
      </c>
      <c r="T1786">
        <v>2023</v>
      </c>
      <c r="U1786" t="s">
        <v>31</v>
      </c>
    </row>
    <row r="1787" spans="1:21" x14ac:dyDescent="0.35">
      <c r="A1787" s="1">
        <v>46377</v>
      </c>
      <c r="B1787" t="s">
        <v>98</v>
      </c>
      <c r="C1787" t="s">
        <v>99</v>
      </c>
      <c r="D1787" t="s">
        <v>100</v>
      </c>
      <c r="E1787">
        <v>46</v>
      </c>
      <c r="F1787">
        <v>6</v>
      </c>
      <c r="G1787">
        <f t="shared" si="81"/>
        <v>276</v>
      </c>
      <c r="H1787">
        <v>4</v>
      </c>
      <c r="I1787">
        <f t="shared" si="82"/>
        <v>184</v>
      </c>
      <c r="J1787">
        <f t="shared" si="83"/>
        <v>92</v>
      </c>
      <c r="K1787" t="s">
        <v>24</v>
      </c>
      <c r="L1787" t="s">
        <v>25</v>
      </c>
      <c r="M1787" t="s">
        <v>37</v>
      </c>
      <c r="N1787" t="s">
        <v>27</v>
      </c>
      <c r="O1787">
        <v>796</v>
      </c>
      <c r="P1787">
        <v>46</v>
      </c>
      <c r="Q1787" t="s">
        <v>51</v>
      </c>
      <c r="R1787" t="s">
        <v>45</v>
      </c>
      <c r="S1787" t="s">
        <v>52</v>
      </c>
      <c r="T1787">
        <v>2022</v>
      </c>
      <c r="U1787" t="s">
        <v>86</v>
      </c>
    </row>
    <row r="1788" spans="1:21" x14ac:dyDescent="0.35">
      <c r="A1788" s="1">
        <v>46378</v>
      </c>
      <c r="B1788" t="s">
        <v>58</v>
      </c>
      <c r="C1788" t="s">
        <v>59</v>
      </c>
      <c r="D1788" t="s">
        <v>60</v>
      </c>
      <c r="E1788">
        <v>461</v>
      </c>
      <c r="F1788">
        <v>5</v>
      </c>
      <c r="G1788">
        <f t="shared" si="81"/>
        <v>2305</v>
      </c>
      <c r="H1788">
        <v>3</v>
      </c>
      <c r="I1788">
        <f t="shared" si="82"/>
        <v>1383</v>
      </c>
      <c r="J1788">
        <f t="shared" si="83"/>
        <v>922</v>
      </c>
      <c r="K1788" t="s">
        <v>42</v>
      </c>
      <c r="L1788" t="s">
        <v>36</v>
      </c>
      <c r="M1788" t="s">
        <v>61</v>
      </c>
      <c r="N1788" t="s">
        <v>43</v>
      </c>
      <c r="O1788">
        <v>946</v>
      </c>
      <c r="P1788">
        <v>461</v>
      </c>
      <c r="Q1788" t="s">
        <v>67</v>
      </c>
      <c r="R1788" t="s">
        <v>68</v>
      </c>
      <c r="S1788" t="s">
        <v>69</v>
      </c>
      <c r="T1788">
        <v>2020</v>
      </c>
      <c r="U1788" t="s">
        <v>97</v>
      </c>
    </row>
    <row r="1789" spans="1:21" x14ac:dyDescent="0.35">
      <c r="A1789" s="1">
        <v>46379</v>
      </c>
      <c r="B1789" t="s">
        <v>48</v>
      </c>
      <c r="C1789" t="s">
        <v>49</v>
      </c>
      <c r="D1789" t="s">
        <v>50</v>
      </c>
      <c r="E1789">
        <v>109</v>
      </c>
      <c r="F1789">
        <v>150</v>
      </c>
      <c r="G1789">
        <f t="shared" si="81"/>
        <v>16350</v>
      </c>
      <c r="H1789">
        <v>100</v>
      </c>
      <c r="I1789">
        <f t="shared" si="82"/>
        <v>10900</v>
      </c>
      <c r="J1789">
        <f t="shared" si="83"/>
        <v>5450</v>
      </c>
      <c r="K1789" t="s">
        <v>35</v>
      </c>
      <c r="L1789" t="s">
        <v>73</v>
      </c>
      <c r="M1789" t="s">
        <v>61</v>
      </c>
      <c r="N1789" t="s">
        <v>38</v>
      </c>
      <c r="O1789">
        <v>821</v>
      </c>
      <c r="P1789">
        <v>109</v>
      </c>
      <c r="Q1789" t="s">
        <v>39</v>
      </c>
      <c r="R1789" t="s">
        <v>40</v>
      </c>
      <c r="S1789" t="s">
        <v>41</v>
      </c>
      <c r="T1789">
        <v>2024</v>
      </c>
      <c r="U1789" t="s">
        <v>109</v>
      </c>
    </row>
    <row r="1790" spans="1:21" x14ac:dyDescent="0.35">
      <c r="A1790" s="1">
        <v>46380</v>
      </c>
      <c r="B1790" t="s">
        <v>80</v>
      </c>
      <c r="C1790" t="s">
        <v>81</v>
      </c>
      <c r="D1790" t="s">
        <v>82</v>
      </c>
      <c r="E1790">
        <v>363</v>
      </c>
      <c r="F1790">
        <v>2.5</v>
      </c>
      <c r="G1790">
        <f t="shared" si="81"/>
        <v>907.5</v>
      </c>
      <c r="H1790">
        <v>1.5</v>
      </c>
      <c r="I1790">
        <f t="shared" si="82"/>
        <v>544.5</v>
      </c>
      <c r="J1790">
        <f t="shared" si="83"/>
        <v>363</v>
      </c>
      <c r="K1790" t="s">
        <v>42</v>
      </c>
      <c r="L1790" t="s">
        <v>63</v>
      </c>
      <c r="M1790" t="s">
        <v>26</v>
      </c>
      <c r="N1790" t="s">
        <v>27</v>
      </c>
      <c r="O1790">
        <v>608</v>
      </c>
      <c r="P1790">
        <v>363</v>
      </c>
      <c r="Q1790" t="s">
        <v>54</v>
      </c>
      <c r="R1790" t="s">
        <v>55</v>
      </c>
      <c r="S1790" t="s">
        <v>56</v>
      </c>
      <c r="T1790">
        <v>2021</v>
      </c>
      <c r="U1790" t="s">
        <v>57</v>
      </c>
    </row>
    <row r="1791" spans="1:21" x14ac:dyDescent="0.35">
      <c r="A1791" s="1">
        <v>46381</v>
      </c>
      <c r="B1791" t="s">
        <v>21</v>
      </c>
      <c r="C1791" t="s">
        <v>22</v>
      </c>
      <c r="D1791" t="s">
        <v>23</v>
      </c>
      <c r="E1791">
        <v>302</v>
      </c>
      <c r="F1791">
        <v>8</v>
      </c>
      <c r="G1791">
        <f t="shared" si="81"/>
        <v>2416</v>
      </c>
      <c r="H1791">
        <v>5</v>
      </c>
      <c r="I1791">
        <f t="shared" si="82"/>
        <v>1510</v>
      </c>
      <c r="J1791">
        <f t="shared" si="83"/>
        <v>906</v>
      </c>
      <c r="K1791" t="s">
        <v>35</v>
      </c>
      <c r="L1791" t="s">
        <v>36</v>
      </c>
      <c r="M1791" t="s">
        <v>61</v>
      </c>
      <c r="N1791" t="s">
        <v>43</v>
      </c>
      <c r="O1791">
        <v>789</v>
      </c>
      <c r="P1791">
        <v>302</v>
      </c>
      <c r="Q1791" t="s">
        <v>64</v>
      </c>
      <c r="R1791" t="s">
        <v>29</v>
      </c>
      <c r="S1791" t="s">
        <v>65</v>
      </c>
      <c r="T1791">
        <v>2022</v>
      </c>
      <c r="U1791" t="s">
        <v>66</v>
      </c>
    </row>
    <row r="1792" spans="1:21" x14ac:dyDescent="0.35">
      <c r="A1792" s="1">
        <v>46382</v>
      </c>
      <c r="B1792" t="s">
        <v>80</v>
      </c>
      <c r="C1792" t="s">
        <v>81</v>
      </c>
      <c r="D1792" t="s">
        <v>82</v>
      </c>
      <c r="E1792">
        <v>397</v>
      </c>
      <c r="F1792">
        <v>2.5</v>
      </c>
      <c r="G1792">
        <f t="shared" si="81"/>
        <v>992.5</v>
      </c>
      <c r="H1792">
        <v>1.5</v>
      </c>
      <c r="I1792">
        <f t="shared" si="82"/>
        <v>595.5</v>
      </c>
      <c r="J1792">
        <f t="shared" si="83"/>
        <v>397</v>
      </c>
      <c r="K1792" t="s">
        <v>42</v>
      </c>
      <c r="L1792" t="s">
        <v>36</v>
      </c>
      <c r="M1792" t="s">
        <v>61</v>
      </c>
      <c r="N1792" t="s">
        <v>43</v>
      </c>
      <c r="O1792">
        <v>927</v>
      </c>
      <c r="P1792">
        <v>397</v>
      </c>
      <c r="Q1792" t="s">
        <v>90</v>
      </c>
      <c r="R1792" t="s">
        <v>55</v>
      </c>
      <c r="S1792" t="s">
        <v>85</v>
      </c>
      <c r="T1792">
        <v>2023</v>
      </c>
      <c r="U1792" t="s">
        <v>105</v>
      </c>
    </row>
    <row r="1793" spans="1:21" x14ac:dyDescent="0.35">
      <c r="A1793" s="1">
        <v>46383</v>
      </c>
      <c r="B1793" t="s">
        <v>58</v>
      </c>
      <c r="C1793" t="s">
        <v>59</v>
      </c>
      <c r="D1793" t="s">
        <v>60</v>
      </c>
      <c r="E1793">
        <v>398</v>
      </c>
      <c r="F1793">
        <v>5</v>
      </c>
      <c r="G1793">
        <f t="shared" si="81"/>
        <v>1990</v>
      </c>
      <c r="H1793">
        <v>3</v>
      </c>
      <c r="I1793">
        <f t="shared" si="82"/>
        <v>1194</v>
      </c>
      <c r="J1793">
        <f t="shared" si="83"/>
        <v>796</v>
      </c>
      <c r="K1793" t="s">
        <v>24</v>
      </c>
      <c r="L1793" t="s">
        <v>36</v>
      </c>
      <c r="M1793" t="s">
        <v>26</v>
      </c>
      <c r="N1793" t="s">
        <v>27</v>
      </c>
      <c r="O1793">
        <v>710</v>
      </c>
      <c r="P1793">
        <v>398</v>
      </c>
      <c r="Q1793" t="s">
        <v>113</v>
      </c>
      <c r="R1793" t="s">
        <v>114</v>
      </c>
      <c r="S1793" t="s">
        <v>115</v>
      </c>
      <c r="T1793">
        <v>2020</v>
      </c>
      <c r="U1793" t="s">
        <v>57</v>
      </c>
    </row>
    <row r="1794" spans="1:21" x14ac:dyDescent="0.35">
      <c r="A1794" s="1">
        <v>46384</v>
      </c>
      <c r="B1794" t="s">
        <v>58</v>
      </c>
      <c r="C1794" t="s">
        <v>59</v>
      </c>
      <c r="D1794" t="s">
        <v>60</v>
      </c>
      <c r="E1794">
        <v>30</v>
      </c>
      <c r="F1794">
        <v>5</v>
      </c>
      <c r="G1794">
        <f t="shared" si="81"/>
        <v>150</v>
      </c>
      <c r="H1794">
        <v>3</v>
      </c>
      <c r="I1794">
        <f t="shared" si="82"/>
        <v>90</v>
      </c>
      <c r="J1794">
        <f t="shared" si="83"/>
        <v>60</v>
      </c>
      <c r="K1794" t="s">
        <v>24</v>
      </c>
      <c r="L1794" t="s">
        <v>73</v>
      </c>
      <c r="M1794" t="s">
        <v>26</v>
      </c>
      <c r="N1794" t="s">
        <v>43</v>
      </c>
      <c r="O1794">
        <v>771</v>
      </c>
      <c r="P1794">
        <v>30</v>
      </c>
      <c r="Q1794" t="s">
        <v>77</v>
      </c>
      <c r="R1794" t="s">
        <v>78</v>
      </c>
      <c r="S1794" t="s">
        <v>79</v>
      </c>
      <c r="T1794">
        <v>2023</v>
      </c>
      <c r="U1794" t="s">
        <v>57</v>
      </c>
    </row>
    <row r="1795" spans="1:21" x14ac:dyDescent="0.35">
      <c r="A1795" s="1">
        <v>46385</v>
      </c>
      <c r="B1795" t="s">
        <v>80</v>
      </c>
      <c r="C1795" t="s">
        <v>81</v>
      </c>
      <c r="D1795" t="s">
        <v>82</v>
      </c>
      <c r="E1795">
        <v>196</v>
      </c>
      <c r="F1795">
        <v>2.5</v>
      </c>
      <c r="G1795">
        <f t="shared" ref="G1795:G1858" si="84">E1795*F1795</f>
        <v>490</v>
      </c>
      <c r="H1795">
        <v>1.5</v>
      </c>
      <c r="I1795">
        <f t="shared" ref="I1795:I1858" si="85">E1795*H1795</f>
        <v>294</v>
      </c>
      <c r="J1795">
        <f t="shared" ref="J1795:J1858" si="86">G1795-I1795</f>
        <v>196</v>
      </c>
      <c r="K1795" t="s">
        <v>42</v>
      </c>
      <c r="L1795" t="s">
        <v>36</v>
      </c>
      <c r="M1795" t="s">
        <v>37</v>
      </c>
      <c r="N1795" t="s">
        <v>27</v>
      </c>
      <c r="O1795">
        <v>823</v>
      </c>
      <c r="P1795">
        <v>196</v>
      </c>
      <c r="Q1795" t="s">
        <v>94</v>
      </c>
      <c r="R1795" t="s">
        <v>75</v>
      </c>
      <c r="S1795" t="s">
        <v>95</v>
      </c>
      <c r="T1795">
        <v>2021</v>
      </c>
      <c r="U1795" t="s">
        <v>53</v>
      </c>
    </row>
    <row r="1796" spans="1:21" x14ac:dyDescent="0.35">
      <c r="A1796" s="1">
        <v>46386</v>
      </c>
      <c r="B1796" t="s">
        <v>48</v>
      </c>
      <c r="C1796" t="s">
        <v>49</v>
      </c>
      <c r="D1796" t="s">
        <v>50</v>
      </c>
      <c r="E1796">
        <v>236</v>
      </c>
      <c r="F1796">
        <v>150</v>
      </c>
      <c r="G1796">
        <f t="shared" si="84"/>
        <v>35400</v>
      </c>
      <c r="H1796">
        <v>100</v>
      </c>
      <c r="I1796">
        <f t="shared" si="85"/>
        <v>23600</v>
      </c>
      <c r="J1796">
        <f t="shared" si="86"/>
        <v>11800</v>
      </c>
      <c r="K1796" t="s">
        <v>42</v>
      </c>
      <c r="L1796" t="s">
        <v>63</v>
      </c>
      <c r="M1796" t="s">
        <v>26</v>
      </c>
      <c r="N1796" t="s">
        <v>43</v>
      </c>
      <c r="O1796">
        <v>690</v>
      </c>
      <c r="P1796">
        <v>236</v>
      </c>
      <c r="Q1796" t="s">
        <v>28</v>
      </c>
      <c r="R1796" t="s">
        <v>29</v>
      </c>
      <c r="S1796" t="s">
        <v>30</v>
      </c>
      <c r="T1796">
        <v>2022</v>
      </c>
      <c r="U1796" t="s">
        <v>109</v>
      </c>
    </row>
    <row r="1797" spans="1:21" x14ac:dyDescent="0.35">
      <c r="A1797" s="1">
        <v>46387</v>
      </c>
      <c r="B1797" t="s">
        <v>58</v>
      </c>
      <c r="C1797" t="s">
        <v>59</v>
      </c>
      <c r="D1797" t="s">
        <v>60</v>
      </c>
      <c r="E1797">
        <v>117</v>
      </c>
      <c r="F1797">
        <v>5</v>
      </c>
      <c r="G1797">
        <f t="shared" si="84"/>
        <v>585</v>
      </c>
      <c r="H1797">
        <v>3</v>
      </c>
      <c r="I1797">
        <f t="shared" si="85"/>
        <v>351</v>
      </c>
      <c r="J1797">
        <f t="shared" si="86"/>
        <v>234</v>
      </c>
      <c r="K1797" t="s">
        <v>35</v>
      </c>
      <c r="L1797" t="s">
        <v>73</v>
      </c>
      <c r="M1797" t="s">
        <v>61</v>
      </c>
      <c r="N1797" t="s">
        <v>38</v>
      </c>
      <c r="O1797">
        <v>663</v>
      </c>
      <c r="P1797">
        <v>117</v>
      </c>
      <c r="Q1797" t="s">
        <v>101</v>
      </c>
      <c r="R1797" t="s">
        <v>101</v>
      </c>
      <c r="S1797" t="s">
        <v>102</v>
      </c>
      <c r="T1797">
        <v>2023</v>
      </c>
      <c r="U1797" t="s">
        <v>105</v>
      </c>
    </row>
    <row r="1798" spans="1:21" x14ac:dyDescent="0.35">
      <c r="A1798" s="1">
        <v>46388</v>
      </c>
      <c r="B1798" t="s">
        <v>98</v>
      </c>
      <c r="C1798" t="s">
        <v>99</v>
      </c>
      <c r="D1798" t="s">
        <v>100</v>
      </c>
      <c r="E1798">
        <v>171</v>
      </c>
      <c r="F1798">
        <v>6</v>
      </c>
      <c r="G1798">
        <f t="shared" si="84"/>
        <v>1026</v>
      </c>
      <c r="H1798">
        <v>4</v>
      </c>
      <c r="I1798">
        <f t="shared" si="85"/>
        <v>684</v>
      </c>
      <c r="J1798">
        <f t="shared" si="86"/>
        <v>342</v>
      </c>
      <c r="K1798" t="s">
        <v>24</v>
      </c>
      <c r="L1798" t="s">
        <v>73</v>
      </c>
      <c r="M1798" t="s">
        <v>61</v>
      </c>
      <c r="N1798" t="s">
        <v>38</v>
      </c>
      <c r="O1798">
        <v>723</v>
      </c>
      <c r="P1798">
        <v>171</v>
      </c>
      <c r="Q1798" t="s">
        <v>90</v>
      </c>
      <c r="R1798" t="s">
        <v>55</v>
      </c>
      <c r="S1798" t="s">
        <v>85</v>
      </c>
      <c r="T1798">
        <v>2023</v>
      </c>
      <c r="U1798" t="s">
        <v>66</v>
      </c>
    </row>
    <row r="1799" spans="1:21" x14ac:dyDescent="0.35">
      <c r="A1799" s="1">
        <v>46389</v>
      </c>
      <c r="B1799" t="s">
        <v>48</v>
      </c>
      <c r="C1799" t="s">
        <v>49</v>
      </c>
      <c r="D1799" t="s">
        <v>50</v>
      </c>
      <c r="E1799">
        <v>402</v>
      </c>
      <c r="F1799">
        <v>150</v>
      </c>
      <c r="G1799">
        <f t="shared" si="84"/>
        <v>60300</v>
      </c>
      <c r="H1799">
        <v>100</v>
      </c>
      <c r="I1799">
        <f t="shared" si="85"/>
        <v>40200</v>
      </c>
      <c r="J1799">
        <f t="shared" si="86"/>
        <v>20100</v>
      </c>
      <c r="K1799" t="s">
        <v>35</v>
      </c>
      <c r="L1799" t="s">
        <v>25</v>
      </c>
      <c r="M1799" t="s">
        <v>26</v>
      </c>
      <c r="N1799" t="s">
        <v>38</v>
      </c>
      <c r="O1799">
        <v>934</v>
      </c>
      <c r="P1799">
        <v>402</v>
      </c>
      <c r="Q1799" t="s">
        <v>83</v>
      </c>
      <c r="R1799" t="s">
        <v>84</v>
      </c>
      <c r="S1799" t="s">
        <v>85</v>
      </c>
      <c r="T1799">
        <v>2023</v>
      </c>
      <c r="U1799" t="s">
        <v>96</v>
      </c>
    </row>
    <row r="1800" spans="1:21" x14ac:dyDescent="0.35">
      <c r="A1800" s="1">
        <v>46390</v>
      </c>
      <c r="B1800" t="s">
        <v>98</v>
      </c>
      <c r="C1800" t="s">
        <v>99</v>
      </c>
      <c r="D1800" t="s">
        <v>100</v>
      </c>
      <c r="E1800">
        <v>393</v>
      </c>
      <c r="F1800">
        <v>6</v>
      </c>
      <c r="G1800">
        <f t="shared" si="84"/>
        <v>2358</v>
      </c>
      <c r="H1800">
        <v>4</v>
      </c>
      <c r="I1800">
        <f t="shared" si="85"/>
        <v>1572</v>
      </c>
      <c r="J1800">
        <f t="shared" si="86"/>
        <v>786</v>
      </c>
      <c r="K1800" t="s">
        <v>24</v>
      </c>
      <c r="L1800" t="s">
        <v>25</v>
      </c>
      <c r="M1800" t="s">
        <v>37</v>
      </c>
      <c r="N1800" t="s">
        <v>27</v>
      </c>
      <c r="O1800">
        <v>792</v>
      </c>
      <c r="P1800">
        <v>393</v>
      </c>
      <c r="Q1800" t="s">
        <v>51</v>
      </c>
      <c r="R1800" t="s">
        <v>45</v>
      </c>
      <c r="S1800" t="s">
        <v>52</v>
      </c>
      <c r="T1800">
        <v>2022</v>
      </c>
      <c r="U1800" t="s">
        <v>66</v>
      </c>
    </row>
    <row r="1801" spans="1:21" x14ac:dyDescent="0.35">
      <c r="A1801" s="1">
        <v>46391</v>
      </c>
      <c r="B1801" t="s">
        <v>21</v>
      </c>
      <c r="C1801" t="s">
        <v>22</v>
      </c>
      <c r="D1801" t="s">
        <v>23</v>
      </c>
      <c r="E1801">
        <v>111</v>
      </c>
      <c r="F1801">
        <v>8</v>
      </c>
      <c r="G1801">
        <f t="shared" si="84"/>
        <v>888</v>
      </c>
      <c r="H1801">
        <v>5</v>
      </c>
      <c r="I1801">
        <f t="shared" si="85"/>
        <v>555</v>
      </c>
      <c r="J1801">
        <f t="shared" si="86"/>
        <v>333</v>
      </c>
      <c r="K1801" t="s">
        <v>35</v>
      </c>
      <c r="L1801" t="s">
        <v>63</v>
      </c>
      <c r="M1801" t="s">
        <v>61</v>
      </c>
      <c r="N1801" t="s">
        <v>27</v>
      </c>
      <c r="O1801">
        <v>966</v>
      </c>
      <c r="P1801">
        <v>111</v>
      </c>
      <c r="Q1801" t="s">
        <v>106</v>
      </c>
      <c r="R1801" t="s">
        <v>107</v>
      </c>
      <c r="S1801" t="s">
        <v>108</v>
      </c>
      <c r="T1801">
        <v>2024</v>
      </c>
      <c r="U1801" t="s">
        <v>86</v>
      </c>
    </row>
    <row r="1802" spans="1:21" x14ac:dyDescent="0.35">
      <c r="A1802" s="1">
        <v>46392</v>
      </c>
      <c r="B1802" t="s">
        <v>48</v>
      </c>
      <c r="C1802" t="s">
        <v>49</v>
      </c>
      <c r="D1802" t="s">
        <v>50</v>
      </c>
      <c r="E1802">
        <v>136</v>
      </c>
      <c r="F1802">
        <v>150</v>
      </c>
      <c r="G1802">
        <f t="shared" si="84"/>
        <v>20400</v>
      </c>
      <c r="H1802">
        <v>100</v>
      </c>
      <c r="I1802">
        <f t="shared" si="85"/>
        <v>13600</v>
      </c>
      <c r="J1802">
        <f t="shared" si="86"/>
        <v>6800</v>
      </c>
      <c r="K1802" t="s">
        <v>42</v>
      </c>
      <c r="L1802" t="s">
        <v>36</v>
      </c>
      <c r="M1802" t="s">
        <v>37</v>
      </c>
      <c r="N1802" t="s">
        <v>43</v>
      </c>
      <c r="O1802">
        <v>935</v>
      </c>
      <c r="P1802">
        <v>136</v>
      </c>
      <c r="Q1802" t="s">
        <v>106</v>
      </c>
      <c r="R1802" t="s">
        <v>107</v>
      </c>
      <c r="S1802" t="s">
        <v>108</v>
      </c>
      <c r="T1802">
        <v>2022</v>
      </c>
      <c r="U1802" t="s">
        <v>91</v>
      </c>
    </row>
    <row r="1803" spans="1:21" x14ac:dyDescent="0.35">
      <c r="A1803" s="1">
        <v>46393</v>
      </c>
      <c r="B1803" t="s">
        <v>21</v>
      </c>
      <c r="C1803" t="s">
        <v>22</v>
      </c>
      <c r="D1803" t="s">
        <v>23</v>
      </c>
      <c r="E1803">
        <v>296</v>
      </c>
      <c r="F1803">
        <v>8</v>
      </c>
      <c r="G1803">
        <f t="shared" si="84"/>
        <v>2368</v>
      </c>
      <c r="H1803">
        <v>5</v>
      </c>
      <c r="I1803">
        <f t="shared" si="85"/>
        <v>1480</v>
      </c>
      <c r="J1803">
        <f t="shared" si="86"/>
        <v>888</v>
      </c>
      <c r="K1803" t="s">
        <v>35</v>
      </c>
      <c r="L1803" t="s">
        <v>25</v>
      </c>
      <c r="M1803" t="s">
        <v>26</v>
      </c>
      <c r="N1803" t="s">
        <v>27</v>
      </c>
      <c r="O1803">
        <v>930</v>
      </c>
      <c r="P1803">
        <v>296</v>
      </c>
      <c r="Q1803" t="s">
        <v>39</v>
      </c>
      <c r="R1803" t="s">
        <v>40</v>
      </c>
      <c r="S1803" t="s">
        <v>41</v>
      </c>
      <c r="T1803">
        <v>2021</v>
      </c>
      <c r="U1803" t="s">
        <v>62</v>
      </c>
    </row>
    <row r="1804" spans="1:21" x14ac:dyDescent="0.35">
      <c r="A1804" s="1">
        <v>46394</v>
      </c>
      <c r="B1804" t="s">
        <v>21</v>
      </c>
      <c r="C1804" t="s">
        <v>22</v>
      </c>
      <c r="D1804" t="s">
        <v>23</v>
      </c>
      <c r="E1804">
        <v>199</v>
      </c>
      <c r="F1804">
        <v>8</v>
      </c>
      <c r="G1804">
        <f t="shared" si="84"/>
        <v>1592</v>
      </c>
      <c r="H1804">
        <v>5</v>
      </c>
      <c r="I1804">
        <f t="shared" si="85"/>
        <v>995</v>
      </c>
      <c r="J1804">
        <f t="shared" si="86"/>
        <v>597</v>
      </c>
      <c r="K1804" t="s">
        <v>35</v>
      </c>
      <c r="L1804" t="s">
        <v>36</v>
      </c>
      <c r="M1804" t="s">
        <v>26</v>
      </c>
      <c r="N1804" t="s">
        <v>27</v>
      </c>
      <c r="O1804">
        <v>726</v>
      </c>
      <c r="P1804">
        <v>199</v>
      </c>
      <c r="Q1804" t="s">
        <v>110</v>
      </c>
      <c r="R1804" t="s">
        <v>111</v>
      </c>
      <c r="S1804" t="s">
        <v>112</v>
      </c>
      <c r="T1804">
        <v>2024</v>
      </c>
      <c r="U1804" t="s">
        <v>109</v>
      </c>
    </row>
    <row r="1805" spans="1:21" x14ac:dyDescent="0.35">
      <c r="A1805" s="1">
        <v>46395</v>
      </c>
      <c r="B1805" t="s">
        <v>48</v>
      </c>
      <c r="C1805" t="s">
        <v>49</v>
      </c>
      <c r="D1805" t="s">
        <v>50</v>
      </c>
      <c r="E1805">
        <v>422</v>
      </c>
      <c r="F1805">
        <v>150</v>
      </c>
      <c r="G1805">
        <f t="shared" si="84"/>
        <v>63300</v>
      </c>
      <c r="H1805">
        <v>100</v>
      </c>
      <c r="I1805">
        <f t="shared" si="85"/>
        <v>42200</v>
      </c>
      <c r="J1805">
        <f t="shared" si="86"/>
        <v>21100</v>
      </c>
      <c r="K1805" t="s">
        <v>42</v>
      </c>
      <c r="L1805" t="s">
        <v>25</v>
      </c>
      <c r="M1805" t="s">
        <v>37</v>
      </c>
      <c r="N1805" t="s">
        <v>27</v>
      </c>
      <c r="O1805">
        <v>698</v>
      </c>
      <c r="P1805">
        <v>422</v>
      </c>
      <c r="Q1805" t="s">
        <v>87</v>
      </c>
      <c r="R1805" t="s">
        <v>88</v>
      </c>
      <c r="S1805" t="s">
        <v>89</v>
      </c>
      <c r="T1805">
        <v>2021</v>
      </c>
      <c r="U1805" t="s">
        <v>105</v>
      </c>
    </row>
    <row r="1806" spans="1:21" x14ac:dyDescent="0.35">
      <c r="A1806" s="1">
        <v>46396</v>
      </c>
      <c r="B1806" t="s">
        <v>48</v>
      </c>
      <c r="C1806" t="s">
        <v>49</v>
      </c>
      <c r="D1806" t="s">
        <v>50</v>
      </c>
      <c r="E1806">
        <v>297</v>
      </c>
      <c r="F1806">
        <v>150</v>
      </c>
      <c r="G1806">
        <f t="shared" si="84"/>
        <v>44550</v>
      </c>
      <c r="H1806">
        <v>100</v>
      </c>
      <c r="I1806">
        <f t="shared" si="85"/>
        <v>29700</v>
      </c>
      <c r="J1806">
        <f t="shared" si="86"/>
        <v>14850</v>
      </c>
      <c r="K1806" t="s">
        <v>24</v>
      </c>
      <c r="L1806" t="s">
        <v>73</v>
      </c>
      <c r="M1806" t="s">
        <v>61</v>
      </c>
      <c r="N1806" t="s">
        <v>27</v>
      </c>
      <c r="O1806">
        <v>913</v>
      </c>
      <c r="P1806">
        <v>297</v>
      </c>
      <c r="Q1806" t="s">
        <v>44</v>
      </c>
      <c r="R1806" t="s">
        <v>45</v>
      </c>
      <c r="S1806" t="s">
        <v>46</v>
      </c>
      <c r="T1806">
        <v>2022</v>
      </c>
      <c r="U1806" t="s">
        <v>31</v>
      </c>
    </row>
    <row r="1807" spans="1:21" x14ac:dyDescent="0.35">
      <c r="A1807" s="1">
        <v>46397</v>
      </c>
      <c r="B1807" t="s">
        <v>32</v>
      </c>
      <c r="C1807" t="s">
        <v>33</v>
      </c>
      <c r="D1807" t="s">
        <v>34</v>
      </c>
      <c r="E1807">
        <v>174</v>
      </c>
      <c r="F1807">
        <v>20</v>
      </c>
      <c r="G1807">
        <f t="shared" si="84"/>
        <v>3480</v>
      </c>
      <c r="H1807">
        <v>12</v>
      </c>
      <c r="I1807">
        <f t="shared" si="85"/>
        <v>2088</v>
      </c>
      <c r="J1807">
        <f t="shared" si="86"/>
        <v>1392</v>
      </c>
      <c r="K1807" t="s">
        <v>24</v>
      </c>
      <c r="L1807" t="s">
        <v>25</v>
      </c>
      <c r="M1807" t="s">
        <v>61</v>
      </c>
      <c r="N1807" t="s">
        <v>43</v>
      </c>
      <c r="O1807">
        <v>539</v>
      </c>
      <c r="P1807">
        <v>174</v>
      </c>
      <c r="Q1807" t="s">
        <v>74</v>
      </c>
      <c r="R1807" t="s">
        <v>75</v>
      </c>
      <c r="S1807" t="s">
        <v>76</v>
      </c>
      <c r="T1807">
        <v>2020</v>
      </c>
      <c r="U1807" t="s">
        <v>97</v>
      </c>
    </row>
    <row r="1808" spans="1:21" x14ac:dyDescent="0.35">
      <c r="A1808" s="1">
        <v>46398</v>
      </c>
      <c r="B1808" t="s">
        <v>32</v>
      </c>
      <c r="C1808" t="s">
        <v>33</v>
      </c>
      <c r="D1808" t="s">
        <v>34</v>
      </c>
      <c r="E1808">
        <v>400</v>
      </c>
      <c r="F1808">
        <v>20</v>
      </c>
      <c r="G1808">
        <f t="shared" si="84"/>
        <v>8000</v>
      </c>
      <c r="H1808">
        <v>12</v>
      </c>
      <c r="I1808">
        <f t="shared" si="85"/>
        <v>4800</v>
      </c>
      <c r="J1808">
        <f t="shared" si="86"/>
        <v>3200</v>
      </c>
      <c r="K1808" t="s">
        <v>24</v>
      </c>
      <c r="L1808" t="s">
        <v>36</v>
      </c>
      <c r="M1808" t="s">
        <v>61</v>
      </c>
      <c r="N1808" t="s">
        <v>38</v>
      </c>
      <c r="O1808">
        <v>893</v>
      </c>
      <c r="P1808">
        <v>400</v>
      </c>
      <c r="Q1808" t="s">
        <v>87</v>
      </c>
      <c r="R1808" t="s">
        <v>88</v>
      </c>
      <c r="S1808" t="s">
        <v>89</v>
      </c>
      <c r="T1808">
        <v>2024</v>
      </c>
      <c r="U1808" t="s">
        <v>57</v>
      </c>
    </row>
    <row r="1809" spans="1:21" x14ac:dyDescent="0.35">
      <c r="A1809" s="1">
        <v>46399</v>
      </c>
      <c r="B1809" t="s">
        <v>58</v>
      </c>
      <c r="C1809" t="s">
        <v>59</v>
      </c>
      <c r="D1809" t="s">
        <v>60</v>
      </c>
      <c r="E1809">
        <v>442</v>
      </c>
      <c r="F1809">
        <v>5</v>
      </c>
      <c r="G1809">
        <f t="shared" si="84"/>
        <v>2210</v>
      </c>
      <c r="H1809">
        <v>3</v>
      </c>
      <c r="I1809">
        <f t="shared" si="85"/>
        <v>1326</v>
      </c>
      <c r="J1809">
        <f t="shared" si="86"/>
        <v>884</v>
      </c>
      <c r="K1809" t="s">
        <v>35</v>
      </c>
      <c r="L1809" t="s">
        <v>63</v>
      </c>
      <c r="M1809" t="s">
        <v>37</v>
      </c>
      <c r="N1809" t="s">
        <v>38</v>
      </c>
      <c r="O1809">
        <v>908</v>
      </c>
      <c r="P1809">
        <v>442</v>
      </c>
      <c r="Q1809" t="s">
        <v>44</v>
      </c>
      <c r="R1809" t="s">
        <v>45</v>
      </c>
      <c r="S1809" t="s">
        <v>46</v>
      </c>
      <c r="T1809">
        <v>2022</v>
      </c>
      <c r="U1809" t="s">
        <v>109</v>
      </c>
    </row>
    <row r="1810" spans="1:21" x14ac:dyDescent="0.35">
      <c r="A1810" s="1">
        <v>46400</v>
      </c>
      <c r="B1810" t="s">
        <v>80</v>
      </c>
      <c r="C1810" t="s">
        <v>81</v>
      </c>
      <c r="D1810" t="s">
        <v>82</v>
      </c>
      <c r="E1810">
        <v>100</v>
      </c>
      <c r="F1810">
        <v>2.5</v>
      </c>
      <c r="G1810">
        <f t="shared" si="84"/>
        <v>250</v>
      </c>
      <c r="H1810">
        <v>1.5</v>
      </c>
      <c r="I1810">
        <f t="shared" si="85"/>
        <v>150</v>
      </c>
      <c r="J1810">
        <f t="shared" si="86"/>
        <v>100</v>
      </c>
      <c r="K1810" t="s">
        <v>35</v>
      </c>
      <c r="L1810" t="s">
        <v>63</v>
      </c>
      <c r="M1810" t="s">
        <v>26</v>
      </c>
      <c r="N1810" t="s">
        <v>43</v>
      </c>
      <c r="O1810">
        <v>911</v>
      </c>
      <c r="P1810">
        <v>100</v>
      </c>
      <c r="Q1810" t="s">
        <v>113</v>
      </c>
      <c r="R1810" t="s">
        <v>114</v>
      </c>
      <c r="S1810" t="s">
        <v>115</v>
      </c>
      <c r="T1810">
        <v>2022</v>
      </c>
      <c r="U1810" t="s">
        <v>91</v>
      </c>
    </row>
    <row r="1811" spans="1:21" x14ac:dyDescent="0.35">
      <c r="A1811" s="1">
        <v>46401</v>
      </c>
      <c r="B1811" t="s">
        <v>58</v>
      </c>
      <c r="C1811" t="s">
        <v>59</v>
      </c>
      <c r="D1811" t="s">
        <v>60</v>
      </c>
      <c r="E1811">
        <v>366</v>
      </c>
      <c r="F1811">
        <v>5</v>
      </c>
      <c r="G1811">
        <f t="shared" si="84"/>
        <v>1830</v>
      </c>
      <c r="H1811">
        <v>3</v>
      </c>
      <c r="I1811">
        <f t="shared" si="85"/>
        <v>1098</v>
      </c>
      <c r="J1811">
        <f t="shared" si="86"/>
        <v>732</v>
      </c>
      <c r="K1811" t="s">
        <v>35</v>
      </c>
      <c r="L1811" t="s">
        <v>36</v>
      </c>
      <c r="M1811" t="s">
        <v>37</v>
      </c>
      <c r="N1811" t="s">
        <v>27</v>
      </c>
      <c r="O1811">
        <v>814</v>
      </c>
      <c r="P1811">
        <v>366</v>
      </c>
      <c r="Q1811" t="s">
        <v>94</v>
      </c>
      <c r="R1811" t="s">
        <v>75</v>
      </c>
      <c r="S1811" t="s">
        <v>95</v>
      </c>
      <c r="T1811">
        <v>2020</v>
      </c>
      <c r="U1811" t="s">
        <v>31</v>
      </c>
    </row>
    <row r="1812" spans="1:21" x14ac:dyDescent="0.35">
      <c r="A1812" s="1">
        <v>46402</v>
      </c>
      <c r="B1812" t="s">
        <v>58</v>
      </c>
      <c r="C1812" t="s">
        <v>59</v>
      </c>
      <c r="D1812" t="s">
        <v>60</v>
      </c>
      <c r="E1812">
        <v>139</v>
      </c>
      <c r="F1812">
        <v>5</v>
      </c>
      <c r="G1812">
        <f t="shared" si="84"/>
        <v>695</v>
      </c>
      <c r="H1812">
        <v>3</v>
      </c>
      <c r="I1812">
        <f t="shared" si="85"/>
        <v>417</v>
      </c>
      <c r="J1812">
        <f t="shared" si="86"/>
        <v>278</v>
      </c>
      <c r="K1812" t="s">
        <v>24</v>
      </c>
      <c r="L1812" t="s">
        <v>36</v>
      </c>
      <c r="M1812" t="s">
        <v>26</v>
      </c>
      <c r="N1812" t="s">
        <v>27</v>
      </c>
      <c r="O1812">
        <v>749</v>
      </c>
      <c r="P1812">
        <v>139</v>
      </c>
      <c r="Q1812" t="s">
        <v>103</v>
      </c>
      <c r="R1812" t="s">
        <v>68</v>
      </c>
      <c r="S1812" t="s">
        <v>104</v>
      </c>
      <c r="T1812">
        <v>2020</v>
      </c>
      <c r="U1812" t="s">
        <v>62</v>
      </c>
    </row>
    <row r="1813" spans="1:21" x14ac:dyDescent="0.35">
      <c r="A1813" s="1">
        <v>46403</v>
      </c>
      <c r="B1813" t="s">
        <v>32</v>
      </c>
      <c r="C1813" t="s">
        <v>33</v>
      </c>
      <c r="D1813" t="s">
        <v>34</v>
      </c>
      <c r="E1813">
        <v>33</v>
      </c>
      <c r="F1813">
        <v>20</v>
      </c>
      <c r="G1813">
        <f t="shared" si="84"/>
        <v>660</v>
      </c>
      <c r="H1813">
        <v>12</v>
      </c>
      <c r="I1813">
        <f t="shared" si="85"/>
        <v>396</v>
      </c>
      <c r="J1813">
        <f t="shared" si="86"/>
        <v>264</v>
      </c>
      <c r="K1813" t="s">
        <v>42</v>
      </c>
      <c r="L1813" t="s">
        <v>25</v>
      </c>
      <c r="M1813" t="s">
        <v>37</v>
      </c>
      <c r="N1813" t="s">
        <v>43</v>
      </c>
      <c r="O1813">
        <v>842</v>
      </c>
      <c r="P1813">
        <v>33</v>
      </c>
      <c r="Q1813" t="s">
        <v>90</v>
      </c>
      <c r="R1813" t="s">
        <v>55</v>
      </c>
      <c r="S1813" t="s">
        <v>85</v>
      </c>
      <c r="T1813">
        <v>2023</v>
      </c>
      <c r="U1813" t="s">
        <v>96</v>
      </c>
    </row>
    <row r="1814" spans="1:21" x14ac:dyDescent="0.35">
      <c r="A1814" s="1">
        <v>46404</v>
      </c>
      <c r="B1814" t="s">
        <v>98</v>
      </c>
      <c r="C1814" t="s">
        <v>99</v>
      </c>
      <c r="D1814" t="s">
        <v>100</v>
      </c>
      <c r="E1814">
        <v>440</v>
      </c>
      <c r="F1814">
        <v>6</v>
      </c>
      <c r="G1814">
        <f t="shared" si="84"/>
        <v>2640</v>
      </c>
      <c r="H1814">
        <v>4</v>
      </c>
      <c r="I1814">
        <f t="shared" si="85"/>
        <v>1760</v>
      </c>
      <c r="J1814">
        <f t="shared" si="86"/>
        <v>880</v>
      </c>
      <c r="K1814" t="s">
        <v>35</v>
      </c>
      <c r="L1814" t="s">
        <v>63</v>
      </c>
      <c r="M1814" t="s">
        <v>26</v>
      </c>
      <c r="N1814" t="s">
        <v>27</v>
      </c>
      <c r="O1814">
        <v>895</v>
      </c>
      <c r="P1814">
        <v>440</v>
      </c>
      <c r="Q1814" t="s">
        <v>39</v>
      </c>
      <c r="R1814" t="s">
        <v>40</v>
      </c>
      <c r="S1814" t="s">
        <v>41</v>
      </c>
      <c r="T1814">
        <v>2021</v>
      </c>
      <c r="U1814" t="s">
        <v>62</v>
      </c>
    </row>
    <row r="1815" spans="1:21" x14ac:dyDescent="0.35">
      <c r="A1815" s="1">
        <v>46405</v>
      </c>
      <c r="B1815" t="s">
        <v>58</v>
      </c>
      <c r="C1815" t="s">
        <v>59</v>
      </c>
      <c r="D1815" t="s">
        <v>60</v>
      </c>
      <c r="E1815">
        <v>377</v>
      </c>
      <c r="F1815">
        <v>5</v>
      </c>
      <c r="G1815">
        <f t="shared" si="84"/>
        <v>1885</v>
      </c>
      <c r="H1815">
        <v>3</v>
      </c>
      <c r="I1815">
        <f t="shared" si="85"/>
        <v>1131</v>
      </c>
      <c r="J1815">
        <f t="shared" si="86"/>
        <v>754</v>
      </c>
      <c r="K1815" t="s">
        <v>24</v>
      </c>
      <c r="L1815" t="s">
        <v>73</v>
      </c>
      <c r="M1815" t="s">
        <v>61</v>
      </c>
      <c r="N1815" t="s">
        <v>27</v>
      </c>
      <c r="O1815">
        <v>869</v>
      </c>
      <c r="P1815">
        <v>377</v>
      </c>
      <c r="Q1815" t="s">
        <v>94</v>
      </c>
      <c r="R1815" t="s">
        <v>75</v>
      </c>
      <c r="S1815" t="s">
        <v>95</v>
      </c>
      <c r="T1815">
        <v>2021</v>
      </c>
      <c r="U1815" t="s">
        <v>105</v>
      </c>
    </row>
    <row r="1816" spans="1:21" x14ac:dyDescent="0.35">
      <c r="A1816" s="1">
        <v>46406</v>
      </c>
      <c r="B1816" t="s">
        <v>32</v>
      </c>
      <c r="C1816" t="s">
        <v>33</v>
      </c>
      <c r="D1816" t="s">
        <v>34</v>
      </c>
      <c r="E1816">
        <v>447</v>
      </c>
      <c r="F1816">
        <v>20</v>
      </c>
      <c r="G1816">
        <f t="shared" si="84"/>
        <v>8940</v>
      </c>
      <c r="H1816">
        <v>12</v>
      </c>
      <c r="I1816">
        <f t="shared" si="85"/>
        <v>5364</v>
      </c>
      <c r="J1816">
        <f t="shared" si="86"/>
        <v>3576</v>
      </c>
      <c r="K1816" t="s">
        <v>35</v>
      </c>
      <c r="L1816" t="s">
        <v>63</v>
      </c>
      <c r="M1816" t="s">
        <v>26</v>
      </c>
      <c r="N1816" t="s">
        <v>43</v>
      </c>
      <c r="O1816">
        <v>739</v>
      </c>
      <c r="P1816">
        <v>447</v>
      </c>
      <c r="Q1816" t="s">
        <v>101</v>
      </c>
      <c r="R1816" t="s">
        <v>101</v>
      </c>
      <c r="S1816" t="s">
        <v>102</v>
      </c>
      <c r="T1816">
        <v>2022</v>
      </c>
      <c r="U1816" t="s">
        <v>66</v>
      </c>
    </row>
    <row r="1817" spans="1:21" x14ac:dyDescent="0.35">
      <c r="A1817" s="1">
        <v>46407</v>
      </c>
      <c r="B1817" t="s">
        <v>48</v>
      </c>
      <c r="C1817" t="s">
        <v>49</v>
      </c>
      <c r="D1817" t="s">
        <v>50</v>
      </c>
      <c r="E1817">
        <v>54</v>
      </c>
      <c r="F1817">
        <v>150</v>
      </c>
      <c r="G1817">
        <f t="shared" si="84"/>
        <v>8100</v>
      </c>
      <c r="H1817">
        <v>100</v>
      </c>
      <c r="I1817">
        <f t="shared" si="85"/>
        <v>5400</v>
      </c>
      <c r="J1817">
        <f t="shared" si="86"/>
        <v>2700</v>
      </c>
      <c r="K1817" t="s">
        <v>35</v>
      </c>
      <c r="L1817" t="s">
        <v>73</v>
      </c>
      <c r="M1817" t="s">
        <v>61</v>
      </c>
      <c r="N1817" t="s">
        <v>38</v>
      </c>
      <c r="O1817">
        <v>659</v>
      </c>
      <c r="P1817">
        <v>54</v>
      </c>
      <c r="Q1817" t="s">
        <v>83</v>
      </c>
      <c r="R1817" t="s">
        <v>84</v>
      </c>
      <c r="S1817" t="s">
        <v>85</v>
      </c>
      <c r="T1817">
        <v>2024</v>
      </c>
      <c r="U1817" t="s">
        <v>53</v>
      </c>
    </row>
    <row r="1818" spans="1:21" x14ac:dyDescent="0.35">
      <c r="A1818" s="1">
        <v>46408</v>
      </c>
      <c r="B1818" t="s">
        <v>80</v>
      </c>
      <c r="C1818" t="s">
        <v>81</v>
      </c>
      <c r="D1818" t="s">
        <v>82</v>
      </c>
      <c r="E1818">
        <v>430</v>
      </c>
      <c r="F1818">
        <v>2.5</v>
      </c>
      <c r="G1818">
        <f t="shared" si="84"/>
        <v>1075</v>
      </c>
      <c r="H1818">
        <v>1.5</v>
      </c>
      <c r="I1818">
        <f t="shared" si="85"/>
        <v>645</v>
      </c>
      <c r="J1818">
        <f t="shared" si="86"/>
        <v>430</v>
      </c>
      <c r="K1818" t="s">
        <v>24</v>
      </c>
      <c r="L1818" t="s">
        <v>25</v>
      </c>
      <c r="M1818" t="s">
        <v>26</v>
      </c>
      <c r="N1818" t="s">
        <v>27</v>
      </c>
      <c r="O1818">
        <v>641</v>
      </c>
      <c r="P1818">
        <v>430</v>
      </c>
      <c r="Q1818" t="s">
        <v>94</v>
      </c>
      <c r="R1818" t="s">
        <v>75</v>
      </c>
      <c r="S1818" t="s">
        <v>95</v>
      </c>
      <c r="T1818">
        <v>2020</v>
      </c>
      <c r="U1818" t="s">
        <v>53</v>
      </c>
    </row>
    <row r="1819" spans="1:21" x14ac:dyDescent="0.35">
      <c r="A1819" s="1">
        <v>46409</v>
      </c>
      <c r="B1819" t="s">
        <v>58</v>
      </c>
      <c r="C1819" t="s">
        <v>59</v>
      </c>
      <c r="D1819" t="s">
        <v>60</v>
      </c>
      <c r="E1819">
        <v>53</v>
      </c>
      <c r="F1819">
        <v>5</v>
      </c>
      <c r="G1819">
        <f t="shared" si="84"/>
        <v>265</v>
      </c>
      <c r="H1819">
        <v>3</v>
      </c>
      <c r="I1819">
        <f t="shared" si="85"/>
        <v>159</v>
      </c>
      <c r="J1819">
        <f t="shared" si="86"/>
        <v>106</v>
      </c>
      <c r="K1819" t="s">
        <v>35</v>
      </c>
      <c r="L1819" t="s">
        <v>63</v>
      </c>
      <c r="M1819" t="s">
        <v>37</v>
      </c>
      <c r="N1819" t="s">
        <v>27</v>
      </c>
      <c r="O1819">
        <v>992</v>
      </c>
      <c r="P1819">
        <v>53</v>
      </c>
      <c r="Q1819" t="s">
        <v>74</v>
      </c>
      <c r="R1819" t="s">
        <v>75</v>
      </c>
      <c r="S1819" t="s">
        <v>76</v>
      </c>
      <c r="T1819">
        <v>2024</v>
      </c>
      <c r="U1819" t="s">
        <v>97</v>
      </c>
    </row>
    <row r="1820" spans="1:21" x14ac:dyDescent="0.35">
      <c r="A1820" s="1">
        <v>46410</v>
      </c>
      <c r="B1820" t="s">
        <v>58</v>
      </c>
      <c r="C1820" t="s">
        <v>59</v>
      </c>
      <c r="D1820" t="s">
        <v>60</v>
      </c>
      <c r="E1820">
        <v>292</v>
      </c>
      <c r="F1820">
        <v>5</v>
      </c>
      <c r="G1820">
        <f t="shared" si="84"/>
        <v>1460</v>
      </c>
      <c r="H1820">
        <v>3</v>
      </c>
      <c r="I1820">
        <f t="shared" si="85"/>
        <v>876</v>
      </c>
      <c r="J1820">
        <f t="shared" si="86"/>
        <v>584</v>
      </c>
      <c r="K1820" t="s">
        <v>35</v>
      </c>
      <c r="L1820" t="s">
        <v>36</v>
      </c>
      <c r="M1820" t="s">
        <v>61</v>
      </c>
      <c r="N1820" t="s">
        <v>27</v>
      </c>
      <c r="O1820">
        <v>960</v>
      </c>
      <c r="P1820">
        <v>292</v>
      </c>
      <c r="Q1820" t="s">
        <v>51</v>
      </c>
      <c r="R1820" t="s">
        <v>45</v>
      </c>
      <c r="S1820" t="s">
        <v>52</v>
      </c>
      <c r="T1820">
        <v>2024</v>
      </c>
      <c r="U1820" t="s">
        <v>91</v>
      </c>
    </row>
    <row r="1821" spans="1:21" x14ac:dyDescent="0.35">
      <c r="A1821" s="1">
        <v>46411</v>
      </c>
      <c r="B1821" t="s">
        <v>58</v>
      </c>
      <c r="C1821" t="s">
        <v>59</v>
      </c>
      <c r="D1821" t="s">
        <v>60</v>
      </c>
      <c r="E1821">
        <v>100</v>
      </c>
      <c r="F1821">
        <v>5</v>
      </c>
      <c r="G1821">
        <f t="shared" si="84"/>
        <v>500</v>
      </c>
      <c r="H1821">
        <v>3</v>
      </c>
      <c r="I1821">
        <f t="shared" si="85"/>
        <v>300</v>
      </c>
      <c r="J1821">
        <f t="shared" si="86"/>
        <v>200</v>
      </c>
      <c r="K1821" t="s">
        <v>35</v>
      </c>
      <c r="L1821" t="s">
        <v>36</v>
      </c>
      <c r="M1821" t="s">
        <v>61</v>
      </c>
      <c r="N1821" t="s">
        <v>43</v>
      </c>
      <c r="O1821">
        <v>621</v>
      </c>
      <c r="P1821">
        <v>100</v>
      </c>
      <c r="Q1821" t="s">
        <v>92</v>
      </c>
      <c r="R1821" t="s">
        <v>45</v>
      </c>
      <c r="S1821" t="s">
        <v>93</v>
      </c>
      <c r="T1821">
        <v>2022</v>
      </c>
      <c r="U1821" t="s">
        <v>97</v>
      </c>
    </row>
    <row r="1822" spans="1:21" x14ac:dyDescent="0.35">
      <c r="A1822" s="1">
        <v>46412</v>
      </c>
      <c r="B1822" t="s">
        <v>80</v>
      </c>
      <c r="C1822" t="s">
        <v>81</v>
      </c>
      <c r="D1822" t="s">
        <v>82</v>
      </c>
      <c r="E1822">
        <v>423</v>
      </c>
      <c r="F1822">
        <v>2.5</v>
      </c>
      <c r="G1822">
        <f t="shared" si="84"/>
        <v>1057.5</v>
      </c>
      <c r="H1822">
        <v>1.5</v>
      </c>
      <c r="I1822">
        <f t="shared" si="85"/>
        <v>634.5</v>
      </c>
      <c r="J1822">
        <f t="shared" si="86"/>
        <v>423</v>
      </c>
      <c r="K1822" t="s">
        <v>42</v>
      </c>
      <c r="L1822" t="s">
        <v>63</v>
      </c>
      <c r="M1822" t="s">
        <v>61</v>
      </c>
      <c r="N1822" t="s">
        <v>38</v>
      </c>
      <c r="O1822">
        <v>611</v>
      </c>
      <c r="P1822">
        <v>423</v>
      </c>
      <c r="Q1822" t="s">
        <v>92</v>
      </c>
      <c r="R1822" t="s">
        <v>45</v>
      </c>
      <c r="S1822" t="s">
        <v>93</v>
      </c>
      <c r="T1822">
        <v>2021</v>
      </c>
      <c r="U1822" t="s">
        <v>97</v>
      </c>
    </row>
    <row r="1823" spans="1:21" x14ac:dyDescent="0.35">
      <c r="A1823" s="1">
        <v>46413</v>
      </c>
      <c r="B1823" t="s">
        <v>21</v>
      </c>
      <c r="C1823" t="s">
        <v>22</v>
      </c>
      <c r="D1823" t="s">
        <v>23</v>
      </c>
      <c r="E1823">
        <v>451</v>
      </c>
      <c r="F1823">
        <v>8</v>
      </c>
      <c r="G1823">
        <f t="shared" si="84"/>
        <v>3608</v>
      </c>
      <c r="H1823">
        <v>5</v>
      </c>
      <c r="I1823">
        <f t="shared" si="85"/>
        <v>2255</v>
      </c>
      <c r="J1823">
        <f t="shared" si="86"/>
        <v>1353</v>
      </c>
      <c r="K1823" t="s">
        <v>24</v>
      </c>
      <c r="L1823" t="s">
        <v>36</v>
      </c>
      <c r="M1823" t="s">
        <v>26</v>
      </c>
      <c r="N1823" t="s">
        <v>38</v>
      </c>
      <c r="O1823">
        <v>838</v>
      </c>
      <c r="P1823">
        <v>451</v>
      </c>
      <c r="Q1823" t="s">
        <v>39</v>
      </c>
      <c r="R1823" t="s">
        <v>40</v>
      </c>
      <c r="S1823" t="s">
        <v>41</v>
      </c>
      <c r="T1823">
        <v>2022</v>
      </c>
      <c r="U1823" t="s">
        <v>109</v>
      </c>
    </row>
    <row r="1824" spans="1:21" x14ac:dyDescent="0.35">
      <c r="A1824" s="1">
        <v>46414</v>
      </c>
      <c r="B1824" t="s">
        <v>58</v>
      </c>
      <c r="C1824" t="s">
        <v>59</v>
      </c>
      <c r="D1824" t="s">
        <v>60</v>
      </c>
      <c r="E1824">
        <v>130</v>
      </c>
      <c r="F1824">
        <v>5</v>
      </c>
      <c r="G1824">
        <f t="shared" si="84"/>
        <v>650</v>
      </c>
      <c r="H1824">
        <v>3</v>
      </c>
      <c r="I1824">
        <f t="shared" si="85"/>
        <v>390</v>
      </c>
      <c r="J1824">
        <f t="shared" si="86"/>
        <v>260</v>
      </c>
      <c r="K1824" t="s">
        <v>24</v>
      </c>
      <c r="L1824" t="s">
        <v>36</v>
      </c>
      <c r="M1824" t="s">
        <v>37</v>
      </c>
      <c r="N1824" t="s">
        <v>38</v>
      </c>
      <c r="O1824">
        <v>773</v>
      </c>
      <c r="P1824">
        <v>130</v>
      </c>
      <c r="Q1824" t="s">
        <v>101</v>
      </c>
      <c r="R1824" t="s">
        <v>101</v>
      </c>
      <c r="S1824" t="s">
        <v>102</v>
      </c>
      <c r="T1824">
        <v>2023</v>
      </c>
      <c r="U1824" t="s">
        <v>57</v>
      </c>
    </row>
    <row r="1825" spans="1:21" x14ac:dyDescent="0.35">
      <c r="A1825" s="1">
        <v>46415</v>
      </c>
      <c r="B1825" t="s">
        <v>32</v>
      </c>
      <c r="C1825" t="s">
        <v>33</v>
      </c>
      <c r="D1825" t="s">
        <v>34</v>
      </c>
      <c r="E1825">
        <v>290</v>
      </c>
      <c r="F1825">
        <v>20</v>
      </c>
      <c r="G1825">
        <f t="shared" si="84"/>
        <v>5800</v>
      </c>
      <c r="H1825">
        <v>12</v>
      </c>
      <c r="I1825">
        <f t="shared" si="85"/>
        <v>3480</v>
      </c>
      <c r="J1825">
        <f t="shared" si="86"/>
        <v>2320</v>
      </c>
      <c r="K1825" t="s">
        <v>42</v>
      </c>
      <c r="L1825" t="s">
        <v>73</v>
      </c>
      <c r="M1825" t="s">
        <v>26</v>
      </c>
      <c r="N1825" t="s">
        <v>43</v>
      </c>
      <c r="O1825">
        <v>992</v>
      </c>
      <c r="P1825">
        <v>290</v>
      </c>
      <c r="Q1825" t="s">
        <v>87</v>
      </c>
      <c r="R1825" t="s">
        <v>88</v>
      </c>
      <c r="S1825" t="s">
        <v>89</v>
      </c>
      <c r="T1825">
        <v>2021</v>
      </c>
      <c r="U1825" t="s">
        <v>97</v>
      </c>
    </row>
    <row r="1826" spans="1:21" x14ac:dyDescent="0.35">
      <c r="A1826" s="1">
        <v>46416</v>
      </c>
      <c r="B1826" t="s">
        <v>32</v>
      </c>
      <c r="C1826" t="s">
        <v>33</v>
      </c>
      <c r="D1826" t="s">
        <v>34</v>
      </c>
      <c r="E1826">
        <v>126</v>
      </c>
      <c r="F1826">
        <v>20</v>
      </c>
      <c r="G1826">
        <f t="shared" si="84"/>
        <v>2520</v>
      </c>
      <c r="H1826">
        <v>12</v>
      </c>
      <c r="I1826">
        <f t="shared" si="85"/>
        <v>1512</v>
      </c>
      <c r="J1826">
        <f t="shared" si="86"/>
        <v>1008</v>
      </c>
      <c r="K1826" t="s">
        <v>35</v>
      </c>
      <c r="L1826" t="s">
        <v>25</v>
      </c>
      <c r="M1826" t="s">
        <v>37</v>
      </c>
      <c r="N1826" t="s">
        <v>38</v>
      </c>
      <c r="O1826">
        <v>692</v>
      </c>
      <c r="P1826">
        <v>126</v>
      </c>
      <c r="Q1826" t="s">
        <v>94</v>
      </c>
      <c r="R1826" t="s">
        <v>75</v>
      </c>
      <c r="S1826" t="s">
        <v>95</v>
      </c>
      <c r="T1826">
        <v>2021</v>
      </c>
      <c r="U1826" t="s">
        <v>57</v>
      </c>
    </row>
    <row r="1827" spans="1:21" x14ac:dyDescent="0.35">
      <c r="A1827" s="1">
        <v>46417</v>
      </c>
      <c r="B1827" t="s">
        <v>21</v>
      </c>
      <c r="C1827" t="s">
        <v>22</v>
      </c>
      <c r="D1827" t="s">
        <v>23</v>
      </c>
      <c r="E1827">
        <v>333</v>
      </c>
      <c r="F1827">
        <v>8</v>
      </c>
      <c r="G1827">
        <f t="shared" si="84"/>
        <v>2664</v>
      </c>
      <c r="H1827">
        <v>5</v>
      </c>
      <c r="I1827">
        <f t="shared" si="85"/>
        <v>1665</v>
      </c>
      <c r="J1827">
        <f t="shared" si="86"/>
        <v>999</v>
      </c>
      <c r="K1827" t="s">
        <v>42</v>
      </c>
      <c r="L1827" t="s">
        <v>36</v>
      </c>
      <c r="M1827" t="s">
        <v>61</v>
      </c>
      <c r="N1827" t="s">
        <v>38</v>
      </c>
      <c r="O1827">
        <v>573</v>
      </c>
      <c r="P1827">
        <v>333</v>
      </c>
      <c r="Q1827" t="s">
        <v>44</v>
      </c>
      <c r="R1827" t="s">
        <v>45</v>
      </c>
      <c r="S1827" t="s">
        <v>46</v>
      </c>
      <c r="T1827">
        <v>2023</v>
      </c>
      <c r="U1827" t="s">
        <v>97</v>
      </c>
    </row>
    <row r="1828" spans="1:21" x14ac:dyDescent="0.35">
      <c r="A1828" s="1">
        <v>46418</v>
      </c>
      <c r="B1828" t="s">
        <v>58</v>
      </c>
      <c r="C1828" t="s">
        <v>59</v>
      </c>
      <c r="D1828" t="s">
        <v>60</v>
      </c>
      <c r="E1828">
        <v>173</v>
      </c>
      <c r="F1828">
        <v>5</v>
      </c>
      <c r="G1828">
        <f t="shared" si="84"/>
        <v>865</v>
      </c>
      <c r="H1828">
        <v>3</v>
      </c>
      <c r="I1828">
        <f t="shared" si="85"/>
        <v>519</v>
      </c>
      <c r="J1828">
        <f t="shared" si="86"/>
        <v>346</v>
      </c>
      <c r="K1828" t="s">
        <v>24</v>
      </c>
      <c r="L1828" t="s">
        <v>63</v>
      </c>
      <c r="M1828" t="s">
        <v>37</v>
      </c>
      <c r="N1828" t="s">
        <v>38</v>
      </c>
      <c r="O1828">
        <v>597</v>
      </c>
      <c r="P1828">
        <v>173</v>
      </c>
      <c r="Q1828" t="s">
        <v>110</v>
      </c>
      <c r="R1828" t="s">
        <v>111</v>
      </c>
      <c r="S1828" t="s">
        <v>112</v>
      </c>
      <c r="T1828">
        <v>2024</v>
      </c>
      <c r="U1828" t="s">
        <v>47</v>
      </c>
    </row>
    <row r="1829" spans="1:21" x14ac:dyDescent="0.35">
      <c r="A1829" s="1">
        <v>46419</v>
      </c>
      <c r="B1829" t="s">
        <v>58</v>
      </c>
      <c r="C1829" t="s">
        <v>59</v>
      </c>
      <c r="D1829" t="s">
        <v>60</v>
      </c>
      <c r="E1829">
        <v>352</v>
      </c>
      <c r="F1829">
        <v>5</v>
      </c>
      <c r="G1829">
        <f t="shared" si="84"/>
        <v>1760</v>
      </c>
      <c r="H1829">
        <v>3</v>
      </c>
      <c r="I1829">
        <f t="shared" si="85"/>
        <v>1056</v>
      </c>
      <c r="J1829">
        <f t="shared" si="86"/>
        <v>704</v>
      </c>
      <c r="K1829" t="s">
        <v>24</v>
      </c>
      <c r="L1829" t="s">
        <v>25</v>
      </c>
      <c r="M1829" t="s">
        <v>26</v>
      </c>
      <c r="N1829" t="s">
        <v>38</v>
      </c>
      <c r="O1829">
        <v>862</v>
      </c>
      <c r="P1829">
        <v>352</v>
      </c>
      <c r="Q1829" t="s">
        <v>44</v>
      </c>
      <c r="R1829" t="s">
        <v>45</v>
      </c>
      <c r="S1829" t="s">
        <v>46</v>
      </c>
      <c r="T1829">
        <v>2024</v>
      </c>
      <c r="U1829" t="s">
        <v>96</v>
      </c>
    </row>
    <row r="1830" spans="1:21" x14ac:dyDescent="0.35">
      <c r="A1830" s="1">
        <v>46420</v>
      </c>
      <c r="B1830" t="s">
        <v>98</v>
      </c>
      <c r="C1830" t="s">
        <v>99</v>
      </c>
      <c r="D1830" t="s">
        <v>100</v>
      </c>
      <c r="E1830">
        <v>470</v>
      </c>
      <c r="F1830">
        <v>6</v>
      </c>
      <c r="G1830">
        <f t="shared" si="84"/>
        <v>2820</v>
      </c>
      <c r="H1830">
        <v>4</v>
      </c>
      <c r="I1830">
        <f t="shared" si="85"/>
        <v>1880</v>
      </c>
      <c r="J1830">
        <f t="shared" si="86"/>
        <v>940</v>
      </c>
      <c r="K1830" t="s">
        <v>42</v>
      </c>
      <c r="L1830" t="s">
        <v>36</v>
      </c>
      <c r="M1830" t="s">
        <v>61</v>
      </c>
      <c r="N1830" t="s">
        <v>27</v>
      </c>
      <c r="O1830">
        <v>518</v>
      </c>
      <c r="P1830">
        <v>470</v>
      </c>
      <c r="Q1830" t="s">
        <v>74</v>
      </c>
      <c r="R1830" t="s">
        <v>75</v>
      </c>
      <c r="S1830" t="s">
        <v>76</v>
      </c>
      <c r="T1830">
        <v>2022</v>
      </c>
      <c r="U1830" t="s">
        <v>66</v>
      </c>
    </row>
    <row r="1831" spans="1:21" x14ac:dyDescent="0.35">
      <c r="A1831" s="1">
        <v>46421</v>
      </c>
      <c r="B1831" t="s">
        <v>48</v>
      </c>
      <c r="C1831" t="s">
        <v>49</v>
      </c>
      <c r="D1831" t="s">
        <v>50</v>
      </c>
      <c r="E1831">
        <v>254</v>
      </c>
      <c r="F1831">
        <v>150</v>
      </c>
      <c r="G1831">
        <f t="shared" si="84"/>
        <v>38100</v>
      </c>
      <c r="H1831">
        <v>100</v>
      </c>
      <c r="I1831">
        <f t="shared" si="85"/>
        <v>25400</v>
      </c>
      <c r="J1831">
        <f t="shared" si="86"/>
        <v>12700</v>
      </c>
      <c r="K1831" t="s">
        <v>42</v>
      </c>
      <c r="L1831" t="s">
        <v>25</v>
      </c>
      <c r="M1831" t="s">
        <v>26</v>
      </c>
      <c r="N1831" t="s">
        <v>38</v>
      </c>
      <c r="O1831">
        <v>696</v>
      </c>
      <c r="P1831">
        <v>254</v>
      </c>
      <c r="Q1831" t="s">
        <v>74</v>
      </c>
      <c r="R1831" t="s">
        <v>75</v>
      </c>
      <c r="S1831" t="s">
        <v>76</v>
      </c>
      <c r="T1831">
        <v>2021</v>
      </c>
      <c r="U1831" t="s">
        <v>97</v>
      </c>
    </row>
    <row r="1832" spans="1:21" x14ac:dyDescent="0.35">
      <c r="A1832" s="1">
        <v>46422</v>
      </c>
      <c r="B1832" t="s">
        <v>58</v>
      </c>
      <c r="C1832" t="s">
        <v>59</v>
      </c>
      <c r="D1832" t="s">
        <v>60</v>
      </c>
      <c r="E1832">
        <v>86</v>
      </c>
      <c r="F1832">
        <v>5</v>
      </c>
      <c r="G1832">
        <f t="shared" si="84"/>
        <v>430</v>
      </c>
      <c r="H1832">
        <v>3</v>
      </c>
      <c r="I1832">
        <f t="shared" si="85"/>
        <v>258</v>
      </c>
      <c r="J1832">
        <f t="shared" si="86"/>
        <v>172</v>
      </c>
      <c r="K1832" t="s">
        <v>42</v>
      </c>
      <c r="L1832" t="s">
        <v>36</v>
      </c>
      <c r="M1832" t="s">
        <v>37</v>
      </c>
      <c r="N1832" t="s">
        <v>27</v>
      </c>
      <c r="O1832">
        <v>595</v>
      </c>
      <c r="P1832">
        <v>86</v>
      </c>
      <c r="Q1832" t="s">
        <v>83</v>
      </c>
      <c r="R1832" t="s">
        <v>84</v>
      </c>
      <c r="S1832" t="s">
        <v>85</v>
      </c>
      <c r="T1832">
        <v>2022</v>
      </c>
      <c r="U1832" t="s">
        <v>47</v>
      </c>
    </row>
    <row r="1833" spans="1:21" x14ac:dyDescent="0.35">
      <c r="A1833" s="1">
        <v>46423</v>
      </c>
      <c r="B1833" t="s">
        <v>98</v>
      </c>
      <c r="C1833" t="s">
        <v>99</v>
      </c>
      <c r="D1833" t="s">
        <v>100</v>
      </c>
      <c r="E1833">
        <v>103</v>
      </c>
      <c r="F1833">
        <v>6</v>
      </c>
      <c r="G1833">
        <f t="shared" si="84"/>
        <v>618</v>
      </c>
      <c r="H1833">
        <v>4</v>
      </c>
      <c r="I1833">
        <f t="shared" si="85"/>
        <v>412</v>
      </c>
      <c r="J1833">
        <f t="shared" si="86"/>
        <v>206</v>
      </c>
      <c r="K1833" t="s">
        <v>42</v>
      </c>
      <c r="L1833" t="s">
        <v>73</v>
      </c>
      <c r="M1833" t="s">
        <v>61</v>
      </c>
      <c r="N1833" t="s">
        <v>43</v>
      </c>
      <c r="O1833">
        <v>811</v>
      </c>
      <c r="P1833">
        <v>103</v>
      </c>
      <c r="Q1833" t="s">
        <v>103</v>
      </c>
      <c r="R1833" t="s">
        <v>68</v>
      </c>
      <c r="S1833" t="s">
        <v>104</v>
      </c>
      <c r="T1833">
        <v>2020</v>
      </c>
      <c r="U1833" t="s">
        <v>57</v>
      </c>
    </row>
    <row r="1834" spans="1:21" x14ac:dyDescent="0.35">
      <c r="A1834" s="1">
        <v>46424</v>
      </c>
      <c r="B1834" t="s">
        <v>80</v>
      </c>
      <c r="C1834" t="s">
        <v>81</v>
      </c>
      <c r="D1834" t="s">
        <v>82</v>
      </c>
      <c r="E1834">
        <v>95</v>
      </c>
      <c r="F1834">
        <v>2.5</v>
      </c>
      <c r="G1834">
        <f t="shared" si="84"/>
        <v>237.5</v>
      </c>
      <c r="H1834">
        <v>1.5</v>
      </c>
      <c r="I1834">
        <f t="shared" si="85"/>
        <v>142.5</v>
      </c>
      <c r="J1834">
        <f t="shared" si="86"/>
        <v>95</v>
      </c>
      <c r="K1834" t="s">
        <v>35</v>
      </c>
      <c r="L1834" t="s">
        <v>36</v>
      </c>
      <c r="M1834" t="s">
        <v>37</v>
      </c>
      <c r="N1834" t="s">
        <v>43</v>
      </c>
      <c r="O1834">
        <v>647</v>
      </c>
      <c r="P1834">
        <v>95</v>
      </c>
      <c r="Q1834" t="s">
        <v>92</v>
      </c>
      <c r="R1834" t="s">
        <v>45</v>
      </c>
      <c r="S1834" t="s">
        <v>93</v>
      </c>
      <c r="T1834">
        <v>2024</v>
      </c>
      <c r="U1834" t="s">
        <v>57</v>
      </c>
    </row>
    <row r="1835" spans="1:21" x14ac:dyDescent="0.35">
      <c r="A1835" s="1">
        <v>46425</v>
      </c>
      <c r="B1835" t="s">
        <v>48</v>
      </c>
      <c r="C1835" t="s">
        <v>49</v>
      </c>
      <c r="D1835" t="s">
        <v>50</v>
      </c>
      <c r="E1835">
        <v>477</v>
      </c>
      <c r="F1835">
        <v>150</v>
      </c>
      <c r="G1835">
        <f t="shared" si="84"/>
        <v>71550</v>
      </c>
      <c r="H1835">
        <v>100</v>
      </c>
      <c r="I1835">
        <f t="shared" si="85"/>
        <v>47700</v>
      </c>
      <c r="J1835">
        <f t="shared" si="86"/>
        <v>23850</v>
      </c>
      <c r="K1835" t="s">
        <v>35</v>
      </c>
      <c r="L1835" t="s">
        <v>73</v>
      </c>
      <c r="M1835" t="s">
        <v>26</v>
      </c>
      <c r="N1835" t="s">
        <v>27</v>
      </c>
      <c r="O1835">
        <v>824</v>
      </c>
      <c r="P1835">
        <v>477</v>
      </c>
      <c r="Q1835" t="s">
        <v>64</v>
      </c>
      <c r="R1835" t="s">
        <v>29</v>
      </c>
      <c r="S1835" t="s">
        <v>65</v>
      </c>
      <c r="T1835">
        <v>2023</v>
      </c>
      <c r="U1835" t="s">
        <v>57</v>
      </c>
    </row>
    <row r="1836" spans="1:21" x14ac:dyDescent="0.35">
      <c r="A1836" s="1">
        <v>46426</v>
      </c>
      <c r="B1836" t="s">
        <v>58</v>
      </c>
      <c r="C1836" t="s">
        <v>59</v>
      </c>
      <c r="D1836" t="s">
        <v>60</v>
      </c>
      <c r="E1836">
        <v>406</v>
      </c>
      <c r="F1836">
        <v>5</v>
      </c>
      <c r="G1836">
        <f t="shared" si="84"/>
        <v>2030</v>
      </c>
      <c r="H1836">
        <v>3</v>
      </c>
      <c r="I1836">
        <f t="shared" si="85"/>
        <v>1218</v>
      </c>
      <c r="J1836">
        <f t="shared" si="86"/>
        <v>812</v>
      </c>
      <c r="K1836" t="s">
        <v>24</v>
      </c>
      <c r="L1836" t="s">
        <v>73</v>
      </c>
      <c r="M1836" t="s">
        <v>61</v>
      </c>
      <c r="N1836" t="s">
        <v>43</v>
      </c>
      <c r="O1836">
        <v>578</v>
      </c>
      <c r="P1836">
        <v>406</v>
      </c>
      <c r="Q1836" t="s">
        <v>54</v>
      </c>
      <c r="R1836" t="s">
        <v>55</v>
      </c>
      <c r="S1836" t="s">
        <v>56</v>
      </c>
      <c r="T1836">
        <v>2023</v>
      </c>
      <c r="U1836" t="s">
        <v>96</v>
      </c>
    </row>
    <row r="1837" spans="1:21" x14ac:dyDescent="0.35">
      <c r="A1837" s="1">
        <v>46427</v>
      </c>
      <c r="B1837" t="s">
        <v>48</v>
      </c>
      <c r="C1837" t="s">
        <v>49</v>
      </c>
      <c r="D1837" t="s">
        <v>50</v>
      </c>
      <c r="E1837">
        <v>441</v>
      </c>
      <c r="F1837">
        <v>150</v>
      </c>
      <c r="G1837">
        <f t="shared" si="84"/>
        <v>66150</v>
      </c>
      <c r="H1837">
        <v>100</v>
      </c>
      <c r="I1837">
        <f t="shared" si="85"/>
        <v>44100</v>
      </c>
      <c r="J1837">
        <f t="shared" si="86"/>
        <v>22050</v>
      </c>
      <c r="K1837" t="s">
        <v>35</v>
      </c>
      <c r="L1837" t="s">
        <v>73</v>
      </c>
      <c r="M1837" t="s">
        <v>61</v>
      </c>
      <c r="N1837" t="s">
        <v>27</v>
      </c>
      <c r="O1837">
        <v>716</v>
      </c>
      <c r="P1837">
        <v>441</v>
      </c>
      <c r="Q1837" t="s">
        <v>44</v>
      </c>
      <c r="R1837" t="s">
        <v>45</v>
      </c>
      <c r="S1837" t="s">
        <v>46</v>
      </c>
      <c r="T1837">
        <v>2021</v>
      </c>
      <c r="U1837" t="s">
        <v>31</v>
      </c>
    </row>
    <row r="1838" spans="1:21" x14ac:dyDescent="0.35">
      <c r="A1838" s="1">
        <v>46428</v>
      </c>
      <c r="B1838" t="s">
        <v>80</v>
      </c>
      <c r="C1838" t="s">
        <v>81</v>
      </c>
      <c r="D1838" t="s">
        <v>82</v>
      </c>
      <c r="E1838">
        <v>200</v>
      </c>
      <c r="F1838">
        <v>2.5</v>
      </c>
      <c r="G1838">
        <f t="shared" si="84"/>
        <v>500</v>
      </c>
      <c r="H1838">
        <v>1.5</v>
      </c>
      <c r="I1838">
        <f t="shared" si="85"/>
        <v>300</v>
      </c>
      <c r="J1838">
        <f t="shared" si="86"/>
        <v>200</v>
      </c>
      <c r="K1838" t="s">
        <v>24</v>
      </c>
      <c r="L1838" t="s">
        <v>73</v>
      </c>
      <c r="M1838" t="s">
        <v>37</v>
      </c>
      <c r="N1838" t="s">
        <v>43</v>
      </c>
      <c r="O1838">
        <v>621</v>
      </c>
      <c r="P1838">
        <v>200</v>
      </c>
      <c r="Q1838" t="s">
        <v>28</v>
      </c>
      <c r="R1838" t="s">
        <v>29</v>
      </c>
      <c r="S1838" t="s">
        <v>30</v>
      </c>
      <c r="T1838">
        <v>2020</v>
      </c>
      <c r="U1838" t="s">
        <v>86</v>
      </c>
    </row>
    <row r="1839" spans="1:21" x14ac:dyDescent="0.35">
      <c r="A1839" s="1">
        <v>46429</v>
      </c>
      <c r="B1839" t="s">
        <v>48</v>
      </c>
      <c r="C1839" t="s">
        <v>49</v>
      </c>
      <c r="D1839" t="s">
        <v>50</v>
      </c>
      <c r="E1839">
        <v>171</v>
      </c>
      <c r="F1839">
        <v>150</v>
      </c>
      <c r="G1839">
        <f t="shared" si="84"/>
        <v>25650</v>
      </c>
      <c r="H1839">
        <v>100</v>
      </c>
      <c r="I1839">
        <f t="shared" si="85"/>
        <v>17100</v>
      </c>
      <c r="J1839">
        <f t="shared" si="86"/>
        <v>8550</v>
      </c>
      <c r="K1839" t="s">
        <v>42</v>
      </c>
      <c r="L1839" t="s">
        <v>25</v>
      </c>
      <c r="M1839" t="s">
        <v>37</v>
      </c>
      <c r="N1839" t="s">
        <v>27</v>
      </c>
      <c r="O1839">
        <v>639</v>
      </c>
      <c r="P1839">
        <v>171</v>
      </c>
      <c r="Q1839" t="s">
        <v>103</v>
      </c>
      <c r="R1839" t="s">
        <v>68</v>
      </c>
      <c r="S1839" t="s">
        <v>104</v>
      </c>
      <c r="T1839">
        <v>2022</v>
      </c>
      <c r="U1839" t="s">
        <v>109</v>
      </c>
    </row>
    <row r="1840" spans="1:21" x14ac:dyDescent="0.35">
      <c r="A1840" s="1">
        <v>46430</v>
      </c>
      <c r="B1840" t="s">
        <v>21</v>
      </c>
      <c r="C1840" t="s">
        <v>22</v>
      </c>
      <c r="D1840" t="s">
        <v>23</v>
      </c>
      <c r="E1840">
        <v>260</v>
      </c>
      <c r="F1840">
        <v>8</v>
      </c>
      <c r="G1840">
        <f t="shared" si="84"/>
        <v>2080</v>
      </c>
      <c r="H1840">
        <v>5</v>
      </c>
      <c r="I1840">
        <f t="shared" si="85"/>
        <v>1300</v>
      </c>
      <c r="J1840">
        <f t="shared" si="86"/>
        <v>780</v>
      </c>
      <c r="K1840" t="s">
        <v>24</v>
      </c>
      <c r="L1840" t="s">
        <v>73</v>
      </c>
      <c r="M1840" t="s">
        <v>37</v>
      </c>
      <c r="N1840" t="s">
        <v>38</v>
      </c>
      <c r="O1840">
        <v>708</v>
      </c>
      <c r="P1840">
        <v>260</v>
      </c>
      <c r="Q1840" t="s">
        <v>64</v>
      </c>
      <c r="R1840" t="s">
        <v>29</v>
      </c>
      <c r="S1840" t="s">
        <v>65</v>
      </c>
      <c r="T1840">
        <v>2023</v>
      </c>
      <c r="U1840" t="s">
        <v>31</v>
      </c>
    </row>
    <row r="1841" spans="1:21" x14ac:dyDescent="0.35">
      <c r="A1841" s="1">
        <v>46431</v>
      </c>
      <c r="B1841" t="s">
        <v>48</v>
      </c>
      <c r="C1841" t="s">
        <v>49</v>
      </c>
      <c r="D1841" t="s">
        <v>50</v>
      </c>
      <c r="E1841">
        <v>430</v>
      </c>
      <c r="F1841">
        <v>150</v>
      </c>
      <c r="G1841">
        <f t="shared" si="84"/>
        <v>64500</v>
      </c>
      <c r="H1841">
        <v>100</v>
      </c>
      <c r="I1841">
        <f t="shared" si="85"/>
        <v>43000</v>
      </c>
      <c r="J1841">
        <f t="shared" si="86"/>
        <v>21500</v>
      </c>
      <c r="K1841" t="s">
        <v>42</v>
      </c>
      <c r="L1841" t="s">
        <v>25</v>
      </c>
      <c r="M1841" t="s">
        <v>61</v>
      </c>
      <c r="N1841" t="s">
        <v>27</v>
      </c>
      <c r="O1841">
        <v>688</v>
      </c>
      <c r="P1841">
        <v>430</v>
      </c>
      <c r="Q1841" t="s">
        <v>94</v>
      </c>
      <c r="R1841" t="s">
        <v>75</v>
      </c>
      <c r="S1841" t="s">
        <v>95</v>
      </c>
      <c r="T1841">
        <v>2021</v>
      </c>
      <c r="U1841" t="s">
        <v>91</v>
      </c>
    </row>
    <row r="1842" spans="1:21" x14ac:dyDescent="0.35">
      <c r="A1842" s="1">
        <v>46432</v>
      </c>
      <c r="B1842" t="s">
        <v>21</v>
      </c>
      <c r="C1842" t="s">
        <v>22</v>
      </c>
      <c r="D1842" t="s">
        <v>23</v>
      </c>
      <c r="E1842">
        <v>311</v>
      </c>
      <c r="F1842">
        <v>8</v>
      </c>
      <c r="G1842">
        <f t="shared" si="84"/>
        <v>2488</v>
      </c>
      <c r="H1842">
        <v>5</v>
      </c>
      <c r="I1842">
        <f t="shared" si="85"/>
        <v>1555</v>
      </c>
      <c r="J1842">
        <f t="shared" si="86"/>
        <v>933</v>
      </c>
      <c r="K1842" t="s">
        <v>24</v>
      </c>
      <c r="L1842" t="s">
        <v>63</v>
      </c>
      <c r="M1842" t="s">
        <v>37</v>
      </c>
      <c r="N1842" t="s">
        <v>27</v>
      </c>
      <c r="O1842">
        <v>748</v>
      </c>
      <c r="P1842">
        <v>311</v>
      </c>
      <c r="Q1842" t="s">
        <v>83</v>
      </c>
      <c r="R1842" t="s">
        <v>84</v>
      </c>
      <c r="S1842" t="s">
        <v>85</v>
      </c>
      <c r="T1842">
        <v>2024</v>
      </c>
      <c r="U1842" t="s">
        <v>53</v>
      </c>
    </row>
    <row r="1843" spans="1:21" x14ac:dyDescent="0.35">
      <c r="A1843" s="1">
        <v>46433</v>
      </c>
      <c r="B1843" t="s">
        <v>58</v>
      </c>
      <c r="C1843" t="s">
        <v>59</v>
      </c>
      <c r="D1843" t="s">
        <v>60</v>
      </c>
      <c r="E1843">
        <v>172</v>
      </c>
      <c r="F1843">
        <v>5</v>
      </c>
      <c r="G1843">
        <f t="shared" si="84"/>
        <v>860</v>
      </c>
      <c r="H1843">
        <v>3</v>
      </c>
      <c r="I1843">
        <f t="shared" si="85"/>
        <v>516</v>
      </c>
      <c r="J1843">
        <f t="shared" si="86"/>
        <v>344</v>
      </c>
      <c r="K1843" t="s">
        <v>24</v>
      </c>
      <c r="L1843" t="s">
        <v>63</v>
      </c>
      <c r="M1843" t="s">
        <v>61</v>
      </c>
      <c r="N1843" t="s">
        <v>38</v>
      </c>
      <c r="O1843">
        <v>995</v>
      </c>
      <c r="P1843">
        <v>172</v>
      </c>
      <c r="Q1843" t="s">
        <v>44</v>
      </c>
      <c r="R1843" t="s">
        <v>45</v>
      </c>
      <c r="S1843" t="s">
        <v>46</v>
      </c>
      <c r="T1843">
        <v>2023</v>
      </c>
      <c r="U1843" t="s">
        <v>105</v>
      </c>
    </row>
    <row r="1844" spans="1:21" x14ac:dyDescent="0.35">
      <c r="A1844" s="1">
        <v>46434</v>
      </c>
      <c r="B1844" t="s">
        <v>21</v>
      </c>
      <c r="C1844" t="s">
        <v>22</v>
      </c>
      <c r="D1844" t="s">
        <v>23</v>
      </c>
      <c r="E1844">
        <v>339</v>
      </c>
      <c r="F1844">
        <v>8</v>
      </c>
      <c r="G1844">
        <f t="shared" si="84"/>
        <v>2712</v>
      </c>
      <c r="H1844">
        <v>5</v>
      </c>
      <c r="I1844">
        <f t="shared" si="85"/>
        <v>1695</v>
      </c>
      <c r="J1844">
        <f t="shared" si="86"/>
        <v>1017</v>
      </c>
      <c r="K1844" t="s">
        <v>35</v>
      </c>
      <c r="L1844" t="s">
        <v>36</v>
      </c>
      <c r="M1844" t="s">
        <v>26</v>
      </c>
      <c r="N1844" t="s">
        <v>43</v>
      </c>
      <c r="O1844">
        <v>757</v>
      </c>
      <c r="P1844">
        <v>339</v>
      </c>
      <c r="Q1844" t="s">
        <v>67</v>
      </c>
      <c r="R1844" t="s">
        <v>68</v>
      </c>
      <c r="S1844" t="s">
        <v>69</v>
      </c>
      <c r="T1844">
        <v>2022</v>
      </c>
      <c r="U1844" t="s">
        <v>53</v>
      </c>
    </row>
    <row r="1845" spans="1:21" x14ac:dyDescent="0.35">
      <c r="A1845" s="1">
        <v>46435</v>
      </c>
      <c r="B1845" t="s">
        <v>21</v>
      </c>
      <c r="C1845" t="s">
        <v>22</v>
      </c>
      <c r="D1845" t="s">
        <v>23</v>
      </c>
      <c r="E1845">
        <v>384</v>
      </c>
      <c r="F1845">
        <v>8</v>
      </c>
      <c r="G1845">
        <f t="shared" si="84"/>
        <v>3072</v>
      </c>
      <c r="H1845">
        <v>5</v>
      </c>
      <c r="I1845">
        <f t="shared" si="85"/>
        <v>1920</v>
      </c>
      <c r="J1845">
        <f t="shared" si="86"/>
        <v>1152</v>
      </c>
      <c r="K1845" t="s">
        <v>42</v>
      </c>
      <c r="L1845" t="s">
        <v>36</v>
      </c>
      <c r="M1845" t="s">
        <v>37</v>
      </c>
      <c r="N1845" t="s">
        <v>38</v>
      </c>
      <c r="O1845">
        <v>997</v>
      </c>
      <c r="P1845">
        <v>384</v>
      </c>
      <c r="Q1845" t="s">
        <v>103</v>
      </c>
      <c r="R1845" t="s">
        <v>68</v>
      </c>
      <c r="S1845" t="s">
        <v>104</v>
      </c>
      <c r="T1845">
        <v>2024</v>
      </c>
      <c r="U1845" t="s">
        <v>97</v>
      </c>
    </row>
    <row r="1846" spans="1:21" x14ac:dyDescent="0.35">
      <c r="A1846" s="1">
        <v>46436</v>
      </c>
      <c r="B1846" t="s">
        <v>58</v>
      </c>
      <c r="C1846" t="s">
        <v>59</v>
      </c>
      <c r="D1846" t="s">
        <v>60</v>
      </c>
      <c r="E1846">
        <v>307</v>
      </c>
      <c r="F1846">
        <v>5</v>
      </c>
      <c r="G1846">
        <f t="shared" si="84"/>
        <v>1535</v>
      </c>
      <c r="H1846">
        <v>3</v>
      </c>
      <c r="I1846">
        <f t="shared" si="85"/>
        <v>921</v>
      </c>
      <c r="J1846">
        <f t="shared" si="86"/>
        <v>614</v>
      </c>
      <c r="K1846" t="s">
        <v>42</v>
      </c>
      <c r="L1846" t="s">
        <v>25</v>
      </c>
      <c r="M1846" t="s">
        <v>61</v>
      </c>
      <c r="N1846" t="s">
        <v>38</v>
      </c>
      <c r="O1846">
        <v>932</v>
      </c>
      <c r="P1846">
        <v>307</v>
      </c>
      <c r="Q1846" t="s">
        <v>83</v>
      </c>
      <c r="R1846" t="s">
        <v>84</v>
      </c>
      <c r="S1846" t="s">
        <v>85</v>
      </c>
      <c r="T1846">
        <v>2021</v>
      </c>
      <c r="U1846" t="s">
        <v>47</v>
      </c>
    </row>
    <row r="1847" spans="1:21" x14ac:dyDescent="0.35">
      <c r="A1847" s="1">
        <v>46437</v>
      </c>
      <c r="B1847" t="s">
        <v>21</v>
      </c>
      <c r="C1847" t="s">
        <v>22</v>
      </c>
      <c r="D1847" t="s">
        <v>23</v>
      </c>
      <c r="E1847">
        <v>341</v>
      </c>
      <c r="F1847">
        <v>8</v>
      </c>
      <c r="G1847">
        <f t="shared" si="84"/>
        <v>2728</v>
      </c>
      <c r="H1847">
        <v>5</v>
      </c>
      <c r="I1847">
        <f t="shared" si="85"/>
        <v>1705</v>
      </c>
      <c r="J1847">
        <f t="shared" si="86"/>
        <v>1023</v>
      </c>
      <c r="K1847" t="s">
        <v>35</v>
      </c>
      <c r="L1847" t="s">
        <v>73</v>
      </c>
      <c r="M1847" t="s">
        <v>61</v>
      </c>
      <c r="N1847" t="s">
        <v>38</v>
      </c>
      <c r="O1847">
        <v>683</v>
      </c>
      <c r="P1847">
        <v>341</v>
      </c>
      <c r="Q1847" t="s">
        <v>113</v>
      </c>
      <c r="R1847" t="s">
        <v>114</v>
      </c>
      <c r="S1847" t="s">
        <v>115</v>
      </c>
      <c r="T1847">
        <v>2022</v>
      </c>
      <c r="U1847" t="s">
        <v>109</v>
      </c>
    </row>
    <row r="1848" spans="1:21" x14ac:dyDescent="0.35">
      <c r="A1848" s="1">
        <v>46438</v>
      </c>
      <c r="B1848" t="s">
        <v>32</v>
      </c>
      <c r="C1848" t="s">
        <v>33</v>
      </c>
      <c r="D1848" t="s">
        <v>34</v>
      </c>
      <c r="E1848">
        <v>63</v>
      </c>
      <c r="F1848">
        <v>20</v>
      </c>
      <c r="G1848">
        <f t="shared" si="84"/>
        <v>1260</v>
      </c>
      <c r="H1848">
        <v>12</v>
      </c>
      <c r="I1848">
        <f t="shared" si="85"/>
        <v>756</v>
      </c>
      <c r="J1848">
        <f t="shared" si="86"/>
        <v>504</v>
      </c>
      <c r="K1848" t="s">
        <v>24</v>
      </c>
      <c r="L1848" t="s">
        <v>25</v>
      </c>
      <c r="M1848" t="s">
        <v>61</v>
      </c>
      <c r="N1848" t="s">
        <v>27</v>
      </c>
      <c r="O1848">
        <v>769</v>
      </c>
      <c r="P1848">
        <v>63</v>
      </c>
      <c r="Q1848" t="s">
        <v>90</v>
      </c>
      <c r="R1848" t="s">
        <v>55</v>
      </c>
      <c r="S1848" t="s">
        <v>85</v>
      </c>
      <c r="T1848">
        <v>2022</v>
      </c>
      <c r="U1848" t="s">
        <v>109</v>
      </c>
    </row>
    <row r="1849" spans="1:21" x14ac:dyDescent="0.35">
      <c r="A1849" s="1">
        <v>46439</v>
      </c>
      <c r="B1849" t="s">
        <v>21</v>
      </c>
      <c r="C1849" t="s">
        <v>22</v>
      </c>
      <c r="D1849" t="s">
        <v>23</v>
      </c>
      <c r="E1849">
        <v>386</v>
      </c>
      <c r="F1849">
        <v>8</v>
      </c>
      <c r="G1849">
        <f t="shared" si="84"/>
        <v>3088</v>
      </c>
      <c r="H1849">
        <v>5</v>
      </c>
      <c r="I1849">
        <f t="shared" si="85"/>
        <v>1930</v>
      </c>
      <c r="J1849">
        <f t="shared" si="86"/>
        <v>1158</v>
      </c>
      <c r="K1849" t="s">
        <v>24</v>
      </c>
      <c r="L1849" t="s">
        <v>36</v>
      </c>
      <c r="M1849" t="s">
        <v>37</v>
      </c>
      <c r="N1849" t="s">
        <v>38</v>
      </c>
      <c r="O1849">
        <v>934</v>
      </c>
      <c r="P1849">
        <v>386</v>
      </c>
      <c r="Q1849" t="s">
        <v>44</v>
      </c>
      <c r="R1849" t="s">
        <v>45</v>
      </c>
      <c r="S1849" t="s">
        <v>46</v>
      </c>
      <c r="T1849">
        <v>2020</v>
      </c>
      <c r="U1849" t="s">
        <v>96</v>
      </c>
    </row>
    <row r="1850" spans="1:21" x14ac:dyDescent="0.35">
      <c r="A1850" s="1">
        <v>46440</v>
      </c>
      <c r="B1850" t="s">
        <v>21</v>
      </c>
      <c r="C1850" t="s">
        <v>22</v>
      </c>
      <c r="D1850" t="s">
        <v>23</v>
      </c>
      <c r="E1850">
        <v>207</v>
      </c>
      <c r="F1850">
        <v>8</v>
      </c>
      <c r="G1850">
        <f t="shared" si="84"/>
        <v>1656</v>
      </c>
      <c r="H1850">
        <v>5</v>
      </c>
      <c r="I1850">
        <f t="shared" si="85"/>
        <v>1035</v>
      </c>
      <c r="J1850">
        <f t="shared" si="86"/>
        <v>621</v>
      </c>
      <c r="K1850" t="s">
        <v>42</v>
      </c>
      <c r="L1850" t="s">
        <v>36</v>
      </c>
      <c r="M1850" t="s">
        <v>37</v>
      </c>
      <c r="N1850" t="s">
        <v>38</v>
      </c>
      <c r="O1850">
        <v>555</v>
      </c>
      <c r="P1850">
        <v>207</v>
      </c>
      <c r="Q1850" t="s">
        <v>51</v>
      </c>
      <c r="R1850" t="s">
        <v>45</v>
      </c>
      <c r="S1850" t="s">
        <v>52</v>
      </c>
      <c r="T1850">
        <v>2021</v>
      </c>
      <c r="U1850" t="s">
        <v>31</v>
      </c>
    </row>
    <row r="1851" spans="1:21" x14ac:dyDescent="0.35">
      <c r="A1851" s="1">
        <v>46441</v>
      </c>
      <c r="B1851" t="s">
        <v>21</v>
      </c>
      <c r="C1851" t="s">
        <v>22</v>
      </c>
      <c r="D1851" t="s">
        <v>23</v>
      </c>
      <c r="E1851">
        <v>396</v>
      </c>
      <c r="F1851">
        <v>8</v>
      </c>
      <c r="G1851">
        <f t="shared" si="84"/>
        <v>3168</v>
      </c>
      <c r="H1851">
        <v>5</v>
      </c>
      <c r="I1851">
        <f t="shared" si="85"/>
        <v>1980</v>
      </c>
      <c r="J1851">
        <f t="shared" si="86"/>
        <v>1188</v>
      </c>
      <c r="K1851" t="s">
        <v>35</v>
      </c>
      <c r="L1851" t="s">
        <v>63</v>
      </c>
      <c r="M1851" t="s">
        <v>61</v>
      </c>
      <c r="N1851" t="s">
        <v>27</v>
      </c>
      <c r="O1851">
        <v>540</v>
      </c>
      <c r="P1851">
        <v>396</v>
      </c>
      <c r="Q1851" t="s">
        <v>70</v>
      </c>
      <c r="R1851" t="s">
        <v>71</v>
      </c>
      <c r="S1851" t="s">
        <v>72</v>
      </c>
      <c r="T1851">
        <v>2022</v>
      </c>
      <c r="U1851" t="s">
        <v>57</v>
      </c>
    </row>
    <row r="1852" spans="1:21" x14ac:dyDescent="0.35">
      <c r="A1852" s="1">
        <v>46442</v>
      </c>
      <c r="B1852" t="s">
        <v>21</v>
      </c>
      <c r="C1852" t="s">
        <v>22</v>
      </c>
      <c r="D1852" t="s">
        <v>23</v>
      </c>
      <c r="E1852">
        <v>176</v>
      </c>
      <c r="F1852">
        <v>8</v>
      </c>
      <c r="G1852">
        <f t="shared" si="84"/>
        <v>1408</v>
      </c>
      <c r="H1852">
        <v>5</v>
      </c>
      <c r="I1852">
        <f t="shared" si="85"/>
        <v>880</v>
      </c>
      <c r="J1852">
        <f t="shared" si="86"/>
        <v>528</v>
      </c>
      <c r="K1852" t="s">
        <v>42</v>
      </c>
      <c r="L1852" t="s">
        <v>36</v>
      </c>
      <c r="M1852" t="s">
        <v>37</v>
      </c>
      <c r="N1852" t="s">
        <v>38</v>
      </c>
      <c r="O1852">
        <v>747</v>
      </c>
      <c r="P1852">
        <v>176</v>
      </c>
      <c r="Q1852" t="s">
        <v>74</v>
      </c>
      <c r="R1852" t="s">
        <v>75</v>
      </c>
      <c r="S1852" t="s">
        <v>76</v>
      </c>
      <c r="T1852">
        <v>2020</v>
      </c>
      <c r="U1852" t="s">
        <v>31</v>
      </c>
    </row>
    <row r="1853" spans="1:21" x14ac:dyDescent="0.35">
      <c r="A1853" s="1">
        <v>46443</v>
      </c>
      <c r="B1853" t="s">
        <v>58</v>
      </c>
      <c r="C1853" t="s">
        <v>59</v>
      </c>
      <c r="D1853" t="s">
        <v>60</v>
      </c>
      <c r="E1853">
        <v>247</v>
      </c>
      <c r="F1853">
        <v>5</v>
      </c>
      <c r="G1853">
        <f t="shared" si="84"/>
        <v>1235</v>
      </c>
      <c r="H1853">
        <v>3</v>
      </c>
      <c r="I1853">
        <f t="shared" si="85"/>
        <v>741</v>
      </c>
      <c r="J1853">
        <f t="shared" si="86"/>
        <v>494</v>
      </c>
      <c r="K1853" t="s">
        <v>35</v>
      </c>
      <c r="L1853" t="s">
        <v>73</v>
      </c>
      <c r="M1853" t="s">
        <v>26</v>
      </c>
      <c r="N1853" t="s">
        <v>43</v>
      </c>
      <c r="O1853">
        <v>914</v>
      </c>
      <c r="P1853">
        <v>247</v>
      </c>
      <c r="Q1853" t="s">
        <v>87</v>
      </c>
      <c r="R1853" t="s">
        <v>88</v>
      </c>
      <c r="S1853" t="s">
        <v>89</v>
      </c>
      <c r="T1853">
        <v>2024</v>
      </c>
      <c r="U1853" t="s">
        <v>97</v>
      </c>
    </row>
    <row r="1854" spans="1:21" x14ac:dyDescent="0.35">
      <c r="A1854" s="1">
        <v>46444</v>
      </c>
      <c r="B1854" t="s">
        <v>32</v>
      </c>
      <c r="C1854" t="s">
        <v>33</v>
      </c>
      <c r="D1854" t="s">
        <v>34</v>
      </c>
      <c r="E1854">
        <v>393</v>
      </c>
      <c r="F1854">
        <v>20</v>
      </c>
      <c r="G1854">
        <f t="shared" si="84"/>
        <v>7860</v>
      </c>
      <c r="H1854">
        <v>12</v>
      </c>
      <c r="I1854">
        <f t="shared" si="85"/>
        <v>4716</v>
      </c>
      <c r="J1854">
        <f t="shared" si="86"/>
        <v>3144</v>
      </c>
      <c r="K1854" t="s">
        <v>24</v>
      </c>
      <c r="L1854" t="s">
        <v>25</v>
      </c>
      <c r="M1854" t="s">
        <v>37</v>
      </c>
      <c r="N1854" t="s">
        <v>43</v>
      </c>
      <c r="O1854">
        <v>627</v>
      </c>
      <c r="P1854">
        <v>393</v>
      </c>
      <c r="Q1854" t="s">
        <v>110</v>
      </c>
      <c r="R1854" t="s">
        <v>111</v>
      </c>
      <c r="S1854" t="s">
        <v>112</v>
      </c>
      <c r="T1854">
        <v>2020</v>
      </c>
      <c r="U1854" t="s">
        <v>66</v>
      </c>
    </row>
    <row r="1855" spans="1:21" x14ac:dyDescent="0.35">
      <c r="A1855" s="1">
        <v>46445</v>
      </c>
      <c r="B1855" t="s">
        <v>80</v>
      </c>
      <c r="C1855" t="s">
        <v>81</v>
      </c>
      <c r="D1855" t="s">
        <v>82</v>
      </c>
      <c r="E1855">
        <v>375</v>
      </c>
      <c r="F1855">
        <v>2.5</v>
      </c>
      <c r="G1855">
        <f t="shared" si="84"/>
        <v>937.5</v>
      </c>
      <c r="H1855">
        <v>1.5</v>
      </c>
      <c r="I1855">
        <f t="shared" si="85"/>
        <v>562.5</v>
      </c>
      <c r="J1855">
        <f t="shared" si="86"/>
        <v>375</v>
      </c>
      <c r="K1855" t="s">
        <v>35</v>
      </c>
      <c r="L1855" t="s">
        <v>63</v>
      </c>
      <c r="M1855" t="s">
        <v>61</v>
      </c>
      <c r="N1855" t="s">
        <v>27</v>
      </c>
      <c r="O1855">
        <v>884</v>
      </c>
      <c r="P1855">
        <v>375</v>
      </c>
      <c r="Q1855" t="s">
        <v>110</v>
      </c>
      <c r="R1855" t="s">
        <v>111</v>
      </c>
      <c r="S1855" t="s">
        <v>112</v>
      </c>
      <c r="T1855">
        <v>2024</v>
      </c>
      <c r="U1855" t="s">
        <v>31</v>
      </c>
    </row>
    <row r="1856" spans="1:21" x14ac:dyDescent="0.35">
      <c r="A1856" s="1">
        <v>46446</v>
      </c>
      <c r="B1856" t="s">
        <v>48</v>
      </c>
      <c r="C1856" t="s">
        <v>49</v>
      </c>
      <c r="D1856" t="s">
        <v>50</v>
      </c>
      <c r="E1856">
        <v>149</v>
      </c>
      <c r="F1856">
        <v>150</v>
      </c>
      <c r="G1856">
        <f t="shared" si="84"/>
        <v>22350</v>
      </c>
      <c r="H1856">
        <v>100</v>
      </c>
      <c r="I1856">
        <f t="shared" si="85"/>
        <v>14900</v>
      </c>
      <c r="J1856">
        <f t="shared" si="86"/>
        <v>7450</v>
      </c>
      <c r="K1856" t="s">
        <v>24</v>
      </c>
      <c r="L1856" t="s">
        <v>36</v>
      </c>
      <c r="M1856" t="s">
        <v>26</v>
      </c>
      <c r="N1856" t="s">
        <v>43</v>
      </c>
      <c r="O1856">
        <v>540</v>
      </c>
      <c r="P1856">
        <v>149</v>
      </c>
      <c r="Q1856" t="s">
        <v>28</v>
      </c>
      <c r="R1856" t="s">
        <v>29</v>
      </c>
      <c r="S1856" t="s">
        <v>30</v>
      </c>
      <c r="T1856">
        <v>2022</v>
      </c>
      <c r="U1856" t="s">
        <v>86</v>
      </c>
    </row>
    <row r="1857" spans="1:21" x14ac:dyDescent="0.35">
      <c r="A1857" s="1">
        <v>46447</v>
      </c>
      <c r="B1857" t="s">
        <v>58</v>
      </c>
      <c r="C1857" t="s">
        <v>59</v>
      </c>
      <c r="D1857" t="s">
        <v>60</v>
      </c>
      <c r="E1857">
        <v>419</v>
      </c>
      <c r="F1857">
        <v>5</v>
      </c>
      <c r="G1857">
        <f t="shared" si="84"/>
        <v>2095</v>
      </c>
      <c r="H1857">
        <v>3</v>
      </c>
      <c r="I1857">
        <f t="shared" si="85"/>
        <v>1257</v>
      </c>
      <c r="J1857">
        <f t="shared" si="86"/>
        <v>838</v>
      </c>
      <c r="K1857" t="s">
        <v>35</v>
      </c>
      <c r="L1857" t="s">
        <v>25</v>
      </c>
      <c r="M1857" t="s">
        <v>37</v>
      </c>
      <c r="N1857" t="s">
        <v>27</v>
      </c>
      <c r="O1857">
        <v>916</v>
      </c>
      <c r="P1857">
        <v>419</v>
      </c>
      <c r="Q1857" t="s">
        <v>110</v>
      </c>
      <c r="R1857" t="s">
        <v>111</v>
      </c>
      <c r="S1857" t="s">
        <v>112</v>
      </c>
      <c r="T1857">
        <v>2022</v>
      </c>
      <c r="U1857" t="s">
        <v>86</v>
      </c>
    </row>
    <row r="1858" spans="1:21" x14ac:dyDescent="0.35">
      <c r="A1858" s="1">
        <v>46448</v>
      </c>
      <c r="B1858" t="s">
        <v>58</v>
      </c>
      <c r="C1858" t="s">
        <v>59</v>
      </c>
      <c r="D1858" t="s">
        <v>60</v>
      </c>
      <c r="E1858">
        <v>178</v>
      </c>
      <c r="F1858">
        <v>5</v>
      </c>
      <c r="G1858">
        <f t="shared" si="84"/>
        <v>890</v>
      </c>
      <c r="H1858">
        <v>3</v>
      </c>
      <c r="I1858">
        <f t="shared" si="85"/>
        <v>534</v>
      </c>
      <c r="J1858">
        <f t="shared" si="86"/>
        <v>356</v>
      </c>
      <c r="K1858" t="s">
        <v>42</v>
      </c>
      <c r="L1858" t="s">
        <v>36</v>
      </c>
      <c r="M1858" t="s">
        <v>37</v>
      </c>
      <c r="N1858" t="s">
        <v>38</v>
      </c>
      <c r="O1858">
        <v>608</v>
      </c>
      <c r="P1858">
        <v>178</v>
      </c>
      <c r="Q1858" t="s">
        <v>106</v>
      </c>
      <c r="R1858" t="s">
        <v>107</v>
      </c>
      <c r="S1858" t="s">
        <v>108</v>
      </c>
      <c r="T1858">
        <v>2021</v>
      </c>
      <c r="U1858" t="s">
        <v>53</v>
      </c>
    </row>
    <row r="1859" spans="1:21" x14ac:dyDescent="0.35">
      <c r="A1859" s="1">
        <v>46449</v>
      </c>
      <c r="B1859" t="s">
        <v>58</v>
      </c>
      <c r="C1859" t="s">
        <v>59</v>
      </c>
      <c r="D1859" t="s">
        <v>60</v>
      </c>
      <c r="E1859">
        <v>134</v>
      </c>
      <c r="F1859">
        <v>5</v>
      </c>
      <c r="G1859">
        <f t="shared" ref="G1859:G1922" si="87">E1859*F1859</f>
        <v>670</v>
      </c>
      <c r="H1859">
        <v>3</v>
      </c>
      <c r="I1859">
        <f t="shared" ref="I1859:I1922" si="88">E1859*H1859</f>
        <v>402</v>
      </c>
      <c r="J1859">
        <f t="shared" ref="J1859:J1922" si="89">G1859-I1859</f>
        <v>268</v>
      </c>
      <c r="K1859" t="s">
        <v>42</v>
      </c>
      <c r="L1859" t="s">
        <v>25</v>
      </c>
      <c r="M1859" t="s">
        <v>37</v>
      </c>
      <c r="N1859" t="s">
        <v>43</v>
      </c>
      <c r="O1859">
        <v>887</v>
      </c>
      <c r="P1859">
        <v>134</v>
      </c>
      <c r="Q1859" t="s">
        <v>28</v>
      </c>
      <c r="R1859" t="s">
        <v>29</v>
      </c>
      <c r="S1859" t="s">
        <v>30</v>
      </c>
      <c r="T1859">
        <v>2021</v>
      </c>
      <c r="U1859" t="s">
        <v>97</v>
      </c>
    </row>
    <row r="1860" spans="1:21" x14ac:dyDescent="0.35">
      <c r="A1860" s="1">
        <v>46450</v>
      </c>
      <c r="B1860" t="s">
        <v>58</v>
      </c>
      <c r="C1860" t="s">
        <v>59</v>
      </c>
      <c r="D1860" t="s">
        <v>60</v>
      </c>
      <c r="E1860">
        <v>220</v>
      </c>
      <c r="F1860">
        <v>5</v>
      </c>
      <c r="G1860">
        <f t="shared" si="87"/>
        <v>1100</v>
      </c>
      <c r="H1860">
        <v>3</v>
      </c>
      <c r="I1860">
        <f t="shared" si="88"/>
        <v>660</v>
      </c>
      <c r="J1860">
        <f t="shared" si="89"/>
        <v>440</v>
      </c>
      <c r="K1860" t="s">
        <v>42</v>
      </c>
      <c r="L1860" t="s">
        <v>25</v>
      </c>
      <c r="M1860" t="s">
        <v>37</v>
      </c>
      <c r="N1860" t="s">
        <v>38</v>
      </c>
      <c r="O1860">
        <v>993</v>
      </c>
      <c r="P1860">
        <v>220</v>
      </c>
      <c r="Q1860" t="s">
        <v>74</v>
      </c>
      <c r="R1860" t="s">
        <v>75</v>
      </c>
      <c r="S1860" t="s">
        <v>76</v>
      </c>
      <c r="T1860">
        <v>2021</v>
      </c>
      <c r="U1860" t="s">
        <v>96</v>
      </c>
    </row>
    <row r="1861" spans="1:21" x14ac:dyDescent="0.35">
      <c r="A1861" s="1">
        <v>46451</v>
      </c>
      <c r="B1861" t="s">
        <v>32</v>
      </c>
      <c r="C1861" t="s">
        <v>33</v>
      </c>
      <c r="D1861" t="s">
        <v>34</v>
      </c>
      <c r="E1861">
        <v>33</v>
      </c>
      <c r="F1861">
        <v>20</v>
      </c>
      <c r="G1861">
        <f t="shared" si="87"/>
        <v>660</v>
      </c>
      <c r="H1861">
        <v>12</v>
      </c>
      <c r="I1861">
        <f t="shared" si="88"/>
        <v>396</v>
      </c>
      <c r="J1861">
        <f t="shared" si="89"/>
        <v>264</v>
      </c>
      <c r="K1861" t="s">
        <v>42</v>
      </c>
      <c r="L1861" t="s">
        <v>36</v>
      </c>
      <c r="M1861" t="s">
        <v>61</v>
      </c>
      <c r="N1861" t="s">
        <v>43</v>
      </c>
      <c r="O1861">
        <v>867</v>
      </c>
      <c r="P1861">
        <v>33</v>
      </c>
      <c r="Q1861" t="s">
        <v>51</v>
      </c>
      <c r="R1861" t="s">
        <v>45</v>
      </c>
      <c r="S1861" t="s">
        <v>52</v>
      </c>
      <c r="T1861">
        <v>2022</v>
      </c>
      <c r="U1861" t="s">
        <v>66</v>
      </c>
    </row>
    <row r="1862" spans="1:21" x14ac:dyDescent="0.35">
      <c r="A1862" s="1">
        <v>46452</v>
      </c>
      <c r="B1862" t="s">
        <v>48</v>
      </c>
      <c r="C1862" t="s">
        <v>49</v>
      </c>
      <c r="D1862" t="s">
        <v>50</v>
      </c>
      <c r="E1862">
        <v>83</v>
      </c>
      <c r="F1862">
        <v>150</v>
      </c>
      <c r="G1862">
        <f t="shared" si="87"/>
        <v>12450</v>
      </c>
      <c r="H1862">
        <v>100</v>
      </c>
      <c r="I1862">
        <f t="shared" si="88"/>
        <v>8300</v>
      </c>
      <c r="J1862">
        <f t="shared" si="89"/>
        <v>4150</v>
      </c>
      <c r="K1862" t="s">
        <v>24</v>
      </c>
      <c r="L1862" t="s">
        <v>36</v>
      </c>
      <c r="M1862" t="s">
        <v>37</v>
      </c>
      <c r="N1862" t="s">
        <v>27</v>
      </c>
      <c r="O1862">
        <v>688</v>
      </c>
      <c r="P1862">
        <v>83</v>
      </c>
      <c r="Q1862" t="s">
        <v>83</v>
      </c>
      <c r="R1862" t="s">
        <v>84</v>
      </c>
      <c r="S1862" t="s">
        <v>85</v>
      </c>
      <c r="T1862">
        <v>2020</v>
      </c>
      <c r="U1862" t="s">
        <v>109</v>
      </c>
    </row>
    <row r="1863" spans="1:21" x14ac:dyDescent="0.35">
      <c r="A1863" s="1">
        <v>46453</v>
      </c>
      <c r="B1863" t="s">
        <v>48</v>
      </c>
      <c r="C1863" t="s">
        <v>49</v>
      </c>
      <c r="D1863" t="s">
        <v>50</v>
      </c>
      <c r="E1863">
        <v>236</v>
      </c>
      <c r="F1863">
        <v>150</v>
      </c>
      <c r="G1863">
        <f t="shared" si="87"/>
        <v>35400</v>
      </c>
      <c r="H1863">
        <v>100</v>
      </c>
      <c r="I1863">
        <f t="shared" si="88"/>
        <v>23600</v>
      </c>
      <c r="J1863">
        <f t="shared" si="89"/>
        <v>11800</v>
      </c>
      <c r="K1863" t="s">
        <v>35</v>
      </c>
      <c r="L1863" t="s">
        <v>73</v>
      </c>
      <c r="M1863" t="s">
        <v>61</v>
      </c>
      <c r="N1863" t="s">
        <v>43</v>
      </c>
      <c r="O1863">
        <v>575</v>
      </c>
      <c r="P1863">
        <v>236</v>
      </c>
      <c r="Q1863" t="s">
        <v>103</v>
      </c>
      <c r="R1863" t="s">
        <v>68</v>
      </c>
      <c r="S1863" t="s">
        <v>104</v>
      </c>
      <c r="T1863">
        <v>2021</v>
      </c>
      <c r="U1863" t="s">
        <v>109</v>
      </c>
    </row>
    <row r="1864" spans="1:21" x14ac:dyDescent="0.35">
      <c r="A1864" s="1">
        <v>46454</v>
      </c>
      <c r="B1864" t="s">
        <v>21</v>
      </c>
      <c r="C1864" t="s">
        <v>22</v>
      </c>
      <c r="D1864" t="s">
        <v>23</v>
      </c>
      <c r="E1864">
        <v>210</v>
      </c>
      <c r="F1864">
        <v>8</v>
      </c>
      <c r="G1864">
        <f t="shared" si="87"/>
        <v>1680</v>
      </c>
      <c r="H1864">
        <v>5</v>
      </c>
      <c r="I1864">
        <f t="shared" si="88"/>
        <v>1050</v>
      </c>
      <c r="J1864">
        <f t="shared" si="89"/>
        <v>630</v>
      </c>
      <c r="K1864" t="s">
        <v>24</v>
      </c>
      <c r="L1864" t="s">
        <v>36</v>
      </c>
      <c r="M1864" t="s">
        <v>61</v>
      </c>
      <c r="N1864" t="s">
        <v>27</v>
      </c>
      <c r="O1864">
        <v>836</v>
      </c>
      <c r="P1864">
        <v>210</v>
      </c>
      <c r="Q1864" t="s">
        <v>39</v>
      </c>
      <c r="R1864" t="s">
        <v>40</v>
      </c>
      <c r="S1864" t="s">
        <v>41</v>
      </c>
      <c r="T1864">
        <v>2023</v>
      </c>
      <c r="U1864" t="s">
        <v>66</v>
      </c>
    </row>
    <row r="1865" spans="1:21" x14ac:dyDescent="0.35">
      <c r="A1865" s="1">
        <v>46455</v>
      </c>
      <c r="B1865" t="s">
        <v>98</v>
      </c>
      <c r="C1865" t="s">
        <v>99</v>
      </c>
      <c r="D1865" t="s">
        <v>100</v>
      </c>
      <c r="E1865">
        <v>307</v>
      </c>
      <c r="F1865">
        <v>6</v>
      </c>
      <c r="G1865">
        <f t="shared" si="87"/>
        <v>1842</v>
      </c>
      <c r="H1865">
        <v>4</v>
      </c>
      <c r="I1865">
        <f t="shared" si="88"/>
        <v>1228</v>
      </c>
      <c r="J1865">
        <f t="shared" si="89"/>
        <v>614</v>
      </c>
      <c r="K1865" t="s">
        <v>35</v>
      </c>
      <c r="L1865" t="s">
        <v>73</v>
      </c>
      <c r="M1865" t="s">
        <v>37</v>
      </c>
      <c r="N1865" t="s">
        <v>43</v>
      </c>
      <c r="O1865">
        <v>836</v>
      </c>
      <c r="P1865">
        <v>307</v>
      </c>
      <c r="Q1865" t="s">
        <v>44</v>
      </c>
      <c r="R1865" t="s">
        <v>45</v>
      </c>
      <c r="S1865" t="s">
        <v>46</v>
      </c>
      <c r="T1865">
        <v>2024</v>
      </c>
      <c r="U1865" t="s">
        <v>91</v>
      </c>
    </row>
    <row r="1866" spans="1:21" x14ac:dyDescent="0.35">
      <c r="A1866" s="1">
        <v>46456</v>
      </c>
      <c r="B1866" t="s">
        <v>58</v>
      </c>
      <c r="C1866" t="s">
        <v>59</v>
      </c>
      <c r="D1866" t="s">
        <v>60</v>
      </c>
      <c r="E1866">
        <v>146</v>
      </c>
      <c r="F1866">
        <v>5</v>
      </c>
      <c r="G1866">
        <f t="shared" si="87"/>
        <v>730</v>
      </c>
      <c r="H1866">
        <v>3</v>
      </c>
      <c r="I1866">
        <f t="shared" si="88"/>
        <v>438</v>
      </c>
      <c r="J1866">
        <f t="shared" si="89"/>
        <v>292</v>
      </c>
      <c r="K1866" t="s">
        <v>35</v>
      </c>
      <c r="L1866" t="s">
        <v>63</v>
      </c>
      <c r="M1866" t="s">
        <v>61</v>
      </c>
      <c r="N1866" t="s">
        <v>27</v>
      </c>
      <c r="O1866">
        <v>855</v>
      </c>
      <c r="P1866">
        <v>146</v>
      </c>
      <c r="Q1866" t="s">
        <v>106</v>
      </c>
      <c r="R1866" t="s">
        <v>107</v>
      </c>
      <c r="S1866" t="s">
        <v>108</v>
      </c>
      <c r="T1866">
        <v>2022</v>
      </c>
      <c r="U1866" t="s">
        <v>91</v>
      </c>
    </row>
    <row r="1867" spans="1:21" x14ac:dyDescent="0.35">
      <c r="A1867" s="1">
        <v>46457</v>
      </c>
      <c r="B1867" t="s">
        <v>58</v>
      </c>
      <c r="C1867" t="s">
        <v>59</v>
      </c>
      <c r="D1867" t="s">
        <v>60</v>
      </c>
      <c r="E1867">
        <v>146</v>
      </c>
      <c r="F1867">
        <v>5</v>
      </c>
      <c r="G1867">
        <f t="shared" si="87"/>
        <v>730</v>
      </c>
      <c r="H1867">
        <v>3</v>
      </c>
      <c r="I1867">
        <f t="shared" si="88"/>
        <v>438</v>
      </c>
      <c r="J1867">
        <f t="shared" si="89"/>
        <v>292</v>
      </c>
      <c r="K1867" t="s">
        <v>35</v>
      </c>
      <c r="L1867" t="s">
        <v>73</v>
      </c>
      <c r="M1867" t="s">
        <v>26</v>
      </c>
      <c r="N1867" t="s">
        <v>27</v>
      </c>
      <c r="O1867">
        <v>968</v>
      </c>
      <c r="P1867">
        <v>146</v>
      </c>
      <c r="Q1867" t="s">
        <v>39</v>
      </c>
      <c r="R1867" t="s">
        <v>40</v>
      </c>
      <c r="S1867" t="s">
        <v>41</v>
      </c>
      <c r="T1867">
        <v>2024</v>
      </c>
      <c r="U1867" t="s">
        <v>66</v>
      </c>
    </row>
    <row r="1868" spans="1:21" x14ac:dyDescent="0.35">
      <c r="A1868" s="1">
        <v>46458</v>
      </c>
      <c r="B1868" t="s">
        <v>21</v>
      </c>
      <c r="C1868" t="s">
        <v>22</v>
      </c>
      <c r="D1868" t="s">
        <v>23</v>
      </c>
      <c r="E1868">
        <v>308</v>
      </c>
      <c r="F1868">
        <v>8</v>
      </c>
      <c r="G1868">
        <f t="shared" si="87"/>
        <v>2464</v>
      </c>
      <c r="H1868">
        <v>5</v>
      </c>
      <c r="I1868">
        <f t="shared" si="88"/>
        <v>1540</v>
      </c>
      <c r="J1868">
        <f t="shared" si="89"/>
        <v>924</v>
      </c>
      <c r="K1868" t="s">
        <v>42</v>
      </c>
      <c r="L1868" t="s">
        <v>36</v>
      </c>
      <c r="M1868" t="s">
        <v>26</v>
      </c>
      <c r="N1868" t="s">
        <v>38</v>
      </c>
      <c r="O1868">
        <v>829</v>
      </c>
      <c r="P1868">
        <v>308</v>
      </c>
      <c r="Q1868" t="s">
        <v>92</v>
      </c>
      <c r="R1868" t="s">
        <v>45</v>
      </c>
      <c r="S1868" t="s">
        <v>93</v>
      </c>
      <c r="T1868">
        <v>2023</v>
      </c>
      <c r="U1868" t="s">
        <v>105</v>
      </c>
    </row>
    <row r="1869" spans="1:21" x14ac:dyDescent="0.35">
      <c r="A1869" s="1">
        <v>46459</v>
      </c>
      <c r="B1869" t="s">
        <v>21</v>
      </c>
      <c r="C1869" t="s">
        <v>22</v>
      </c>
      <c r="D1869" t="s">
        <v>23</v>
      </c>
      <c r="E1869">
        <v>23</v>
      </c>
      <c r="F1869">
        <v>8</v>
      </c>
      <c r="G1869">
        <f t="shared" si="87"/>
        <v>184</v>
      </c>
      <c r="H1869">
        <v>5</v>
      </c>
      <c r="I1869">
        <f t="shared" si="88"/>
        <v>115</v>
      </c>
      <c r="J1869">
        <f t="shared" si="89"/>
        <v>69</v>
      </c>
      <c r="K1869" t="s">
        <v>42</v>
      </c>
      <c r="L1869" t="s">
        <v>63</v>
      </c>
      <c r="M1869" t="s">
        <v>61</v>
      </c>
      <c r="N1869" t="s">
        <v>27</v>
      </c>
      <c r="O1869">
        <v>967</v>
      </c>
      <c r="P1869">
        <v>23</v>
      </c>
      <c r="Q1869" t="s">
        <v>94</v>
      </c>
      <c r="R1869" t="s">
        <v>75</v>
      </c>
      <c r="S1869" t="s">
        <v>95</v>
      </c>
      <c r="T1869">
        <v>2020</v>
      </c>
      <c r="U1869" t="s">
        <v>31</v>
      </c>
    </row>
    <row r="1870" spans="1:21" x14ac:dyDescent="0.35">
      <c r="A1870" s="1">
        <v>46460</v>
      </c>
      <c r="B1870" t="s">
        <v>32</v>
      </c>
      <c r="C1870" t="s">
        <v>33</v>
      </c>
      <c r="D1870" t="s">
        <v>34</v>
      </c>
      <c r="E1870">
        <v>449</v>
      </c>
      <c r="F1870">
        <v>20</v>
      </c>
      <c r="G1870">
        <f t="shared" si="87"/>
        <v>8980</v>
      </c>
      <c r="H1870">
        <v>12</v>
      </c>
      <c r="I1870">
        <f t="shared" si="88"/>
        <v>5388</v>
      </c>
      <c r="J1870">
        <f t="shared" si="89"/>
        <v>3592</v>
      </c>
      <c r="K1870" t="s">
        <v>24</v>
      </c>
      <c r="L1870" t="s">
        <v>36</v>
      </c>
      <c r="M1870" t="s">
        <v>61</v>
      </c>
      <c r="N1870" t="s">
        <v>43</v>
      </c>
      <c r="O1870">
        <v>696</v>
      </c>
      <c r="P1870">
        <v>449</v>
      </c>
      <c r="Q1870" t="s">
        <v>51</v>
      </c>
      <c r="R1870" t="s">
        <v>45</v>
      </c>
      <c r="S1870" t="s">
        <v>52</v>
      </c>
      <c r="T1870">
        <v>2022</v>
      </c>
      <c r="U1870" t="s">
        <v>86</v>
      </c>
    </row>
    <row r="1871" spans="1:21" x14ac:dyDescent="0.35">
      <c r="A1871" s="1">
        <v>46461</v>
      </c>
      <c r="B1871" t="s">
        <v>58</v>
      </c>
      <c r="C1871" t="s">
        <v>59</v>
      </c>
      <c r="D1871" t="s">
        <v>60</v>
      </c>
      <c r="E1871">
        <v>231</v>
      </c>
      <c r="F1871">
        <v>5</v>
      </c>
      <c r="G1871">
        <f t="shared" si="87"/>
        <v>1155</v>
      </c>
      <c r="H1871">
        <v>3</v>
      </c>
      <c r="I1871">
        <f t="shared" si="88"/>
        <v>693</v>
      </c>
      <c r="J1871">
        <f t="shared" si="89"/>
        <v>462</v>
      </c>
      <c r="K1871" t="s">
        <v>42</v>
      </c>
      <c r="L1871" t="s">
        <v>73</v>
      </c>
      <c r="M1871" t="s">
        <v>26</v>
      </c>
      <c r="N1871" t="s">
        <v>43</v>
      </c>
      <c r="O1871">
        <v>638</v>
      </c>
      <c r="P1871">
        <v>231</v>
      </c>
      <c r="Q1871" t="s">
        <v>64</v>
      </c>
      <c r="R1871" t="s">
        <v>29</v>
      </c>
      <c r="S1871" t="s">
        <v>65</v>
      </c>
      <c r="T1871">
        <v>2023</v>
      </c>
      <c r="U1871" t="s">
        <v>53</v>
      </c>
    </row>
    <row r="1872" spans="1:21" x14ac:dyDescent="0.35">
      <c r="A1872" s="1">
        <v>46462</v>
      </c>
      <c r="B1872" t="s">
        <v>80</v>
      </c>
      <c r="C1872" t="s">
        <v>81</v>
      </c>
      <c r="D1872" t="s">
        <v>82</v>
      </c>
      <c r="E1872">
        <v>30</v>
      </c>
      <c r="F1872">
        <v>2.5</v>
      </c>
      <c r="G1872">
        <f t="shared" si="87"/>
        <v>75</v>
      </c>
      <c r="H1872">
        <v>1.5</v>
      </c>
      <c r="I1872">
        <f t="shared" si="88"/>
        <v>45</v>
      </c>
      <c r="J1872">
        <f t="shared" si="89"/>
        <v>30</v>
      </c>
      <c r="K1872" t="s">
        <v>24</v>
      </c>
      <c r="L1872" t="s">
        <v>25</v>
      </c>
      <c r="M1872" t="s">
        <v>61</v>
      </c>
      <c r="N1872" t="s">
        <v>43</v>
      </c>
      <c r="O1872">
        <v>730</v>
      </c>
      <c r="P1872">
        <v>30</v>
      </c>
      <c r="Q1872" t="s">
        <v>90</v>
      </c>
      <c r="R1872" t="s">
        <v>55</v>
      </c>
      <c r="S1872" t="s">
        <v>85</v>
      </c>
      <c r="T1872">
        <v>2023</v>
      </c>
      <c r="U1872" t="s">
        <v>96</v>
      </c>
    </row>
    <row r="1873" spans="1:21" x14ac:dyDescent="0.35">
      <c r="A1873" s="1">
        <v>46463</v>
      </c>
      <c r="B1873" t="s">
        <v>21</v>
      </c>
      <c r="C1873" t="s">
        <v>22</v>
      </c>
      <c r="D1873" t="s">
        <v>23</v>
      </c>
      <c r="E1873">
        <v>39</v>
      </c>
      <c r="F1873">
        <v>8</v>
      </c>
      <c r="G1873">
        <f t="shared" si="87"/>
        <v>312</v>
      </c>
      <c r="H1873">
        <v>5</v>
      </c>
      <c r="I1873">
        <f t="shared" si="88"/>
        <v>195</v>
      </c>
      <c r="J1873">
        <f t="shared" si="89"/>
        <v>117</v>
      </c>
      <c r="K1873" t="s">
        <v>42</v>
      </c>
      <c r="L1873" t="s">
        <v>25</v>
      </c>
      <c r="M1873" t="s">
        <v>26</v>
      </c>
      <c r="N1873" t="s">
        <v>43</v>
      </c>
      <c r="O1873">
        <v>942</v>
      </c>
      <c r="P1873">
        <v>39</v>
      </c>
      <c r="Q1873" t="s">
        <v>90</v>
      </c>
      <c r="R1873" t="s">
        <v>55</v>
      </c>
      <c r="S1873" t="s">
        <v>85</v>
      </c>
      <c r="T1873">
        <v>2020</v>
      </c>
      <c r="U1873" t="s">
        <v>66</v>
      </c>
    </row>
    <row r="1874" spans="1:21" x14ac:dyDescent="0.35">
      <c r="A1874" s="1">
        <v>46464</v>
      </c>
      <c r="B1874" t="s">
        <v>48</v>
      </c>
      <c r="C1874" t="s">
        <v>49</v>
      </c>
      <c r="D1874" t="s">
        <v>50</v>
      </c>
      <c r="E1874">
        <v>484</v>
      </c>
      <c r="F1874">
        <v>150</v>
      </c>
      <c r="G1874">
        <f t="shared" si="87"/>
        <v>72600</v>
      </c>
      <c r="H1874">
        <v>100</v>
      </c>
      <c r="I1874">
        <f t="shared" si="88"/>
        <v>48400</v>
      </c>
      <c r="J1874">
        <f t="shared" si="89"/>
        <v>24200</v>
      </c>
      <c r="K1874" t="s">
        <v>35</v>
      </c>
      <c r="L1874" t="s">
        <v>36</v>
      </c>
      <c r="M1874" t="s">
        <v>61</v>
      </c>
      <c r="N1874" t="s">
        <v>38</v>
      </c>
      <c r="O1874">
        <v>532</v>
      </c>
      <c r="P1874">
        <v>484</v>
      </c>
      <c r="Q1874" t="s">
        <v>103</v>
      </c>
      <c r="R1874" t="s">
        <v>68</v>
      </c>
      <c r="S1874" t="s">
        <v>104</v>
      </c>
      <c r="T1874">
        <v>2020</v>
      </c>
      <c r="U1874" t="s">
        <v>91</v>
      </c>
    </row>
    <row r="1875" spans="1:21" x14ac:dyDescent="0.35">
      <c r="A1875" s="1">
        <v>46465</v>
      </c>
      <c r="B1875" t="s">
        <v>48</v>
      </c>
      <c r="C1875" t="s">
        <v>49</v>
      </c>
      <c r="D1875" t="s">
        <v>50</v>
      </c>
      <c r="E1875">
        <v>246</v>
      </c>
      <c r="F1875">
        <v>150</v>
      </c>
      <c r="G1875">
        <f t="shared" si="87"/>
        <v>36900</v>
      </c>
      <c r="H1875">
        <v>100</v>
      </c>
      <c r="I1875">
        <f t="shared" si="88"/>
        <v>24600</v>
      </c>
      <c r="J1875">
        <f t="shared" si="89"/>
        <v>12300</v>
      </c>
      <c r="K1875" t="s">
        <v>24</v>
      </c>
      <c r="L1875" t="s">
        <v>36</v>
      </c>
      <c r="M1875" t="s">
        <v>37</v>
      </c>
      <c r="N1875" t="s">
        <v>43</v>
      </c>
      <c r="O1875">
        <v>733</v>
      </c>
      <c r="P1875">
        <v>246</v>
      </c>
      <c r="Q1875" t="s">
        <v>87</v>
      </c>
      <c r="R1875" t="s">
        <v>88</v>
      </c>
      <c r="S1875" t="s">
        <v>89</v>
      </c>
      <c r="T1875">
        <v>2022</v>
      </c>
      <c r="U1875" t="s">
        <v>47</v>
      </c>
    </row>
    <row r="1876" spans="1:21" x14ac:dyDescent="0.35">
      <c r="A1876" s="1">
        <v>46466</v>
      </c>
      <c r="B1876" t="s">
        <v>32</v>
      </c>
      <c r="C1876" t="s">
        <v>33</v>
      </c>
      <c r="D1876" t="s">
        <v>34</v>
      </c>
      <c r="E1876">
        <v>86</v>
      </c>
      <c r="F1876">
        <v>20</v>
      </c>
      <c r="G1876">
        <f t="shared" si="87"/>
        <v>1720</v>
      </c>
      <c r="H1876">
        <v>12</v>
      </c>
      <c r="I1876">
        <f t="shared" si="88"/>
        <v>1032</v>
      </c>
      <c r="J1876">
        <f t="shared" si="89"/>
        <v>688</v>
      </c>
      <c r="K1876" t="s">
        <v>24</v>
      </c>
      <c r="L1876" t="s">
        <v>25</v>
      </c>
      <c r="M1876" t="s">
        <v>26</v>
      </c>
      <c r="N1876" t="s">
        <v>38</v>
      </c>
      <c r="O1876">
        <v>894</v>
      </c>
      <c r="P1876">
        <v>86</v>
      </c>
      <c r="Q1876" t="s">
        <v>87</v>
      </c>
      <c r="R1876" t="s">
        <v>88</v>
      </c>
      <c r="S1876" t="s">
        <v>89</v>
      </c>
      <c r="T1876">
        <v>2021</v>
      </c>
      <c r="U1876" t="s">
        <v>57</v>
      </c>
    </row>
    <row r="1877" spans="1:21" x14ac:dyDescent="0.35">
      <c r="A1877" s="1">
        <v>46467</v>
      </c>
      <c r="B1877" t="s">
        <v>80</v>
      </c>
      <c r="C1877" t="s">
        <v>81</v>
      </c>
      <c r="D1877" t="s">
        <v>82</v>
      </c>
      <c r="E1877">
        <v>228</v>
      </c>
      <c r="F1877">
        <v>2.5</v>
      </c>
      <c r="G1877">
        <f t="shared" si="87"/>
        <v>570</v>
      </c>
      <c r="H1877">
        <v>1.5</v>
      </c>
      <c r="I1877">
        <f t="shared" si="88"/>
        <v>342</v>
      </c>
      <c r="J1877">
        <f t="shared" si="89"/>
        <v>228</v>
      </c>
      <c r="K1877" t="s">
        <v>42</v>
      </c>
      <c r="L1877" t="s">
        <v>73</v>
      </c>
      <c r="M1877" t="s">
        <v>61</v>
      </c>
      <c r="N1877" t="s">
        <v>27</v>
      </c>
      <c r="O1877">
        <v>991</v>
      </c>
      <c r="P1877">
        <v>228</v>
      </c>
      <c r="Q1877" t="s">
        <v>74</v>
      </c>
      <c r="R1877" t="s">
        <v>75</v>
      </c>
      <c r="S1877" t="s">
        <v>76</v>
      </c>
      <c r="T1877">
        <v>2021</v>
      </c>
      <c r="U1877" t="s">
        <v>96</v>
      </c>
    </row>
    <row r="1878" spans="1:21" x14ac:dyDescent="0.35">
      <c r="A1878" s="1">
        <v>46468</v>
      </c>
      <c r="B1878" t="s">
        <v>80</v>
      </c>
      <c r="C1878" t="s">
        <v>81</v>
      </c>
      <c r="D1878" t="s">
        <v>82</v>
      </c>
      <c r="E1878">
        <v>161</v>
      </c>
      <c r="F1878">
        <v>2.5</v>
      </c>
      <c r="G1878">
        <f t="shared" si="87"/>
        <v>402.5</v>
      </c>
      <c r="H1878">
        <v>1.5</v>
      </c>
      <c r="I1878">
        <f t="shared" si="88"/>
        <v>241.5</v>
      </c>
      <c r="J1878">
        <f t="shared" si="89"/>
        <v>161</v>
      </c>
      <c r="K1878" t="s">
        <v>35</v>
      </c>
      <c r="L1878" t="s">
        <v>63</v>
      </c>
      <c r="M1878" t="s">
        <v>37</v>
      </c>
      <c r="N1878" t="s">
        <v>38</v>
      </c>
      <c r="O1878">
        <v>646</v>
      </c>
      <c r="P1878">
        <v>161</v>
      </c>
      <c r="Q1878" t="s">
        <v>28</v>
      </c>
      <c r="R1878" t="s">
        <v>29</v>
      </c>
      <c r="S1878" t="s">
        <v>30</v>
      </c>
      <c r="T1878">
        <v>2022</v>
      </c>
      <c r="U1878" t="s">
        <v>66</v>
      </c>
    </row>
    <row r="1879" spans="1:21" x14ac:dyDescent="0.35">
      <c r="A1879" s="1">
        <v>46469</v>
      </c>
      <c r="B1879" t="s">
        <v>21</v>
      </c>
      <c r="C1879" t="s">
        <v>22</v>
      </c>
      <c r="D1879" t="s">
        <v>23</v>
      </c>
      <c r="E1879">
        <v>96</v>
      </c>
      <c r="F1879">
        <v>8</v>
      </c>
      <c r="G1879">
        <f t="shared" si="87"/>
        <v>768</v>
      </c>
      <c r="H1879">
        <v>5</v>
      </c>
      <c r="I1879">
        <f t="shared" si="88"/>
        <v>480</v>
      </c>
      <c r="J1879">
        <f t="shared" si="89"/>
        <v>288</v>
      </c>
      <c r="K1879" t="s">
        <v>42</v>
      </c>
      <c r="L1879" t="s">
        <v>25</v>
      </c>
      <c r="M1879" t="s">
        <v>26</v>
      </c>
      <c r="N1879" t="s">
        <v>27</v>
      </c>
      <c r="O1879">
        <v>869</v>
      </c>
      <c r="P1879">
        <v>96</v>
      </c>
      <c r="Q1879" t="s">
        <v>70</v>
      </c>
      <c r="R1879" t="s">
        <v>71</v>
      </c>
      <c r="S1879" t="s">
        <v>72</v>
      </c>
      <c r="T1879">
        <v>2024</v>
      </c>
      <c r="U1879" t="s">
        <v>97</v>
      </c>
    </row>
    <row r="1880" spans="1:21" x14ac:dyDescent="0.35">
      <c r="A1880" s="1">
        <v>46470</v>
      </c>
      <c r="B1880" t="s">
        <v>80</v>
      </c>
      <c r="C1880" t="s">
        <v>81</v>
      </c>
      <c r="D1880" t="s">
        <v>82</v>
      </c>
      <c r="E1880">
        <v>193</v>
      </c>
      <c r="F1880">
        <v>2.5</v>
      </c>
      <c r="G1880">
        <f t="shared" si="87"/>
        <v>482.5</v>
      </c>
      <c r="H1880">
        <v>1.5</v>
      </c>
      <c r="I1880">
        <f t="shared" si="88"/>
        <v>289.5</v>
      </c>
      <c r="J1880">
        <f t="shared" si="89"/>
        <v>193</v>
      </c>
      <c r="K1880" t="s">
        <v>35</v>
      </c>
      <c r="L1880" t="s">
        <v>73</v>
      </c>
      <c r="M1880" t="s">
        <v>26</v>
      </c>
      <c r="N1880" t="s">
        <v>38</v>
      </c>
      <c r="O1880">
        <v>959</v>
      </c>
      <c r="P1880">
        <v>193</v>
      </c>
      <c r="Q1880" t="s">
        <v>74</v>
      </c>
      <c r="R1880" t="s">
        <v>75</v>
      </c>
      <c r="S1880" t="s">
        <v>76</v>
      </c>
      <c r="T1880">
        <v>2023</v>
      </c>
      <c r="U1880" t="s">
        <v>53</v>
      </c>
    </row>
    <row r="1881" spans="1:21" x14ac:dyDescent="0.35">
      <c r="A1881" s="1">
        <v>46471</v>
      </c>
      <c r="B1881" t="s">
        <v>32</v>
      </c>
      <c r="C1881" t="s">
        <v>33</v>
      </c>
      <c r="D1881" t="s">
        <v>34</v>
      </c>
      <c r="E1881">
        <v>325</v>
      </c>
      <c r="F1881">
        <v>20</v>
      </c>
      <c r="G1881">
        <f t="shared" si="87"/>
        <v>6500</v>
      </c>
      <c r="H1881">
        <v>12</v>
      </c>
      <c r="I1881">
        <f t="shared" si="88"/>
        <v>3900</v>
      </c>
      <c r="J1881">
        <f t="shared" si="89"/>
        <v>2600</v>
      </c>
      <c r="K1881" t="s">
        <v>35</v>
      </c>
      <c r="L1881" t="s">
        <v>25</v>
      </c>
      <c r="M1881" t="s">
        <v>37</v>
      </c>
      <c r="N1881" t="s">
        <v>43</v>
      </c>
      <c r="O1881">
        <v>547</v>
      </c>
      <c r="P1881">
        <v>325</v>
      </c>
      <c r="Q1881" t="s">
        <v>74</v>
      </c>
      <c r="R1881" t="s">
        <v>75</v>
      </c>
      <c r="S1881" t="s">
        <v>76</v>
      </c>
      <c r="T1881">
        <v>2020</v>
      </c>
      <c r="U1881" t="s">
        <v>91</v>
      </c>
    </row>
    <row r="1882" spans="1:21" x14ac:dyDescent="0.35">
      <c r="A1882" s="1">
        <v>46472</v>
      </c>
      <c r="B1882" t="s">
        <v>21</v>
      </c>
      <c r="C1882" t="s">
        <v>22</v>
      </c>
      <c r="D1882" t="s">
        <v>23</v>
      </c>
      <c r="E1882">
        <v>193</v>
      </c>
      <c r="F1882">
        <v>8</v>
      </c>
      <c r="G1882">
        <f t="shared" si="87"/>
        <v>1544</v>
      </c>
      <c r="H1882">
        <v>5</v>
      </c>
      <c r="I1882">
        <f t="shared" si="88"/>
        <v>965</v>
      </c>
      <c r="J1882">
        <f t="shared" si="89"/>
        <v>579</v>
      </c>
      <c r="K1882" t="s">
        <v>35</v>
      </c>
      <c r="L1882" t="s">
        <v>25</v>
      </c>
      <c r="M1882" t="s">
        <v>37</v>
      </c>
      <c r="N1882" t="s">
        <v>43</v>
      </c>
      <c r="O1882">
        <v>536</v>
      </c>
      <c r="P1882">
        <v>193</v>
      </c>
      <c r="Q1882" t="s">
        <v>110</v>
      </c>
      <c r="R1882" t="s">
        <v>111</v>
      </c>
      <c r="S1882" t="s">
        <v>112</v>
      </c>
      <c r="T1882">
        <v>2023</v>
      </c>
      <c r="U1882" t="s">
        <v>109</v>
      </c>
    </row>
    <row r="1883" spans="1:21" x14ac:dyDescent="0.35">
      <c r="A1883" s="1">
        <v>46473</v>
      </c>
      <c r="B1883" t="s">
        <v>58</v>
      </c>
      <c r="C1883" t="s">
        <v>59</v>
      </c>
      <c r="D1883" t="s">
        <v>60</v>
      </c>
      <c r="E1883">
        <v>385</v>
      </c>
      <c r="F1883">
        <v>5</v>
      </c>
      <c r="G1883">
        <f t="shared" si="87"/>
        <v>1925</v>
      </c>
      <c r="H1883">
        <v>3</v>
      </c>
      <c r="I1883">
        <f t="shared" si="88"/>
        <v>1155</v>
      </c>
      <c r="J1883">
        <f t="shared" si="89"/>
        <v>770</v>
      </c>
      <c r="K1883" t="s">
        <v>42</v>
      </c>
      <c r="L1883" t="s">
        <v>25</v>
      </c>
      <c r="M1883" t="s">
        <v>37</v>
      </c>
      <c r="N1883" t="s">
        <v>27</v>
      </c>
      <c r="O1883">
        <v>504</v>
      </c>
      <c r="P1883">
        <v>385</v>
      </c>
      <c r="Q1883" t="s">
        <v>106</v>
      </c>
      <c r="R1883" t="s">
        <v>107</v>
      </c>
      <c r="S1883" t="s">
        <v>108</v>
      </c>
      <c r="T1883">
        <v>2024</v>
      </c>
      <c r="U1883" t="s">
        <v>86</v>
      </c>
    </row>
    <row r="1884" spans="1:21" x14ac:dyDescent="0.35">
      <c r="A1884" s="1">
        <v>46474</v>
      </c>
      <c r="B1884" t="s">
        <v>32</v>
      </c>
      <c r="C1884" t="s">
        <v>33</v>
      </c>
      <c r="D1884" t="s">
        <v>34</v>
      </c>
      <c r="E1884">
        <v>25</v>
      </c>
      <c r="F1884">
        <v>20</v>
      </c>
      <c r="G1884">
        <f t="shared" si="87"/>
        <v>500</v>
      </c>
      <c r="H1884">
        <v>12</v>
      </c>
      <c r="I1884">
        <f t="shared" si="88"/>
        <v>300</v>
      </c>
      <c r="J1884">
        <f t="shared" si="89"/>
        <v>200</v>
      </c>
      <c r="K1884" t="s">
        <v>42</v>
      </c>
      <c r="L1884" t="s">
        <v>73</v>
      </c>
      <c r="M1884" t="s">
        <v>61</v>
      </c>
      <c r="N1884" t="s">
        <v>38</v>
      </c>
      <c r="O1884">
        <v>766</v>
      </c>
      <c r="P1884">
        <v>25</v>
      </c>
      <c r="Q1884" t="s">
        <v>77</v>
      </c>
      <c r="R1884" t="s">
        <v>78</v>
      </c>
      <c r="S1884" t="s">
        <v>79</v>
      </c>
      <c r="T1884">
        <v>2023</v>
      </c>
      <c r="U1884" t="s">
        <v>91</v>
      </c>
    </row>
    <row r="1885" spans="1:21" x14ac:dyDescent="0.35">
      <c r="A1885" s="1">
        <v>46475</v>
      </c>
      <c r="B1885" t="s">
        <v>98</v>
      </c>
      <c r="C1885" t="s">
        <v>99</v>
      </c>
      <c r="D1885" t="s">
        <v>100</v>
      </c>
      <c r="E1885">
        <v>10</v>
      </c>
      <c r="F1885">
        <v>6</v>
      </c>
      <c r="G1885">
        <f t="shared" si="87"/>
        <v>60</v>
      </c>
      <c r="H1885">
        <v>4</v>
      </c>
      <c r="I1885">
        <f t="shared" si="88"/>
        <v>40</v>
      </c>
      <c r="J1885">
        <f t="shared" si="89"/>
        <v>20</v>
      </c>
      <c r="K1885" t="s">
        <v>42</v>
      </c>
      <c r="L1885" t="s">
        <v>36</v>
      </c>
      <c r="M1885" t="s">
        <v>37</v>
      </c>
      <c r="N1885" t="s">
        <v>27</v>
      </c>
      <c r="O1885">
        <v>984</v>
      </c>
      <c r="P1885">
        <v>10</v>
      </c>
      <c r="Q1885" t="s">
        <v>106</v>
      </c>
      <c r="R1885" t="s">
        <v>107</v>
      </c>
      <c r="S1885" t="s">
        <v>108</v>
      </c>
      <c r="T1885">
        <v>2021</v>
      </c>
      <c r="U1885" t="s">
        <v>47</v>
      </c>
    </row>
    <row r="1886" spans="1:21" x14ac:dyDescent="0.35">
      <c r="A1886" s="1">
        <v>46476</v>
      </c>
      <c r="B1886" t="s">
        <v>21</v>
      </c>
      <c r="C1886" t="s">
        <v>22</v>
      </c>
      <c r="D1886" t="s">
        <v>23</v>
      </c>
      <c r="E1886">
        <v>446</v>
      </c>
      <c r="F1886">
        <v>8</v>
      </c>
      <c r="G1886">
        <f t="shared" si="87"/>
        <v>3568</v>
      </c>
      <c r="H1886">
        <v>5</v>
      </c>
      <c r="I1886">
        <f t="shared" si="88"/>
        <v>2230</v>
      </c>
      <c r="J1886">
        <f t="shared" si="89"/>
        <v>1338</v>
      </c>
      <c r="K1886" t="s">
        <v>42</v>
      </c>
      <c r="L1886" t="s">
        <v>36</v>
      </c>
      <c r="M1886" t="s">
        <v>37</v>
      </c>
      <c r="N1886" t="s">
        <v>38</v>
      </c>
      <c r="O1886">
        <v>701</v>
      </c>
      <c r="P1886">
        <v>446</v>
      </c>
      <c r="Q1886" t="s">
        <v>54</v>
      </c>
      <c r="R1886" t="s">
        <v>55</v>
      </c>
      <c r="S1886" t="s">
        <v>56</v>
      </c>
      <c r="T1886">
        <v>2023</v>
      </c>
      <c r="U1886" t="s">
        <v>57</v>
      </c>
    </row>
    <row r="1887" spans="1:21" x14ac:dyDescent="0.35">
      <c r="A1887" s="1">
        <v>46477</v>
      </c>
      <c r="B1887" t="s">
        <v>98</v>
      </c>
      <c r="C1887" t="s">
        <v>99</v>
      </c>
      <c r="D1887" t="s">
        <v>100</v>
      </c>
      <c r="E1887">
        <v>12</v>
      </c>
      <c r="F1887">
        <v>6</v>
      </c>
      <c r="G1887">
        <f t="shared" si="87"/>
        <v>72</v>
      </c>
      <c r="H1887">
        <v>4</v>
      </c>
      <c r="I1887">
        <f t="shared" si="88"/>
        <v>48</v>
      </c>
      <c r="J1887">
        <f t="shared" si="89"/>
        <v>24</v>
      </c>
      <c r="K1887" t="s">
        <v>35</v>
      </c>
      <c r="L1887" t="s">
        <v>25</v>
      </c>
      <c r="M1887" t="s">
        <v>37</v>
      </c>
      <c r="N1887" t="s">
        <v>38</v>
      </c>
      <c r="O1887">
        <v>913</v>
      </c>
      <c r="P1887">
        <v>12</v>
      </c>
      <c r="Q1887" t="s">
        <v>74</v>
      </c>
      <c r="R1887" t="s">
        <v>75</v>
      </c>
      <c r="S1887" t="s">
        <v>76</v>
      </c>
      <c r="T1887">
        <v>2022</v>
      </c>
      <c r="U1887" t="s">
        <v>96</v>
      </c>
    </row>
    <row r="1888" spans="1:21" x14ac:dyDescent="0.35">
      <c r="A1888" s="1">
        <v>46478</v>
      </c>
      <c r="B1888" t="s">
        <v>32</v>
      </c>
      <c r="C1888" t="s">
        <v>33</v>
      </c>
      <c r="D1888" t="s">
        <v>34</v>
      </c>
      <c r="E1888">
        <v>147</v>
      </c>
      <c r="F1888">
        <v>20</v>
      </c>
      <c r="G1888">
        <f t="shared" si="87"/>
        <v>2940</v>
      </c>
      <c r="H1888">
        <v>12</v>
      </c>
      <c r="I1888">
        <f t="shared" si="88"/>
        <v>1764</v>
      </c>
      <c r="J1888">
        <f t="shared" si="89"/>
        <v>1176</v>
      </c>
      <c r="K1888" t="s">
        <v>24</v>
      </c>
      <c r="L1888" t="s">
        <v>73</v>
      </c>
      <c r="M1888" t="s">
        <v>26</v>
      </c>
      <c r="N1888" t="s">
        <v>38</v>
      </c>
      <c r="O1888">
        <v>980</v>
      </c>
      <c r="P1888">
        <v>147</v>
      </c>
      <c r="Q1888" t="s">
        <v>39</v>
      </c>
      <c r="R1888" t="s">
        <v>40</v>
      </c>
      <c r="S1888" t="s">
        <v>41</v>
      </c>
      <c r="T1888">
        <v>2022</v>
      </c>
      <c r="U1888" t="s">
        <v>57</v>
      </c>
    </row>
    <row r="1889" spans="1:21" x14ac:dyDescent="0.35">
      <c r="A1889" s="1">
        <v>46479</v>
      </c>
      <c r="B1889" t="s">
        <v>48</v>
      </c>
      <c r="C1889" t="s">
        <v>49</v>
      </c>
      <c r="D1889" t="s">
        <v>50</v>
      </c>
      <c r="E1889">
        <v>66</v>
      </c>
      <c r="F1889">
        <v>150</v>
      </c>
      <c r="G1889">
        <f t="shared" si="87"/>
        <v>9900</v>
      </c>
      <c r="H1889">
        <v>100</v>
      </c>
      <c r="I1889">
        <f t="shared" si="88"/>
        <v>6600</v>
      </c>
      <c r="J1889">
        <f t="shared" si="89"/>
        <v>3300</v>
      </c>
      <c r="K1889" t="s">
        <v>42</v>
      </c>
      <c r="L1889" t="s">
        <v>25</v>
      </c>
      <c r="M1889" t="s">
        <v>26</v>
      </c>
      <c r="N1889" t="s">
        <v>43</v>
      </c>
      <c r="O1889">
        <v>685</v>
      </c>
      <c r="P1889">
        <v>66</v>
      </c>
      <c r="Q1889" t="s">
        <v>92</v>
      </c>
      <c r="R1889" t="s">
        <v>45</v>
      </c>
      <c r="S1889" t="s">
        <v>93</v>
      </c>
      <c r="T1889">
        <v>2021</v>
      </c>
      <c r="U1889" t="s">
        <v>109</v>
      </c>
    </row>
    <row r="1890" spans="1:21" x14ac:dyDescent="0.35">
      <c r="A1890" s="1">
        <v>46480</v>
      </c>
      <c r="B1890" t="s">
        <v>80</v>
      </c>
      <c r="C1890" t="s">
        <v>81</v>
      </c>
      <c r="D1890" t="s">
        <v>82</v>
      </c>
      <c r="E1890">
        <v>146</v>
      </c>
      <c r="F1890">
        <v>2.5</v>
      </c>
      <c r="G1890">
        <f t="shared" si="87"/>
        <v>365</v>
      </c>
      <c r="H1890">
        <v>1.5</v>
      </c>
      <c r="I1890">
        <f t="shared" si="88"/>
        <v>219</v>
      </c>
      <c r="J1890">
        <f t="shared" si="89"/>
        <v>146</v>
      </c>
      <c r="K1890" t="s">
        <v>35</v>
      </c>
      <c r="L1890" t="s">
        <v>63</v>
      </c>
      <c r="M1890" t="s">
        <v>26</v>
      </c>
      <c r="N1890" t="s">
        <v>38</v>
      </c>
      <c r="O1890">
        <v>561</v>
      </c>
      <c r="P1890">
        <v>146</v>
      </c>
      <c r="Q1890" t="s">
        <v>39</v>
      </c>
      <c r="R1890" t="s">
        <v>40</v>
      </c>
      <c r="S1890" t="s">
        <v>41</v>
      </c>
      <c r="T1890">
        <v>2020</v>
      </c>
      <c r="U1890" t="s">
        <v>109</v>
      </c>
    </row>
    <row r="1891" spans="1:21" x14ac:dyDescent="0.35">
      <c r="A1891" s="1">
        <v>46481</v>
      </c>
      <c r="B1891" t="s">
        <v>58</v>
      </c>
      <c r="C1891" t="s">
        <v>59</v>
      </c>
      <c r="D1891" t="s">
        <v>60</v>
      </c>
      <c r="E1891">
        <v>55</v>
      </c>
      <c r="F1891">
        <v>5</v>
      </c>
      <c r="G1891">
        <f t="shared" si="87"/>
        <v>275</v>
      </c>
      <c r="H1891">
        <v>3</v>
      </c>
      <c r="I1891">
        <f t="shared" si="88"/>
        <v>165</v>
      </c>
      <c r="J1891">
        <f t="shared" si="89"/>
        <v>110</v>
      </c>
      <c r="K1891" t="s">
        <v>35</v>
      </c>
      <c r="L1891" t="s">
        <v>36</v>
      </c>
      <c r="M1891" t="s">
        <v>61</v>
      </c>
      <c r="N1891" t="s">
        <v>43</v>
      </c>
      <c r="O1891">
        <v>735</v>
      </c>
      <c r="P1891">
        <v>55</v>
      </c>
      <c r="Q1891" t="s">
        <v>54</v>
      </c>
      <c r="R1891" t="s">
        <v>55</v>
      </c>
      <c r="S1891" t="s">
        <v>56</v>
      </c>
      <c r="T1891">
        <v>2024</v>
      </c>
      <c r="U1891" t="s">
        <v>57</v>
      </c>
    </row>
    <row r="1892" spans="1:21" x14ac:dyDescent="0.35">
      <c r="A1892" s="1">
        <v>46482</v>
      </c>
      <c r="B1892" t="s">
        <v>32</v>
      </c>
      <c r="C1892" t="s">
        <v>33</v>
      </c>
      <c r="D1892" t="s">
        <v>34</v>
      </c>
      <c r="E1892">
        <v>440</v>
      </c>
      <c r="F1892">
        <v>20</v>
      </c>
      <c r="G1892">
        <f t="shared" si="87"/>
        <v>8800</v>
      </c>
      <c r="H1892">
        <v>12</v>
      </c>
      <c r="I1892">
        <f t="shared" si="88"/>
        <v>5280</v>
      </c>
      <c r="J1892">
        <f t="shared" si="89"/>
        <v>3520</v>
      </c>
      <c r="K1892" t="s">
        <v>35</v>
      </c>
      <c r="L1892" t="s">
        <v>63</v>
      </c>
      <c r="M1892" t="s">
        <v>61</v>
      </c>
      <c r="N1892" t="s">
        <v>43</v>
      </c>
      <c r="O1892">
        <v>884</v>
      </c>
      <c r="P1892">
        <v>440</v>
      </c>
      <c r="Q1892" t="s">
        <v>77</v>
      </c>
      <c r="R1892" t="s">
        <v>78</v>
      </c>
      <c r="S1892" t="s">
        <v>79</v>
      </c>
      <c r="T1892">
        <v>2024</v>
      </c>
      <c r="U1892" t="s">
        <v>31</v>
      </c>
    </row>
    <row r="1893" spans="1:21" x14ac:dyDescent="0.35">
      <c r="A1893" s="1">
        <v>46483</v>
      </c>
      <c r="B1893" t="s">
        <v>32</v>
      </c>
      <c r="C1893" t="s">
        <v>33</v>
      </c>
      <c r="D1893" t="s">
        <v>34</v>
      </c>
      <c r="E1893">
        <v>63</v>
      </c>
      <c r="F1893">
        <v>20</v>
      </c>
      <c r="G1893">
        <f t="shared" si="87"/>
        <v>1260</v>
      </c>
      <c r="H1893">
        <v>12</v>
      </c>
      <c r="I1893">
        <f t="shared" si="88"/>
        <v>756</v>
      </c>
      <c r="J1893">
        <f t="shared" si="89"/>
        <v>504</v>
      </c>
      <c r="K1893" t="s">
        <v>24</v>
      </c>
      <c r="L1893" t="s">
        <v>36</v>
      </c>
      <c r="M1893" t="s">
        <v>37</v>
      </c>
      <c r="N1893" t="s">
        <v>43</v>
      </c>
      <c r="O1893">
        <v>877</v>
      </c>
      <c r="P1893">
        <v>63</v>
      </c>
      <c r="Q1893" t="s">
        <v>103</v>
      </c>
      <c r="R1893" t="s">
        <v>68</v>
      </c>
      <c r="S1893" t="s">
        <v>104</v>
      </c>
      <c r="T1893">
        <v>2021</v>
      </c>
      <c r="U1893" t="s">
        <v>57</v>
      </c>
    </row>
    <row r="1894" spans="1:21" x14ac:dyDescent="0.35">
      <c r="A1894" s="1">
        <v>46484</v>
      </c>
      <c r="B1894" t="s">
        <v>21</v>
      </c>
      <c r="C1894" t="s">
        <v>22</v>
      </c>
      <c r="D1894" t="s">
        <v>23</v>
      </c>
      <c r="E1894">
        <v>407</v>
      </c>
      <c r="F1894">
        <v>8</v>
      </c>
      <c r="G1894">
        <f t="shared" si="87"/>
        <v>3256</v>
      </c>
      <c r="H1894">
        <v>5</v>
      </c>
      <c r="I1894">
        <f t="shared" si="88"/>
        <v>2035</v>
      </c>
      <c r="J1894">
        <f t="shared" si="89"/>
        <v>1221</v>
      </c>
      <c r="K1894" t="s">
        <v>24</v>
      </c>
      <c r="L1894" t="s">
        <v>73</v>
      </c>
      <c r="M1894" t="s">
        <v>26</v>
      </c>
      <c r="N1894" t="s">
        <v>27</v>
      </c>
      <c r="O1894">
        <v>735</v>
      </c>
      <c r="P1894">
        <v>407</v>
      </c>
      <c r="Q1894" t="s">
        <v>70</v>
      </c>
      <c r="R1894" t="s">
        <v>71</v>
      </c>
      <c r="S1894" t="s">
        <v>72</v>
      </c>
      <c r="T1894">
        <v>2023</v>
      </c>
      <c r="U1894" t="s">
        <v>62</v>
      </c>
    </row>
    <row r="1895" spans="1:21" x14ac:dyDescent="0.35">
      <c r="A1895" s="1">
        <v>46485</v>
      </c>
      <c r="B1895" t="s">
        <v>80</v>
      </c>
      <c r="C1895" t="s">
        <v>81</v>
      </c>
      <c r="D1895" t="s">
        <v>82</v>
      </c>
      <c r="E1895">
        <v>326</v>
      </c>
      <c r="F1895">
        <v>2.5</v>
      </c>
      <c r="G1895">
        <f t="shared" si="87"/>
        <v>815</v>
      </c>
      <c r="H1895">
        <v>1.5</v>
      </c>
      <c r="I1895">
        <f t="shared" si="88"/>
        <v>489</v>
      </c>
      <c r="J1895">
        <f t="shared" si="89"/>
        <v>326</v>
      </c>
      <c r="K1895" t="s">
        <v>42</v>
      </c>
      <c r="L1895" t="s">
        <v>73</v>
      </c>
      <c r="M1895" t="s">
        <v>61</v>
      </c>
      <c r="N1895" t="s">
        <v>43</v>
      </c>
      <c r="O1895">
        <v>893</v>
      </c>
      <c r="P1895">
        <v>326</v>
      </c>
      <c r="Q1895" t="s">
        <v>92</v>
      </c>
      <c r="R1895" t="s">
        <v>45</v>
      </c>
      <c r="S1895" t="s">
        <v>93</v>
      </c>
      <c r="T1895">
        <v>2020</v>
      </c>
      <c r="U1895" t="s">
        <v>96</v>
      </c>
    </row>
    <row r="1896" spans="1:21" x14ac:dyDescent="0.35">
      <c r="A1896" s="1">
        <v>46486</v>
      </c>
      <c r="B1896" t="s">
        <v>48</v>
      </c>
      <c r="C1896" t="s">
        <v>49</v>
      </c>
      <c r="D1896" t="s">
        <v>50</v>
      </c>
      <c r="E1896">
        <v>494</v>
      </c>
      <c r="F1896">
        <v>150</v>
      </c>
      <c r="G1896">
        <f t="shared" si="87"/>
        <v>74100</v>
      </c>
      <c r="H1896">
        <v>100</v>
      </c>
      <c r="I1896">
        <f t="shared" si="88"/>
        <v>49400</v>
      </c>
      <c r="J1896">
        <f t="shared" si="89"/>
        <v>24700</v>
      </c>
      <c r="K1896" t="s">
        <v>35</v>
      </c>
      <c r="L1896" t="s">
        <v>63</v>
      </c>
      <c r="M1896" t="s">
        <v>61</v>
      </c>
      <c r="N1896" t="s">
        <v>38</v>
      </c>
      <c r="O1896">
        <v>774</v>
      </c>
      <c r="P1896">
        <v>494</v>
      </c>
      <c r="Q1896" t="s">
        <v>67</v>
      </c>
      <c r="R1896" t="s">
        <v>68</v>
      </c>
      <c r="S1896" t="s">
        <v>69</v>
      </c>
      <c r="T1896">
        <v>2024</v>
      </c>
      <c r="U1896" t="s">
        <v>105</v>
      </c>
    </row>
    <row r="1897" spans="1:21" x14ac:dyDescent="0.35">
      <c r="A1897" s="1">
        <v>46487</v>
      </c>
      <c r="B1897" t="s">
        <v>98</v>
      </c>
      <c r="C1897" t="s">
        <v>99</v>
      </c>
      <c r="D1897" t="s">
        <v>100</v>
      </c>
      <c r="E1897">
        <v>95</v>
      </c>
      <c r="F1897">
        <v>6</v>
      </c>
      <c r="G1897">
        <f t="shared" si="87"/>
        <v>570</v>
      </c>
      <c r="H1897">
        <v>4</v>
      </c>
      <c r="I1897">
        <f t="shared" si="88"/>
        <v>380</v>
      </c>
      <c r="J1897">
        <f t="shared" si="89"/>
        <v>190</v>
      </c>
      <c r="K1897" t="s">
        <v>24</v>
      </c>
      <c r="L1897" t="s">
        <v>25</v>
      </c>
      <c r="M1897" t="s">
        <v>37</v>
      </c>
      <c r="N1897" t="s">
        <v>43</v>
      </c>
      <c r="O1897">
        <v>652</v>
      </c>
      <c r="P1897">
        <v>95</v>
      </c>
      <c r="Q1897" t="s">
        <v>87</v>
      </c>
      <c r="R1897" t="s">
        <v>88</v>
      </c>
      <c r="S1897" t="s">
        <v>89</v>
      </c>
      <c r="T1897">
        <v>2023</v>
      </c>
      <c r="U1897" t="s">
        <v>105</v>
      </c>
    </row>
    <row r="1898" spans="1:21" x14ac:dyDescent="0.35">
      <c r="A1898" s="1">
        <v>46488</v>
      </c>
      <c r="B1898" t="s">
        <v>98</v>
      </c>
      <c r="C1898" t="s">
        <v>99</v>
      </c>
      <c r="D1898" t="s">
        <v>100</v>
      </c>
      <c r="E1898">
        <v>228</v>
      </c>
      <c r="F1898">
        <v>6</v>
      </c>
      <c r="G1898">
        <f t="shared" si="87"/>
        <v>1368</v>
      </c>
      <c r="H1898">
        <v>4</v>
      </c>
      <c r="I1898">
        <f t="shared" si="88"/>
        <v>912</v>
      </c>
      <c r="J1898">
        <f t="shared" si="89"/>
        <v>456</v>
      </c>
      <c r="K1898" t="s">
        <v>35</v>
      </c>
      <c r="L1898" t="s">
        <v>36</v>
      </c>
      <c r="M1898" t="s">
        <v>26</v>
      </c>
      <c r="N1898" t="s">
        <v>43</v>
      </c>
      <c r="O1898">
        <v>615</v>
      </c>
      <c r="P1898">
        <v>228</v>
      </c>
      <c r="Q1898" t="s">
        <v>44</v>
      </c>
      <c r="R1898" t="s">
        <v>45</v>
      </c>
      <c r="S1898" t="s">
        <v>46</v>
      </c>
      <c r="T1898">
        <v>2023</v>
      </c>
      <c r="U1898" t="s">
        <v>31</v>
      </c>
    </row>
    <row r="1899" spans="1:21" x14ac:dyDescent="0.35">
      <c r="A1899" s="1">
        <v>46489</v>
      </c>
      <c r="B1899" t="s">
        <v>58</v>
      </c>
      <c r="C1899" t="s">
        <v>59</v>
      </c>
      <c r="D1899" t="s">
        <v>60</v>
      </c>
      <c r="E1899">
        <v>157</v>
      </c>
      <c r="F1899">
        <v>5</v>
      </c>
      <c r="G1899">
        <f t="shared" si="87"/>
        <v>785</v>
      </c>
      <c r="H1899">
        <v>3</v>
      </c>
      <c r="I1899">
        <f t="shared" si="88"/>
        <v>471</v>
      </c>
      <c r="J1899">
        <f t="shared" si="89"/>
        <v>314</v>
      </c>
      <c r="K1899" t="s">
        <v>24</v>
      </c>
      <c r="L1899" t="s">
        <v>25</v>
      </c>
      <c r="M1899" t="s">
        <v>37</v>
      </c>
      <c r="N1899" t="s">
        <v>43</v>
      </c>
      <c r="O1899">
        <v>757</v>
      </c>
      <c r="P1899">
        <v>157</v>
      </c>
      <c r="Q1899" t="s">
        <v>70</v>
      </c>
      <c r="R1899" t="s">
        <v>71</v>
      </c>
      <c r="S1899" t="s">
        <v>72</v>
      </c>
      <c r="T1899">
        <v>2023</v>
      </c>
      <c r="U1899" t="s">
        <v>105</v>
      </c>
    </row>
    <row r="1900" spans="1:21" x14ac:dyDescent="0.35">
      <c r="A1900" s="1">
        <v>46490</v>
      </c>
      <c r="B1900" t="s">
        <v>98</v>
      </c>
      <c r="C1900" t="s">
        <v>99</v>
      </c>
      <c r="D1900" t="s">
        <v>100</v>
      </c>
      <c r="E1900">
        <v>496</v>
      </c>
      <c r="F1900">
        <v>6</v>
      </c>
      <c r="G1900">
        <f t="shared" si="87"/>
        <v>2976</v>
      </c>
      <c r="H1900">
        <v>4</v>
      </c>
      <c r="I1900">
        <f t="shared" si="88"/>
        <v>1984</v>
      </c>
      <c r="J1900">
        <f t="shared" si="89"/>
        <v>992</v>
      </c>
      <c r="K1900" t="s">
        <v>24</v>
      </c>
      <c r="L1900" t="s">
        <v>36</v>
      </c>
      <c r="M1900" t="s">
        <v>37</v>
      </c>
      <c r="N1900" t="s">
        <v>38</v>
      </c>
      <c r="O1900">
        <v>931</v>
      </c>
      <c r="P1900">
        <v>496</v>
      </c>
      <c r="Q1900" t="s">
        <v>94</v>
      </c>
      <c r="R1900" t="s">
        <v>75</v>
      </c>
      <c r="S1900" t="s">
        <v>95</v>
      </c>
      <c r="T1900">
        <v>2020</v>
      </c>
      <c r="U1900" t="s">
        <v>96</v>
      </c>
    </row>
    <row r="1901" spans="1:21" x14ac:dyDescent="0.35">
      <c r="A1901" s="1">
        <v>46491</v>
      </c>
      <c r="B1901" t="s">
        <v>32</v>
      </c>
      <c r="C1901" t="s">
        <v>33</v>
      </c>
      <c r="D1901" t="s">
        <v>34</v>
      </c>
      <c r="E1901">
        <v>270</v>
      </c>
      <c r="F1901">
        <v>20</v>
      </c>
      <c r="G1901">
        <f t="shared" si="87"/>
        <v>5400</v>
      </c>
      <c r="H1901">
        <v>12</v>
      </c>
      <c r="I1901">
        <f t="shared" si="88"/>
        <v>3240</v>
      </c>
      <c r="J1901">
        <f t="shared" si="89"/>
        <v>2160</v>
      </c>
      <c r="K1901" t="s">
        <v>24</v>
      </c>
      <c r="L1901" t="s">
        <v>63</v>
      </c>
      <c r="M1901" t="s">
        <v>61</v>
      </c>
      <c r="N1901" t="s">
        <v>38</v>
      </c>
      <c r="O1901">
        <v>750</v>
      </c>
      <c r="P1901">
        <v>270</v>
      </c>
      <c r="Q1901" t="s">
        <v>44</v>
      </c>
      <c r="R1901" t="s">
        <v>45</v>
      </c>
      <c r="S1901" t="s">
        <v>46</v>
      </c>
      <c r="T1901">
        <v>2022</v>
      </c>
      <c r="U1901" t="s">
        <v>57</v>
      </c>
    </row>
    <row r="1902" spans="1:21" x14ac:dyDescent="0.35">
      <c r="A1902" s="1">
        <v>46492</v>
      </c>
      <c r="B1902" t="s">
        <v>98</v>
      </c>
      <c r="C1902" t="s">
        <v>99</v>
      </c>
      <c r="D1902" t="s">
        <v>100</v>
      </c>
      <c r="E1902">
        <v>288</v>
      </c>
      <c r="F1902">
        <v>6</v>
      </c>
      <c r="G1902">
        <f t="shared" si="87"/>
        <v>1728</v>
      </c>
      <c r="H1902">
        <v>4</v>
      </c>
      <c r="I1902">
        <f t="shared" si="88"/>
        <v>1152</v>
      </c>
      <c r="J1902">
        <f t="shared" si="89"/>
        <v>576</v>
      </c>
      <c r="K1902" t="s">
        <v>42</v>
      </c>
      <c r="L1902" t="s">
        <v>25</v>
      </c>
      <c r="M1902" t="s">
        <v>61</v>
      </c>
      <c r="N1902" t="s">
        <v>27</v>
      </c>
      <c r="O1902">
        <v>680</v>
      </c>
      <c r="P1902">
        <v>288</v>
      </c>
      <c r="Q1902" t="s">
        <v>64</v>
      </c>
      <c r="R1902" t="s">
        <v>29</v>
      </c>
      <c r="S1902" t="s">
        <v>65</v>
      </c>
      <c r="T1902">
        <v>2021</v>
      </c>
      <c r="U1902" t="s">
        <v>105</v>
      </c>
    </row>
    <row r="1903" spans="1:21" x14ac:dyDescent="0.35">
      <c r="A1903" s="1">
        <v>46493</v>
      </c>
      <c r="B1903" t="s">
        <v>21</v>
      </c>
      <c r="C1903" t="s">
        <v>22</v>
      </c>
      <c r="D1903" t="s">
        <v>23</v>
      </c>
      <c r="E1903">
        <v>48</v>
      </c>
      <c r="F1903">
        <v>8</v>
      </c>
      <c r="G1903">
        <f t="shared" si="87"/>
        <v>384</v>
      </c>
      <c r="H1903">
        <v>5</v>
      </c>
      <c r="I1903">
        <f t="shared" si="88"/>
        <v>240</v>
      </c>
      <c r="J1903">
        <f t="shared" si="89"/>
        <v>144</v>
      </c>
      <c r="K1903" t="s">
        <v>24</v>
      </c>
      <c r="L1903" t="s">
        <v>25</v>
      </c>
      <c r="M1903" t="s">
        <v>61</v>
      </c>
      <c r="N1903" t="s">
        <v>43</v>
      </c>
      <c r="O1903">
        <v>929</v>
      </c>
      <c r="P1903">
        <v>48</v>
      </c>
      <c r="Q1903" t="s">
        <v>110</v>
      </c>
      <c r="R1903" t="s">
        <v>111</v>
      </c>
      <c r="S1903" t="s">
        <v>112</v>
      </c>
      <c r="T1903">
        <v>2023</v>
      </c>
      <c r="U1903" t="s">
        <v>109</v>
      </c>
    </row>
    <row r="1904" spans="1:21" x14ac:dyDescent="0.35">
      <c r="A1904" s="1">
        <v>46494</v>
      </c>
      <c r="B1904" t="s">
        <v>80</v>
      </c>
      <c r="C1904" t="s">
        <v>81</v>
      </c>
      <c r="D1904" t="s">
        <v>82</v>
      </c>
      <c r="E1904">
        <v>499</v>
      </c>
      <c r="F1904">
        <v>2.5</v>
      </c>
      <c r="G1904">
        <f t="shared" si="87"/>
        <v>1247.5</v>
      </c>
      <c r="H1904">
        <v>1.5</v>
      </c>
      <c r="I1904">
        <f t="shared" si="88"/>
        <v>748.5</v>
      </c>
      <c r="J1904">
        <f t="shared" si="89"/>
        <v>499</v>
      </c>
      <c r="K1904" t="s">
        <v>35</v>
      </c>
      <c r="L1904" t="s">
        <v>73</v>
      </c>
      <c r="M1904" t="s">
        <v>37</v>
      </c>
      <c r="N1904" t="s">
        <v>27</v>
      </c>
      <c r="O1904">
        <v>761</v>
      </c>
      <c r="P1904">
        <v>499</v>
      </c>
      <c r="Q1904" t="s">
        <v>67</v>
      </c>
      <c r="R1904" t="s">
        <v>68</v>
      </c>
      <c r="S1904" t="s">
        <v>69</v>
      </c>
      <c r="T1904">
        <v>2023</v>
      </c>
      <c r="U1904" t="s">
        <v>97</v>
      </c>
    </row>
    <row r="1905" spans="1:21" x14ac:dyDescent="0.35">
      <c r="A1905" s="1">
        <v>46495</v>
      </c>
      <c r="B1905" t="s">
        <v>80</v>
      </c>
      <c r="C1905" t="s">
        <v>81</v>
      </c>
      <c r="D1905" t="s">
        <v>82</v>
      </c>
      <c r="E1905">
        <v>27</v>
      </c>
      <c r="F1905">
        <v>2.5</v>
      </c>
      <c r="G1905">
        <f t="shared" si="87"/>
        <v>67.5</v>
      </c>
      <c r="H1905">
        <v>1.5</v>
      </c>
      <c r="I1905">
        <f t="shared" si="88"/>
        <v>40.5</v>
      </c>
      <c r="J1905">
        <f t="shared" si="89"/>
        <v>27</v>
      </c>
      <c r="K1905" t="s">
        <v>24</v>
      </c>
      <c r="L1905" t="s">
        <v>63</v>
      </c>
      <c r="M1905" t="s">
        <v>37</v>
      </c>
      <c r="N1905" t="s">
        <v>38</v>
      </c>
      <c r="O1905">
        <v>891</v>
      </c>
      <c r="P1905">
        <v>27</v>
      </c>
      <c r="Q1905" t="s">
        <v>92</v>
      </c>
      <c r="R1905" t="s">
        <v>45</v>
      </c>
      <c r="S1905" t="s">
        <v>93</v>
      </c>
      <c r="T1905">
        <v>2021</v>
      </c>
      <c r="U1905" t="s">
        <v>57</v>
      </c>
    </row>
    <row r="1906" spans="1:21" x14ac:dyDescent="0.35">
      <c r="A1906" s="1">
        <v>46496</v>
      </c>
      <c r="B1906" t="s">
        <v>21</v>
      </c>
      <c r="C1906" t="s">
        <v>22</v>
      </c>
      <c r="D1906" t="s">
        <v>23</v>
      </c>
      <c r="E1906">
        <v>397</v>
      </c>
      <c r="F1906">
        <v>8</v>
      </c>
      <c r="G1906">
        <f t="shared" si="87"/>
        <v>3176</v>
      </c>
      <c r="H1906">
        <v>5</v>
      </c>
      <c r="I1906">
        <f t="shared" si="88"/>
        <v>1985</v>
      </c>
      <c r="J1906">
        <f t="shared" si="89"/>
        <v>1191</v>
      </c>
      <c r="K1906" t="s">
        <v>42</v>
      </c>
      <c r="L1906" t="s">
        <v>63</v>
      </c>
      <c r="M1906" t="s">
        <v>61</v>
      </c>
      <c r="N1906" t="s">
        <v>43</v>
      </c>
      <c r="O1906">
        <v>835</v>
      </c>
      <c r="P1906">
        <v>397</v>
      </c>
      <c r="Q1906" t="s">
        <v>92</v>
      </c>
      <c r="R1906" t="s">
        <v>45</v>
      </c>
      <c r="S1906" t="s">
        <v>93</v>
      </c>
      <c r="T1906">
        <v>2024</v>
      </c>
      <c r="U1906" t="s">
        <v>66</v>
      </c>
    </row>
    <row r="1907" spans="1:21" x14ac:dyDescent="0.35">
      <c r="A1907" s="1">
        <v>46497</v>
      </c>
      <c r="B1907" t="s">
        <v>58</v>
      </c>
      <c r="C1907" t="s">
        <v>59</v>
      </c>
      <c r="D1907" t="s">
        <v>60</v>
      </c>
      <c r="E1907">
        <v>459</v>
      </c>
      <c r="F1907">
        <v>5</v>
      </c>
      <c r="G1907">
        <f t="shared" si="87"/>
        <v>2295</v>
      </c>
      <c r="H1907">
        <v>3</v>
      </c>
      <c r="I1907">
        <f t="shared" si="88"/>
        <v>1377</v>
      </c>
      <c r="J1907">
        <f t="shared" si="89"/>
        <v>918</v>
      </c>
      <c r="K1907" t="s">
        <v>24</v>
      </c>
      <c r="L1907" t="s">
        <v>25</v>
      </c>
      <c r="M1907" t="s">
        <v>37</v>
      </c>
      <c r="N1907" t="s">
        <v>43</v>
      </c>
      <c r="O1907">
        <v>875</v>
      </c>
      <c r="P1907">
        <v>459</v>
      </c>
      <c r="Q1907" t="s">
        <v>74</v>
      </c>
      <c r="R1907" t="s">
        <v>75</v>
      </c>
      <c r="S1907" t="s">
        <v>76</v>
      </c>
      <c r="T1907">
        <v>2020</v>
      </c>
      <c r="U1907" t="s">
        <v>97</v>
      </c>
    </row>
    <row r="1908" spans="1:21" x14ac:dyDescent="0.35">
      <c r="A1908" s="1">
        <v>46498</v>
      </c>
      <c r="B1908" t="s">
        <v>58</v>
      </c>
      <c r="C1908" t="s">
        <v>59</v>
      </c>
      <c r="D1908" t="s">
        <v>60</v>
      </c>
      <c r="E1908">
        <v>322</v>
      </c>
      <c r="F1908">
        <v>5</v>
      </c>
      <c r="G1908">
        <f t="shared" si="87"/>
        <v>1610</v>
      </c>
      <c r="H1908">
        <v>3</v>
      </c>
      <c r="I1908">
        <f t="shared" si="88"/>
        <v>966</v>
      </c>
      <c r="J1908">
        <f t="shared" si="89"/>
        <v>644</v>
      </c>
      <c r="K1908" t="s">
        <v>24</v>
      </c>
      <c r="L1908" t="s">
        <v>25</v>
      </c>
      <c r="M1908" t="s">
        <v>26</v>
      </c>
      <c r="N1908" t="s">
        <v>27</v>
      </c>
      <c r="O1908">
        <v>812</v>
      </c>
      <c r="P1908">
        <v>322</v>
      </c>
      <c r="Q1908" t="s">
        <v>77</v>
      </c>
      <c r="R1908" t="s">
        <v>78</v>
      </c>
      <c r="S1908" t="s">
        <v>79</v>
      </c>
      <c r="T1908">
        <v>2023</v>
      </c>
      <c r="U1908" t="s">
        <v>31</v>
      </c>
    </row>
    <row r="1909" spans="1:21" x14ac:dyDescent="0.35">
      <c r="A1909" s="1">
        <v>46499</v>
      </c>
      <c r="B1909" t="s">
        <v>98</v>
      </c>
      <c r="C1909" t="s">
        <v>99</v>
      </c>
      <c r="D1909" t="s">
        <v>100</v>
      </c>
      <c r="E1909">
        <v>438</v>
      </c>
      <c r="F1909">
        <v>6</v>
      </c>
      <c r="G1909">
        <f t="shared" si="87"/>
        <v>2628</v>
      </c>
      <c r="H1909">
        <v>4</v>
      </c>
      <c r="I1909">
        <f t="shared" si="88"/>
        <v>1752</v>
      </c>
      <c r="J1909">
        <f t="shared" si="89"/>
        <v>876</v>
      </c>
      <c r="K1909" t="s">
        <v>24</v>
      </c>
      <c r="L1909" t="s">
        <v>25</v>
      </c>
      <c r="M1909" t="s">
        <v>61</v>
      </c>
      <c r="N1909" t="s">
        <v>38</v>
      </c>
      <c r="O1909">
        <v>820</v>
      </c>
      <c r="P1909">
        <v>438</v>
      </c>
      <c r="Q1909" t="s">
        <v>106</v>
      </c>
      <c r="R1909" t="s">
        <v>107</v>
      </c>
      <c r="S1909" t="s">
        <v>108</v>
      </c>
      <c r="T1909">
        <v>2020</v>
      </c>
      <c r="U1909" t="s">
        <v>66</v>
      </c>
    </row>
    <row r="1910" spans="1:21" x14ac:dyDescent="0.35">
      <c r="A1910" s="1">
        <v>46500</v>
      </c>
      <c r="B1910" t="s">
        <v>58</v>
      </c>
      <c r="C1910" t="s">
        <v>59</v>
      </c>
      <c r="D1910" t="s">
        <v>60</v>
      </c>
      <c r="E1910">
        <v>60</v>
      </c>
      <c r="F1910">
        <v>5</v>
      </c>
      <c r="G1910">
        <f t="shared" si="87"/>
        <v>300</v>
      </c>
      <c r="H1910">
        <v>3</v>
      </c>
      <c r="I1910">
        <f t="shared" si="88"/>
        <v>180</v>
      </c>
      <c r="J1910">
        <f t="shared" si="89"/>
        <v>120</v>
      </c>
      <c r="K1910" t="s">
        <v>35</v>
      </c>
      <c r="L1910" t="s">
        <v>63</v>
      </c>
      <c r="M1910" t="s">
        <v>61</v>
      </c>
      <c r="N1910" t="s">
        <v>38</v>
      </c>
      <c r="O1910">
        <v>543</v>
      </c>
      <c r="P1910">
        <v>60</v>
      </c>
      <c r="Q1910" t="s">
        <v>67</v>
      </c>
      <c r="R1910" t="s">
        <v>68</v>
      </c>
      <c r="S1910" t="s">
        <v>69</v>
      </c>
      <c r="T1910">
        <v>2024</v>
      </c>
      <c r="U1910" t="s">
        <v>62</v>
      </c>
    </row>
    <row r="1911" spans="1:21" x14ac:dyDescent="0.35">
      <c r="A1911" s="1">
        <v>46501</v>
      </c>
      <c r="B1911" t="s">
        <v>32</v>
      </c>
      <c r="C1911" t="s">
        <v>33</v>
      </c>
      <c r="D1911" t="s">
        <v>34</v>
      </c>
      <c r="E1911">
        <v>95</v>
      </c>
      <c r="F1911">
        <v>20</v>
      </c>
      <c r="G1911">
        <f t="shared" si="87"/>
        <v>1900</v>
      </c>
      <c r="H1911">
        <v>12</v>
      </c>
      <c r="I1911">
        <f t="shared" si="88"/>
        <v>1140</v>
      </c>
      <c r="J1911">
        <f t="shared" si="89"/>
        <v>760</v>
      </c>
      <c r="K1911" t="s">
        <v>35</v>
      </c>
      <c r="L1911" t="s">
        <v>25</v>
      </c>
      <c r="M1911" t="s">
        <v>61</v>
      </c>
      <c r="N1911" t="s">
        <v>38</v>
      </c>
      <c r="O1911">
        <v>531</v>
      </c>
      <c r="P1911">
        <v>95</v>
      </c>
      <c r="Q1911" t="s">
        <v>51</v>
      </c>
      <c r="R1911" t="s">
        <v>45</v>
      </c>
      <c r="S1911" t="s">
        <v>52</v>
      </c>
      <c r="T1911">
        <v>2024</v>
      </c>
      <c r="U1911" t="s">
        <v>96</v>
      </c>
    </row>
    <row r="1912" spans="1:21" x14ac:dyDescent="0.35">
      <c r="A1912" s="1">
        <v>46502</v>
      </c>
      <c r="B1912" t="s">
        <v>21</v>
      </c>
      <c r="C1912" t="s">
        <v>22</v>
      </c>
      <c r="D1912" t="s">
        <v>23</v>
      </c>
      <c r="E1912">
        <v>402</v>
      </c>
      <c r="F1912">
        <v>8</v>
      </c>
      <c r="G1912">
        <f t="shared" si="87"/>
        <v>3216</v>
      </c>
      <c r="H1912">
        <v>5</v>
      </c>
      <c r="I1912">
        <f t="shared" si="88"/>
        <v>2010</v>
      </c>
      <c r="J1912">
        <f t="shared" si="89"/>
        <v>1206</v>
      </c>
      <c r="K1912" t="s">
        <v>35</v>
      </c>
      <c r="L1912" t="s">
        <v>25</v>
      </c>
      <c r="M1912" t="s">
        <v>61</v>
      </c>
      <c r="N1912" t="s">
        <v>38</v>
      </c>
      <c r="O1912">
        <v>973</v>
      </c>
      <c r="P1912">
        <v>402</v>
      </c>
      <c r="Q1912" t="s">
        <v>64</v>
      </c>
      <c r="R1912" t="s">
        <v>29</v>
      </c>
      <c r="S1912" t="s">
        <v>65</v>
      </c>
      <c r="T1912">
        <v>2021</v>
      </c>
      <c r="U1912" t="s">
        <v>105</v>
      </c>
    </row>
    <row r="1913" spans="1:21" x14ac:dyDescent="0.35">
      <c r="A1913" s="1">
        <v>46503</v>
      </c>
      <c r="B1913" t="s">
        <v>21</v>
      </c>
      <c r="C1913" t="s">
        <v>22</v>
      </c>
      <c r="D1913" t="s">
        <v>23</v>
      </c>
      <c r="E1913">
        <v>207</v>
      </c>
      <c r="F1913">
        <v>8</v>
      </c>
      <c r="G1913">
        <f t="shared" si="87"/>
        <v>1656</v>
      </c>
      <c r="H1913">
        <v>5</v>
      </c>
      <c r="I1913">
        <f t="shared" si="88"/>
        <v>1035</v>
      </c>
      <c r="J1913">
        <f t="shared" si="89"/>
        <v>621</v>
      </c>
      <c r="K1913" t="s">
        <v>42</v>
      </c>
      <c r="L1913" t="s">
        <v>63</v>
      </c>
      <c r="M1913" t="s">
        <v>37</v>
      </c>
      <c r="N1913" t="s">
        <v>27</v>
      </c>
      <c r="O1913">
        <v>995</v>
      </c>
      <c r="P1913">
        <v>207</v>
      </c>
      <c r="Q1913" t="s">
        <v>70</v>
      </c>
      <c r="R1913" t="s">
        <v>71</v>
      </c>
      <c r="S1913" t="s">
        <v>72</v>
      </c>
      <c r="T1913">
        <v>2023</v>
      </c>
      <c r="U1913" t="s">
        <v>57</v>
      </c>
    </row>
    <row r="1914" spans="1:21" x14ac:dyDescent="0.35">
      <c r="A1914" s="1">
        <v>46504</v>
      </c>
      <c r="B1914" t="s">
        <v>58</v>
      </c>
      <c r="C1914" t="s">
        <v>59</v>
      </c>
      <c r="D1914" t="s">
        <v>60</v>
      </c>
      <c r="E1914">
        <v>415</v>
      </c>
      <c r="F1914">
        <v>5</v>
      </c>
      <c r="G1914">
        <f t="shared" si="87"/>
        <v>2075</v>
      </c>
      <c r="H1914">
        <v>3</v>
      </c>
      <c r="I1914">
        <f t="shared" si="88"/>
        <v>1245</v>
      </c>
      <c r="J1914">
        <f t="shared" si="89"/>
        <v>830</v>
      </c>
      <c r="K1914" t="s">
        <v>35</v>
      </c>
      <c r="L1914" t="s">
        <v>36</v>
      </c>
      <c r="M1914" t="s">
        <v>37</v>
      </c>
      <c r="N1914" t="s">
        <v>38</v>
      </c>
      <c r="O1914">
        <v>609</v>
      </c>
      <c r="P1914">
        <v>415</v>
      </c>
      <c r="Q1914" t="s">
        <v>113</v>
      </c>
      <c r="R1914" t="s">
        <v>114</v>
      </c>
      <c r="S1914" t="s">
        <v>115</v>
      </c>
      <c r="T1914">
        <v>2023</v>
      </c>
      <c r="U1914" t="s">
        <v>47</v>
      </c>
    </row>
    <row r="1915" spans="1:21" x14ac:dyDescent="0.35">
      <c r="A1915" s="1">
        <v>46505</v>
      </c>
      <c r="B1915" t="s">
        <v>32</v>
      </c>
      <c r="C1915" t="s">
        <v>33</v>
      </c>
      <c r="D1915" t="s">
        <v>34</v>
      </c>
      <c r="E1915">
        <v>167</v>
      </c>
      <c r="F1915">
        <v>20</v>
      </c>
      <c r="G1915">
        <f t="shared" si="87"/>
        <v>3340</v>
      </c>
      <c r="H1915">
        <v>12</v>
      </c>
      <c r="I1915">
        <f t="shared" si="88"/>
        <v>2004</v>
      </c>
      <c r="J1915">
        <f t="shared" si="89"/>
        <v>1336</v>
      </c>
      <c r="K1915" t="s">
        <v>24</v>
      </c>
      <c r="L1915" t="s">
        <v>73</v>
      </c>
      <c r="M1915" t="s">
        <v>37</v>
      </c>
      <c r="N1915" t="s">
        <v>38</v>
      </c>
      <c r="O1915">
        <v>650</v>
      </c>
      <c r="P1915">
        <v>167</v>
      </c>
      <c r="Q1915" t="s">
        <v>74</v>
      </c>
      <c r="R1915" t="s">
        <v>75</v>
      </c>
      <c r="S1915" t="s">
        <v>76</v>
      </c>
      <c r="T1915">
        <v>2023</v>
      </c>
      <c r="U1915" t="s">
        <v>31</v>
      </c>
    </row>
    <row r="1916" spans="1:21" x14ac:dyDescent="0.35">
      <c r="A1916" s="1">
        <v>46506</v>
      </c>
      <c r="B1916" t="s">
        <v>80</v>
      </c>
      <c r="C1916" t="s">
        <v>81</v>
      </c>
      <c r="D1916" t="s">
        <v>82</v>
      </c>
      <c r="E1916">
        <v>387</v>
      </c>
      <c r="F1916">
        <v>2.5</v>
      </c>
      <c r="G1916">
        <f t="shared" si="87"/>
        <v>967.5</v>
      </c>
      <c r="H1916">
        <v>1.5</v>
      </c>
      <c r="I1916">
        <f t="shared" si="88"/>
        <v>580.5</v>
      </c>
      <c r="J1916">
        <f t="shared" si="89"/>
        <v>387</v>
      </c>
      <c r="K1916" t="s">
        <v>42</v>
      </c>
      <c r="L1916" t="s">
        <v>63</v>
      </c>
      <c r="M1916" t="s">
        <v>61</v>
      </c>
      <c r="N1916" t="s">
        <v>43</v>
      </c>
      <c r="O1916">
        <v>610</v>
      </c>
      <c r="P1916">
        <v>387</v>
      </c>
      <c r="Q1916" t="s">
        <v>74</v>
      </c>
      <c r="R1916" t="s">
        <v>75</v>
      </c>
      <c r="S1916" t="s">
        <v>76</v>
      </c>
      <c r="T1916">
        <v>2020</v>
      </c>
      <c r="U1916" t="s">
        <v>62</v>
      </c>
    </row>
    <row r="1917" spans="1:21" x14ac:dyDescent="0.35">
      <c r="A1917" s="1">
        <v>46507</v>
      </c>
      <c r="B1917" t="s">
        <v>21</v>
      </c>
      <c r="C1917" t="s">
        <v>22</v>
      </c>
      <c r="D1917" t="s">
        <v>23</v>
      </c>
      <c r="E1917">
        <v>482</v>
      </c>
      <c r="F1917">
        <v>8</v>
      </c>
      <c r="G1917">
        <f t="shared" si="87"/>
        <v>3856</v>
      </c>
      <c r="H1917">
        <v>5</v>
      </c>
      <c r="I1917">
        <f t="shared" si="88"/>
        <v>2410</v>
      </c>
      <c r="J1917">
        <f t="shared" si="89"/>
        <v>1446</v>
      </c>
      <c r="K1917" t="s">
        <v>35</v>
      </c>
      <c r="L1917" t="s">
        <v>36</v>
      </c>
      <c r="M1917" t="s">
        <v>26</v>
      </c>
      <c r="N1917" t="s">
        <v>27</v>
      </c>
      <c r="O1917">
        <v>947</v>
      </c>
      <c r="P1917">
        <v>482</v>
      </c>
      <c r="Q1917" t="s">
        <v>28</v>
      </c>
      <c r="R1917" t="s">
        <v>29</v>
      </c>
      <c r="S1917" t="s">
        <v>30</v>
      </c>
      <c r="T1917">
        <v>2023</v>
      </c>
      <c r="U1917" t="s">
        <v>31</v>
      </c>
    </row>
    <row r="1918" spans="1:21" x14ac:dyDescent="0.35">
      <c r="A1918" s="1">
        <v>46508</v>
      </c>
      <c r="B1918" t="s">
        <v>21</v>
      </c>
      <c r="C1918" t="s">
        <v>22</v>
      </c>
      <c r="D1918" t="s">
        <v>23</v>
      </c>
      <c r="E1918">
        <v>366</v>
      </c>
      <c r="F1918">
        <v>8</v>
      </c>
      <c r="G1918">
        <f t="shared" si="87"/>
        <v>2928</v>
      </c>
      <c r="H1918">
        <v>5</v>
      </c>
      <c r="I1918">
        <f t="shared" si="88"/>
        <v>1830</v>
      </c>
      <c r="J1918">
        <f t="shared" si="89"/>
        <v>1098</v>
      </c>
      <c r="K1918" t="s">
        <v>24</v>
      </c>
      <c r="L1918" t="s">
        <v>25</v>
      </c>
      <c r="M1918" t="s">
        <v>26</v>
      </c>
      <c r="N1918" t="s">
        <v>38</v>
      </c>
      <c r="O1918">
        <v>518</v>
      </c>
      <c r="P1918">
        <v>366</v>
      </c>
      <c r="Q1918" t="s">
        <v>70</v>
      </c>
      <c r="R1918" t="s">
        <v>71</v>
      </c>
      <c r="S1918" t="s">
        <v>72</v>
      </c>
      <c r="T1918">
        <v>2024</v>
      </c>
      <c r="U1918" t="s">
        <v>31</v>
      </c>
    </row>
    <row r="1919" spans="1:21" x14ac:dyDescent="0.35">
      <c r="A1919" s="1">
        <v>46509</v>
      </c>
      <c r="B1919" t="s">
        <v>98</v>
      </c>
      <c r="C1919" t="s">
        <v>99</v>
      </c>
      <c r="D1919" t="s">
        <v>100</v>
      </c>
      <c r="E1919">
        <v>238</v>
      </c>
      <c r="F1919">
        <v>6</v>
      </c>
      <c r="G1919">
        <f t="shared" si="87"/>
        <v>1428</v>
      </c>
      <c r="H1919">
        <v>4</v>
      </c>
      <c r="I1919">
        <f t="shared" si="88"/>
        <v>952</v>
      </c>
      <c r="J1919">
        <f t="shared" si="89"/>
        <v>476</v>
      </c>
      <c r="K1919" t="s">
        <v>35</v>
      </c>
      <c r="L1919" t="s">
        <v>25</v>
      </c>
      <c r="M1919" t="s">
        <v>37</v>
      </c>
      <c r="N1919" t="s">
        <v>43</v>
      </c>
      <c r="O1919">
        <v>602</v>
      </c>
      <c r="P1919">
        <v>238</v>
      </c>
      <c r="Q1919" t="s">
        <v>39</v>
      </c>
      <c r="R1919" t="s">
        <v>40</v>
      </c>
      <c r="S1919" t="s">
        <v>41</v>
      </c>
      <c r="T1919">
        <v>2023</v>
      </c>
      <c r="U1919" t="s">
        <v>53</v>
      </c>
    </row>
    <row r="1920" spans="1:21" x14ac:dyDescent="0.35">
      <c r="A1920" s="1">
        <v>46510</v>
      </c>
      <c r="B1920" t="s">
        <v>58</v>
      </c>
      <c r="C1920" t="s">
        <v>59</v>
      </c>
      <c r="D1920" t="s">
        <v>60</v>
      </c>
      <c r="E1920">
        <v>199</v>
      </c>
      <c r="F1920">
        <v>5</v>
      </c>
      <c r="G1920">
        <f t="shared" si="87"/>
        <v>995</v>
      </c>
      <c r="H1920">
        <v>3</v>
      </c>
      <c r="I1920">
        <f t="shared" si="88"/>
        <v>597</v>
      </c>
      <c r="J1920">
        <f t="shared" si="89"/>
        <v>398</v>
      </c>
      <c r="K1920" t="s">
        <v>42</v>
      </c>
      <c r="L1920" t="s">
        <v>73</v>
      </c>
      <c r="M1920" t="s">
        <v>61</v>
      </c>
      <c r="N1920" t="s">
        <v>43</v>
      </c>
      <c r="O1920">
        <v>691</v>
      </c>
      <c r="P1920">
        <v>199</v>
      </c>
      <c r="Q1920" t="s">
        <v>67</v>
      </c>
      <c r="R1920" t="s">
        <v>68</v>
      </c>
      <c r="S1920" t="s">
        <v>69</v>
      </c>
      <c r="T1920">
        <v>2023</v>
      </c>
      <c r="U1920" t="s">
        <v>97</v>
      </c>
    </row>
    <row r="1921" spans="1:21" x14ac:dyDescent="0.35">
      <c r="A1921" s="1">
        <v>46511</v>
      </c>
      <c r="B1921" t="s">
        <v>32</v>
      </c>
      <c r="C1921" t="s">
        <v>33</v>
      </c>
      <c r="D1921" t="s">
        <v>34</v>
      </c>
      <c r="E1921">
        <v>81</v>
      </c>
      <c r="F1921">
        <v>20</v>
      </c>
      <c r="G1921">
        <f t="shared" si="87"/>
        <v>1620</v>
      </c>
      <c r="H1921">
        <v>12</v>
      </c>
      <c r="I1921">
        <f t="shared" si="88"/>
        <v>972</v>
      </c>
      <c r="J1921">
        <f t="shared" si="89"/>
        <v>648</v>
      </c>
      <c r="K1921" t="s">
        <v>42</v>
      </c>
      <c r="L1921" t="s">
        <v>73</v>
      </c>
      <c r="M1921" t="s">
        <v>37</v>
      </c>
      <c r="N1921" t="s">
        <v>27</v>
      </c>
      <c r="O1921">
        <v>554</v>
      </c>
      <c r="P1921">
        <v>81</v>
      </c>
      <c r="Q1921" t="s">
        <v>70</v>
      </c>
      <c r="R1921" t="s">
        <v>71</v>
      </c>
      <c r="S1921" t="s">
        <v>72</v>
      </c>
      <c r="T1921">
        <v>2023</v>
      </c>
      <c r="U1921" t="s">
        <v>96</v>
      </c>
    </row>
    <row r="1922" spans="1:21" x14ac:dyDescent="0.35">
      <c r="A1922" s="1">
        <v>46512</v>
      </c>
      <c r="B1922" t="s">
        <v>32</v>
      </c>
      <c r="C1922" t="s">
        <v>33</v>
      </c>
      <c r="D1922" t="s">
        <v>34</v>
      </c>
      <c r="E1922">
        <v>336</v>
      </c>
      <c r="F1922">
        <v>20</v>
      </c>
      <c r="G1922">
        <f t="shared" si="87"/>
        <v>6720</v>
      </c>
      <c r="H1922">
        <v>12</v>
      </c>
      <c r="I1922">
        <f t="shared" si="88"/>
        <v>4032</v>
      </c>
      <c r="J1922">
        <f t="shared" si="89"/>
        <v>2688</v>
      </c>
      <c r="K1922" t="s">
        <v>35</v>
      </c>
      <c r="L1922" t="s">
        <v>73</v>
      </c>
      <c r="M1922" t="s">
        <v>37</v>
      </c>
      <c r="N1922" t="s">
        <v>27</v>
      </c>
      <c r="O1922">
        <v>586</v>
      </c>
      <c r="P1922">
        <v>336</v>
      </c>
      <c r="Q1922" t="s">
        <v>87</v>
      </c>
      <c r="R1922" t="s">
        <v>88</v>
      </c>
      <c r="S1922" t="s">
        <v>89</v>
      </c>
      <c r="T1922">
        <v>2023</v>
      </c>
      <c r="U1922" t="s">
        <v>31</v>
      </c>
    </row>
    <row r="1923" spans="1:21" x14ac:dyDescent="0.35">
      <c r="A1923" s="1">
        <v>46513</v>
      </c>
      <c r="B1923" t="s">
        <v>32</v>
      </c>
      <c r="C1923" t="s">
        <v>33</v>
      </c>
      <c r="D1923" t="s">
        <v>34</v>
      </c>
      <c r="E1923">
        <v>467</v>
      </c>
      <c r="F1923">
        <v>20</v>
      </c>
      <c r="G1923">
        <f t="shared" ref="G1923:G1986" si="90">E1923*F1923</f>
        <v>9340</v>
      </c>
      <c r="H1923">
        <v>12</v>
      </c>
      <c r="I1923">
        <f t="shared" ref="I1923:I1986" si="91">E1923*H1923</f>
        <v>5604</v>
      </c>
      <c r="J1923">
        <f t="shared" ref="J1923:J1986" si="92">G1923-I1923</f>
        <v>3736</v>
      </c>
      <c r="K1923" t="s">
        <v>42</v>
      </c>
      <c r="L1923" t="s">
        <v>73</v>
      </c>
      <c r="M1923" t="s">
        <v>26</v>
      </c>
      <c r="N1923" t="s">
        <v>27</v>
      </c>
      <c r="O1923">
        <v>819</v>
      </c>
      <c r="P1923">
        <v>467</v>
      </c>
      <c r="Q1923" t="s">
        <v>28</v>
      </c>
      <c r="R1923" t="s">
        <v>29</v>
      </c>
      <c r="S1923" t="s">
        <v>30</v>
      </c>
      <c r="T1923">
        <v>2021</v>
      </c>
      <c r="U1923" t="s">
        <v>31</v>
      </c>
    </row>
    <row r="1924" spans="1:21" x14ac:dyDescent="0.35">
      <c r="A1924" s="1">
        <v>46514</v>
      </c>
      <c r="B1924" t="s">
        <v>98</v>
      </c>
      <c r="C1924" t="s">
        <v>99</v>
      </c>
      <c r="D1924" t="s">
        <v>100</v>
      </c>
      <c r="E1924">
        <v>479</v>
      </c>
      <c r="F1924">
        <v>6</v>
      </c>
      <c r="G1924">
        <f t="shared" si="90"/>
        <v>2874</v>
      </c>
      <c r="H1924">
        <v>4</v>
      </c>
      <c r="I1924">
        <f t="shared" si="91"/>
        <v>1916</v>
      </c>
      <c r="J1924">
        <f t="shared" si="92"/>
        <v>958</v>
      </c>
      <c r="K1924" t="s">
        <v>24</v>
      </c>
      <c r="L1924" t="s">
        <v>36</v>
      </c>
      <c r="M1924" t="s">
        <v>37</v>
      </c>
      <c r="N1924" t="s">
        <v>43</v>
      </c>
      <c r="O1924">
        <v>559</v>
      </c>
      <c r="P1924">
        <v>479</v>
      </c>
      <c r="Q1924" t="s">
        <v>101</v>
      </c>
      <c r="R1924" t="s">
        <v>101</v>
      </c>
      <c r="S1924" t="s">
        <v>102</v>
      </c>
      <c r="T1924">
        <v>2022</v>
      </c>
      <c r="U1924" t="s">
        <v>66</v>
      </c>
    </row>
    <row r="1925" spans="1:21" x14ac:dyDescent="0.35">
      <c r="A1925" s="1">
        <v>46515</v>
      </c>
      <c r="B1925" t="s">
        <v>58</v>
      </c>
      <c r="C1925" t="s">
        <v>59</v>
      </c>
      <c r="D1925" t="s">
        <v>60</v>
      </c>
      <c r="E1925">
        <v>499</v>
      </c>
      <c r="F1925">
        <v>5</v>
      </c>
      <c r="G1925">
        <f t="shared" si="90"/>
        <v>2495</v>
      </c>
      <c r="H1925">
        <v>3</v>
      </c>
      <c r="I1925">
        <f t="shared" si="91"/>
        <v>1497</v>
      </c>
      <c r="J1925">
        <f t="shared" si="92"/>
        <v>998</v>
      </c>
      <c r="K1925" t="s">
        <v>35</v>
      </c>
      <c r="L1925" t="s">
        <v>25</v>
      </c>
      <c r="M1925" t="s">
        <v>61</v>
      </c>
      <c r="N1925" t="s">
        <v>43</v>
      </c>
      <c r="O1925">
        <v>839</v>
      </c>
      <c r="P1925">
        <v>499</v>
      </c>
      <c r="Q1925" t="s">
        <v>54</v>
      </c>
      <c r="R1925" t="s">
        <v>55</v>
      </c>
      <c r="S1925" t="s">
        <v>56</v>
      </c>
      <c r="T1925">
        <v>2024</v>
      </c>
      <c r="U1925" t="s">
        <v>62</v>
      </c>
    </row>
    <row r="1926" spans="1:21" x14ac:dyDescent="0.35">
      <c r="A1926" s="1">
        <v>46516</v>
      </c>
      <c r="B1926" t="s">
        <v>58</v>
      </c>
      <c r="C1926" t="s">
        <v>59</v>
      </c>
      <c r="D1926" t="s">
        <v>60</v>
      </c>
      <c r="E1926">
        <v>315</v>
      </c>
      <c r="F1926">
        <v>5</v>
      </c>
      <c r="G1926">
        <f t="shared" si="90"/>
        <v>1575</v>
      </c>
      <c r="H1926">
        <v>3</v>
      </c>
      <c r="I1926">
        <f t="shared" si="91"/>
        <v>945</v>
      </c>
      <c r="J1926">
        <f t="shared" si="92"/>
        <v>630</v>
      </c>
      <c r="K1926" t="s">
        <v>24</v>
      </c>
      <c r="L1926" t="s">
        <v>73</v>
      </c>
      <c r="M1926" t="s">
        <v>26</v>
      </c>
      <c r="N1926" t="s">
        <v>27</v>
      </c>
      <c r="O1926">
        <v>631</v>
      </c>
      <c r="P1926">
        <v>315</v>
      </c>
      <c r="Q1926" t="s">
        <v>77</v>
      </c>
      <c r="R1926" t="s">
        <v>78</v>
      </c>
      <c r="S1926" t="s">
        <v>79</v>
      </c>
      <c r="T1926">
        <v>2020</v>
      </c>
      <c r="U1926" t="s">
        <v>109</v>
      </c>
    </row>
    <row r="1927" spans="1:21" x14ac:dyDescent="0.35">
      <c r="A1927" s="1">
        <v>46517</v>
      </c>
      <c r="B1927" t="s">
        <v>80</v>
      </c>
      <c r="C1927" t="s">
        <v>81</v>
      </c>
      <c r="D1927" t="s">
        <v>82</v>
      </c>
      <c r="E1927">
        <v>275</v>
      </c>
      <c r="F1927">
        <v>2.5</v>
      </c>
      <c r="G1927">
        <f t="shared" si="90"/>
        <v>687.5</v>
      </c>
      <c r="H1927">
        <v>1.5</v>
      </c>
      <c r="I1927">
        <f t="shared" si="91"/>
        <v>412.5</v>
      </c>
      <c r="J1927">
        <f t="shared" si="92"/>
        <v>275</v>
      </c>
      <c r="K1927" t="s">
        <v>24</v>
      </c>
      <c r="L1927" t="s">
        <v>36</v>
      </c>
      <c r="M1927" t="s">
        <v>26</v>
      </c>
      <c r="N1927" t="s">
        <v>27</v>
      </c>
      <c r="O1927">
        <v>583</v>
      </c>
      <c r="P1927">
        <v>275</v>
      </c>
      <c r="Q1927" t="s">
        <v>51</v>
      </c>
      <c r="R1927" t="s">
        <v>45</v>
      </c>
      <c r="S1927" t="s">
        <v>52</v>
      </c>
      <c r="T1927">
        <v>2020</v>
      </c>
      <c r="U1927" t="s">
        <v>105</v>
      </c>
    </row>
    <row r="1928" spans="1:21" x14ac:dyDescent="0.35">
      <c r="A1928" s="1">
        <v>46518</v>
      </c>
      <c r="B1928" t="s">
        <v>21</v>
      </c>
      <c r="C1928" t="s">
        <v>22</v>
      </c>
      <c r="D1928" t="s">
        <v>23</v>
      </c>
      <c r="E1928">
        <v>319</v>
      </c>
      <c r="F1928">
        <v>8</v>
      </c>
      <c r="G1928">
        <f t="shared" si="90"/>
        <v>2552</v>
      </c>
      <c r="H1928">
        <v>5</v>
      </c>
      <c r="I1928">
        <f t="shared" si="91"/>
        <v>1595</v>
      </c>
      <c r="J1928">
        <f t="shared" si="92"/>
        <v>957</v>
      </c>
      <c r="K1928" t="s">
        <v>24</v>
      </c>
      <c r="L1928" t="s">
        <v>63</v>
      </c>
      <c r="M1928" t="s">
        <v>61</v>
      </c>
      <c r="N1928" t="s">
        <v>27</v>
      </c>
      <c r="O1928">
        <v>504</v>
      </c>
      <c r="P1928">
        <v>319</v>
      </c>
      <c r="Q1928" t="s">
        <v>70</v>
      </c>
      <c r="R1928" t="s">
        <v>71</v>
      </c>
      <c r="S1928" t="s">
        <v>72</v>
      </c>
      <c r="T1928">
        <v>2024</v>
      </c>
      <c r="U1928" t="s">
        <v>53</v>
      </c>
    </row>
    <row r="1929" spans="1:21" x14ac:dyDescent="0.35">
      <c r="A1929" s="1">
        <v>46519</v>
      </c>
      <c r="B1929" t="s">
        <v>32</v>
      </c>
      <c r="C1929" t="s">
        <v>33</v>
      </c>
      <c r="D1929" t="s">
        <v>34</v>
      </c>
      <c r="E1929">
        <v>55</v>
      </c>
      <c r="F1929">
        <v>20</v>
      </c>
      <c r="G1929">
        <f t="shared" si="90"/>
        <v>1100</v>
      </c>
      <c r="H1929">
        <v>12</v>
      </c>
      <c r="I1929">
        <f t="shared" si="91"/>
        <v>660</v>
      </c>
      <c r="J1929">
        <f t="shared" si="92"/>
        <v>440</v>
      </c>
      <c r="K1929" t="s">
        <v>42</v>
      </c>
      <c r="L1929" t="s">
        <v>63</v>
      </c>
      <c r="M1929" t="s">
        <v>37</v>
      </c>
      <c r="N1929" t="s">
        <v>43</v>
      </c>
      <c r="O1929">
        <v>791</v>
      </c>
      <c r="P1929">
        <v>55</v>
      </c>
      <c r="Q1929" t="s">
        <v>83</v>
      </c>
      <c r="R1929" t="s">
        <v>84</v>
      </c>
      <c r="S1929" t="s">
        <v>85</v>
      </c>
      <c r="T1929">
        <v>2024</v>
      </c>
      <c r="U1929" t="s">
        <v>109</v>
      </c>
    </row>
    <row r="1930" spans="1:21" x14ac:dyDescent="0.35">
      <c r="A1930" s="1">
        <v>46520</v>
      </c>
      <c r="B1930" t="s">
        <v>48</v>
      </c>
      <c r="C1930" t="s">
        <v>49</v>
      </c>
      <c r="D1930" t="s">
        <v>50</v>
      </c>
      <c r="E1930">
        <v>224</v>
      </c>
      <c r="F1930">
        <v>150</v>
      </c>
      <c r="G1930">
        <f t="shared" si="90"/>
        <v>33600</v>
      </c>
      <c r="H1930">
        <v>100</v>
      </c>
      <c r="I1930">
        <f t="shared" si="91"/>
        <v>22400</v>
      </c>
      <c r="J1930">
        <f t="shared" si="92"/>
        <v>11200</v>
      </c>
      <c r="K1930" t="s">
        <v>35</v>
      </c>
      <c r="L1930" t="s">
        <v>36</v>
      </c>
      <c r="M1930" t="s">
        <v>61</v>
      </c>
      <c r="N1930" t="s">
        <v>43</v>
      </c>
      <c r="O1930">
        <v>510</v>
      </c>
      <c r="P1930">
        <v>224</v>
      </c>
      <c r="Q1930" t="s">
        <v>110</v>
      </c>
      <c r="R1930" t="s">
        <v>111</v>
      </c>
      <c r="S1930" t="s">
        <v>112</v>
      </c>
      <c r="T1930">
        <v>2024</v>
      </c>
      <c r="U1930" t="s">
        <v>47</v>
      </c>
    </row>
    <row r="1931" spans="1:21" x14ac:dyDescent="0.35">
      <c r="A1931" s="1">
        <v>46521</v>
      </c>
      <c r="B1931" t="s">
        <v>21</v>
      </c>
      <c r="C1931" t="s">
        <v>22</v>
      </c>
      <c r="D1931" t="s">
        <v>23</v>
      </c>
      <c r="E1931">
        <v>155</v>
      </c>
      <c r="F1931">
        <v>8</v>
      </c>
      <c r="G1931">
        <f t="shared" si="90"/>
        <v>1240</v>
      </c>
      <c r="H1931">
        <v>5</v>
      </c>
      <c r="I1931">
        <f t="shared" si="91"/>
        <v>775</v>
      </c>
      <c r="J1931">
        <f t="shared" si="92"/>
        <v>465</v>
      </c>
      <c r="K1931" t="s">
        <v>42</v>
      </c>
      <c r="L1931" t="s">
        <v>73</v>
      </c>
      <c r="M1931" t="s">
        <v>26</v>
      </c>
      <c r="N1931" t="s">
        <v>27</v>
      </c>
      <c r="O1931">
        <v>915</v>
      </c>
      <c r="P1931">
        <v>155</v>
      </c>
      <c r="Q1931" t="s">
        <v>39</v>
      </c>
      <c r="R1931" t="s">
        <v>40</v>
      </c>
      <c r="S1931" t="s">
        <v>41</v>
      </c>
      <c r="T1931">
        <v>2020</v>
      </c>
      <c r="U1931" t="s">
        <v>109</v>
      </c>
    </row>
    <row r="1932" spans="1:21" x14ac:dyDescent="0.35">
      <c r="A1932" s="1">
        <v>46522</v>
      </c>
      <c r="B1932" t="s">
        <v>21</v>
      </c>
      <c r="C1932" t="s">
        <v>22</v>
      </c>
      <c r="D1932" t="s">
        <v>23</v>
      </c>
      <c r="E1932">
        <v>258</v>
      </c>
      <c r="F1932">
        <v>8</v>
      </c>
      <c r="G1932">
        <f t="shared" si="90"/>
        <v>2064</v>
      </c>
      <c r="H1932">
        <v>5</v>
      </c>
      <c r="I1932">
        <f t="shared" si="91"/>
        <v>1290</v>
      </c>
      <c r="J1932">
        <f t="shared" si="92"/>
        <v>774</v>
      </c>
      <c r="K1932" t="s">
        <v>42</v>
      </c>
      <c r="L1932" t="s">
        <v>63</v>
      </c>
      <c r="M1932" t="s">
        <v>26</v>
      </c>
      <c r="N1932" t="s">
        <v>27</v>
      </c>
      <c r="O1932">
        <v>819</v>
      </c>
      <c r="P1932">
        <v>258</v>
      </c>
      <c r="Q1932" t="s">
        <v>92</v>
      </c>
      <c r="R1932" t="s">
        <v>45</v>
      </c>
      <c r="S1932" t="s">
        <v>93</v>
      </c>
      <c r="T1932">
        <v>2021</v>
      </c>
      <c r="U1932" t="s">
        <v>109</v>
      </c>
    </row>
    <row r="1933" spans="1:21" x14ac:dyDescent="0.35">
      <c r="A1933" s="1">
        <v>46523</v>
      </c>
      <c r="B1933" t="s">
        <v>58</v>
      </c>
      <c r="C1933" t="s">
        <v>59</v>
      </c>
      <c r="D1933" t="s">
        <v>60</v>
      </c>
      <c r="E1933">
        <v>48</v>
      </c>
      <c r="F1933">
        <v>5</v>
      </c>
      <c r="G1933">
        <f t="shared" si="90"/>
        <v>240</v>
      </c>
      <c r="H1933">
        <v>3</v>
      </c>
      <c r="I1933">
        <f t="shared" si="91"/>
        <v>144</v>
      </c>
      <c r="J1933">
        <f t="shared" si="92"/>
        <v>96</v>
      </c>
      <c r="K1933" t="s">
        <v>42</v>
      </c>
      <c r="L1933" t="s">
        <v>73</v>
      </c>
      <c r="M1933" t="s">
        <v>26</v>
      </c>
      <c r="N1933" t="s">
        <v>38</v>
      </c>
      <c r="O1933">
        <v>880</v>
      </c>
      <c r="P1933">
        <v>48</v>
      </c>
      <c r="Q1933" t="s">
        <v>51</v>
      </c>
      <c r="R1933" t="s">
        <v>45</v>
      </c>
      <c r="S1933" t="s">
        <v>52</v>
      </c>
      <c r="T1933">
        <v>2020</v>
      </c>
      <c r="U1933" t="s">
        <v>53</v>
      </c>
    </row>
    <row r="1934" spans="1:21" x14ac:dyDescent="0.35">
      <c r="A1934" s="1">
        <v>46524</v>
      </c>
      <c r="B1934" t="s">
        <v>98</v>
      </c>
      <c r="C1934" t="s">
        <v>99</v>
      </c>
      <c r="D1934" t="s">
        <v>100</v>
      </c>
      <c r="E1934">
        <v>307</v>
      </c>
      <c r="F1934">
        <v>6</v>
      </c>
      <c r="G1934">
        <f t="shared" si="90"/>
        <v>1842</v>
      </c>
      <c r="H1934">
        <v>4</v>
      </c>
      <c r="I1934">
        <f t="shared" si="91"/>
        <v>1228</v>
      </c>
      <c r="J1934">
        <f t="shared" si="92"/>
        <v>614</v>
      </c>
      <c r="K1934" t="s">
        <v>24</v>
      </c>
      <c r="L1934" t="s">
        <v>63</v>
      </c>
      <c r="M1934" t="s">
        <v>61</v>
      </c>
      <c r="N1934" t="s">
        <v>27</v>
      </c>
      <c r="O1934">
        <v>961</v>
      </c>
      <c r="P1934">
        <v>307</v>
      </c>
      <c r="Q1934" t="s">
        <v>94</v>
      </c>
      <c r="R1934" t="s">
        <v>75</v>
      </c>
      <c r="S1934" t="s">
        <v>95</v>
      </c>
      <c r="T1934">
        <v>2022</v>
      </c>
      <c r="U1934" t="s">
        <v>96</v>
      </c>
    </row>
    <row r="1935" spans="1:21" x14ac:dyDescent="0.35">
      <c r="A1935" s="1">
        <v>46525</v>
      </c>
      <c r="B1935" t="s">
        <v>80</v>
      </c>
      <c r="C1935" t="s">
        <v>81</v>
      </c>
      <c r="D1935" t="s">
        <v>82</v>
      </c>
      <c r="E1935">
        <v>153</v>
      </c>
      <c r="F1935">
        <v>2.5</v>
      </c>
      <c r="G1935">
        <f t="shared" si="90"/>
        <v>382.5</v>
      </c>
      <c r="H1935">
        <v>1.5</v>
      </c>
      <c r="I1935">
        <f t="shared" si="91"/>
        <v>229.5</v>
      </c>
      <c r="J1935">
        <f t="shared" si="92"/>
        <v>153</v>
      </c>
      <c r="K1935" t="s">
        <v>35</v>
      </c>
      <c r="L1935" t="s">
        <v>36</v>
      </c>
      <c r="M1935" t="s">
        <v>37</v>
      </c>
      <c r="N1935" t="s">
        <v>38</v>
      </c>
      <c r="O1935">
        <v>637</v>
      </c>
      <c r="P1935">
        <v>153</v>
      </c>
      <c r="Q1935" t="s">
        <v>28</v>
      </c>
      <c r="R1935" t="s">
        <v>29</v>
      </c>
      <c r="S1935" t="s">
        <v>30</v>
      </c>
      <c r="T1935">
        <v>2022</v>
      </c>
      <c r="U1935" t="s">
        <v>97</v>
      </c>
    </row>
    <row r="1936" spans="1:21" x14ac:dyDescent="0.35">
      <c r="A1936" s="1">
        <v>46526</v>
      </c>
      <c r="B1936" t="s">
        <v>32</v>
      </c>
      <c r="C1936" t="s">
        <v>33</v>
      </c>
      <c r="D1936" t="s">
        <v>34</v>
      </c>
      <c r="E1936">
        <v>359</v>
      </c>
      <c r="F1936">
        <v>20</v>
      </c>
      <c r="G1936">
        <f t="shared" si="90"/>
        <v>7180</v>
      </c>
      <c r="H1936">
        <v>12</v>
      </c>
      <c r="I1936">
        <f t="shared" si="91"/>
        <v>4308</v>
      </c>
      <c r="J1936">
        <f t="shared" si="92"/>
        <v>2872</v>
      </c>
      <c r="K1936" t="s">
        <v>35</v>
      </c>
      <c r="L1936" t="s">
        <v>63</v>
      </c>
      <c r="M1936" t="s">
        <v>26</v>
      </c>
      <c r="N1936" t="s">
        <v>38</v>
      </c>
      <c r="O1936">
        <v>821</v>
      </c>
      <c r="P1936">
        <v>359</v>
      </c>
      <c r="Q1936" t="s">
        <v>113</v>
      </c>
      <c r="R1936" t="s">
        <v>114</v>
      </c>
      <c r="S1936" t="s">
        <v>115</v>
      </c>
      <c r="T1936">
        <v>2021</v>
      </c>
      <c r="U1936" t="s">
        <v>66</v>
      </c>
    </row>
    <row r="1937" spans="1:21" x14ac:dyDescent="0.35">
      <c r="A1937" s="1">
        <v>46527</v>
      </c>
      <c r="B1937" t="s">
        <v>32</v>
      </c>
      <c r="C1937" t="s">
        <v>33</v>
      </c>
      <c r="D1937" t="s">
        <v>34</v>
      </c>
      <c r="E1937">
        <v>328</v>
      </c>
      <c r="F1937">
        <v>20</v>
      </c>
      <c r="G1937">
        <f t="shared" si="90"/>
        <v>6560</v>
      </c>
      <c r="H1937">
        <v>12</v>
      </c>
      <c r="I1937">
        <f t="shared" si="91"/>
        <v>3936</v>
      </c>
      <c r="J1937">
        <f t="shared" si="92"/>
        <v>2624</v>
      </c>
      <c r="K1937" t="s">
        <v>42</v>
      </c>
      <c r="L1937" t="s">
        <v>63</v>
      </c>
      <c r="M1937" t="s">
        <v>61</v>
      </c>
      <c r="N1937" t="s">
        <v>27</v>
      </c>
      <c r="O1937">
        <v>647</v>
      </c>
      <c r="P1937">
        <v>328</v>
      </c>
      <c r="Q1937" t="s">
        <v>39</v>
      </c>
      <c r="R1937" t="s">
        <v>40</v>
      </c>
      <c r="S1937" t="s">
        <v>41</v>
      </c>
      <c r="T1937">
        <v>2021</v>
      </c>
      <c r="U1937" t="s">
        <v>31</v>
      </c>
    </row>
    <row r="1938" spans="1:21" x14ac:dyDescent="0.35">
      <c r="A1938" s="1">
        <v>46528</v>
      </c>
      <c r="B1938" t="s">
        <v>98</v>
      </c>
      <c r="C1938" t="s">
        <v>99</v>
      </c>
      <c r="D1938" t="s">
        <v>100</v>
      </c>
      <c r="E1938">
        <v>120</v>
      </c>
      <c r="F1938">
        <v>6</v>
      </c>
      <c r="G1938">
        <f t="shared" si="90"/>
        <v>720</v>
      </c>
      <c r="H1938">
        <v>4</v>
      </c>
      <c r="I1938">
        <f t="shared" si="91"/>
        <v>480</v>
      </c>
      <c r="J1938">
        <f t="shared" si="92"/>
        <v>240</v>
      </c>
      <c r="K1938" t="s">
        <v>24</v>
      </c>
      <c r="L1938" t="s">
        <v>63</v>
      </c>
      <c r="M1938" t="s">
        <v>37</v>
      </c>
      <c r="N1938" t="s">
        <v>43</v>
      </c>
      <c r="O1938">
        <v>879</v>
      </c>
      <c r="P1938">
        <v>120</v>
      </c>
      <c r="Q1938" t="s">
        <v>113</v>
      </c>
      <c r="R1938" t="s">
        <v>114</v>
      </c>
      <c r="S1938" t="s">
        <v>115</v>
      </c>
      <c r="T1938">
        <v>2021</v>
      </c>
      <c r="U1938" t="s">
        <v>96</v>
      </c>
    </row>
    <row r="1939" spans="1:21" x14ac:dyDescent="0.35">
      <c r="A1939" s="1">
        <v>46529</v>
      </c>
      <c r="B1939" t="s">
        <v>80</v>
      </c>
      <c r="C1939" t="s">
        <v>81</v>
      </c>
      <c r="D1939" t="s">
        <v>82</v>
      </c>
      <c r="E1939">
        <v>444</v>
      </c>
      <c r="F1939">
        <v>2.5</v>
      </c>
      <c r="G1939">
        <f t="shared" si="90"/>
        <v>1110</v>
      </c>
      <c r="H1939">
        <v>1.5</v>
      </c>
      <c r="I1939">
        <f t="shared" si="91"/>
        <v>666</v>
      </c>
      <c r="J1939">
        <f t="shared" si="92"/>
        <v>444</v>
      </c>
      <c r="K1939" t="s">
        <v>42</v>
      </c>
      <c r="L1939" t="s">
        <v>36</v>
      </c>
      <c r="M1939" t="s">
        <v>37</v>
      </c>
      <c r="N1939" t="s">
        <v>43</v>
      </c>
      <c r="O1939">
        <v>964</v>
      </c>
      <c r="P1939">
        <v>444</v>
      </c>
      <c r="Q1939" t="s">
        <v>64</v>
      </c>
      <c r="R1939" t="s">
        <v>29</v>
      </c>
      <c r="S1939" t="s">
        <v>65</v>
      </c>
      <c r="T1939">
        <v>2023</v>
      </c>
      <c r="U1939" t="s">
        <v>105</v>
      </c>
    </row>
    <row r="1940" spans="1:21" x14ac:dyDescent="0.35">
      <c r="A1940" s="1">
        <v>46530</v>
      </c>
      <c r="B1940" t="s">
        <v>32</v>
      </c>
      <c r="C1940" t="s">
        <v>33</v>
      </c>
      <c r="D1940" t="s">
        <v>34</v>
      </c>
      <c r="E1940">
        <v>130</v>
      </c>
      <c r="F1940">
        <v>20</v>
      </c>
      <c r="G1940">
        <f t="shared" si="90"/>
        <v>2600</v>
      </c>
      <c r="H1940">
        <v>12</v>
      </c>
      <c r="I1940">
        <f t="shared" si="91"/>
        <v>1560</v>
      </c>
      <c r="J1940">
        <f t="shared" si="92"/>
        <v>1040</v>
      </c>
      <c r="K1940" t="s">
        <v>42</v>
      </c>
      <c r="L1940" t="s">
        <v>25</v>
      </c>
      <c r="M1940" t="s">
        <v>37</v>
      </c>
      <c r="N1940" t="s">
        <v>27</v>
      </c>
      <c r="O1940">
        <v>508</v>
      </c>
      <c r="P1940">
        <v>130</v>
      </c>
      <c r="Q1940" t="s">
        <v>103</v>
      </c>
      <c r="R1940" t="s">
        <v>68</v>
      </c>
      <c r="S1940" t="s">
        <v>104</v>
      </c>
      <c r="T1940">
        <v>2022</v>
      </c>
      <c r="U1940" t="s">
        <v>105</v>
      </c>
    </row>
    <row r="1941" spans="1:21" x14ac:dyDescent="0.35">
      <c r="A1941" s="1">
        <v>46531</v>
      </c>
      <c r="B1941" t="s">
        <v>58</v>
      </c>
      <c r="C1941" t="s">
        <v>59</v>
      </c>
      <c r="D1941" t="s">
        <v>60</v>
      </c>
      <c r="E1941">
        <v>177</v>
      </c>
      <c r="F1941">
        <v>5</v>
      </c>
      <c r="G1941">
        <f t="shared" si="90"/>
        <v>885</v>
      </c>
      <c r="H1941">
        <v>3</v>
      </c>
      <c r="I1941">
        <f t="shared" si="91"/>
        <v>531</v>
      </c>
      <c r="J1941">
        <f t="shared" si="92"/>
        <v>354</v>
      </c>
      <c r="K1941" t="s">
        <v>35</v>
      </c>
      <c r="L1941" t="s">
        <v>36</v>
      </c>
      <c r="M1941" t="s">
        <v>37</v>
      </c>
      <c r="N1941" t="s">
        <v>27</v>
      </c>
      <c r="O1941">
        <v>525</v>
      </c>
      <c r="P1941">
        <v>177</v>
      </c>
      <c r="Q1941" t="s">
        <v>83</v>
      </c>
      <c r="R1941" t="s">
        <v>84</v>
      </c>
      <c r="S1941" t="s">
        <v>85</v>
      </c>
      <c r="T1941">
        <v>2021</v>
      </c>
      <c r="U1941" t="s">
        <v>109</v>
      </c>
    </row>
    <row r="1942" spans="1:21" x14ac:dyDescent="0.35">
      <c r="A1942" s="1">
        <v>46532</v>
      </c>
      <c r="B1942" t="s">
        <v>32</v>
      </c>
      <c r="C1942" t="s">
        <v>33</v>
      </c>
      <c r="D1942" t="s">
        <v>34</v>
      </c>
      <c r="E1942">
        <v>465</v>
      </c>
      <c r="F1942">
        <v>20</v>
      </c>
      <c r="G1942">
        <f t="shared" si="90"/>
        <v>9300</v>
      </c>
      <c r="H1942">
        <v>12</v>
      </c>
      <c r="I1942">
        <f t="shared" si="91"/>
        <v>5580</v>
      </c>
      <c r="J1942">
        <f t="shared" si="92"/>
        <v>3720</v>
      </c>
      <c r="K1942" t="s">
        <v>42</v>
      </c>
      <c r="L1942" t="s">
        <v>63</v>
      </c>
      <c r="M1942" t="s">
        <v>26</v>
      </c>
      <c r="N1942" t="s">
        <v>38</v>
      </c>
      <c r="O1942">
        <v>950</v>
      </c>
      <c r="P1942">
        <v>465</v>
      </c>
      <c r="Q1942" t="s">
        <v>94</v>
      </c>
      <c r="R1942" t="s">
        <v>75</v>
      </c>
      <c r="S1942" t="s">
        <v>95</v>
      </c>
      <c r="T1942">
        <v>2022</v>
      </c>
      <c r="U1942" t="s">
        <v>109</v>
      </c>
    </row>
    <row r="1943" spans="1:21" x14ac:dyDescent="0.35">
      <c r="A1943" s="1">
        <v>46533</v>
      </c>
      <c r="B1943" t="s">
        <v>58</v>
      </c>
      <c r="C1943" t="s">
        <v>59</v>
      </c>
      <c r="D1943" t="s">
        <v>60</v>
      </c>
      <c r="E1943">
        <v>36</v>
      </c>
      <c r="F1943">
        <v>5</v>
      </c>
      <c r="G1943">
        <f t="shared" si="90"/>
        <v>180</v>
      </c>
      <c r="H1943">
        <v>3</v>
      </c>
      <c r="I1943">
        <f t="shared" si="91"/>
        <v>108</v>
      </c>
      <c r="J1943">
        <f t="shared" si="92"/>
        <v>72</v>
      </c>
      <c r="K1943" t="s">
        <v>35</v>
      </c>
      <c r="L1943" t="s">
        <v>73</v>
      </c>
      <c r="M1943" t="s">
        <v>61</v>
      </c>
      <c r="N1943" t="s">
        <v>38</v>
      </c>
      <c r="O1943">
        <v>804</v>
      </c>
      <c r="P1943">
        <v>36</v>
      </c>
      <c r="Q1943" t="s">
        <v>113</v>
      </c>
      <c r="R1943" t="s">
        <v>114</v>
      </c>
      <c r="S1943" t="s">
        <v>115</v>
      </c>
      <c r="T1943">
        <v>2024</v>
      </c>
      <c r="U1943" t="s">
        <v>97</v>
      </c>
    </row>
    <row r="1944" spans="1:21" x14ac:dyDescent="0.35">
      <c r="A1944" s="1">
        <v>46534</v>
      </c>
      <c r="B1944" t="s">
        <v>80</v>
      </c>
      <c r="C1944" t="s">
        <v>81</v>
      </c>
      <c r="D1944" t="s">
        <v>82</v>
      </c>
      <c r="E1944">
        <v>406</v>
      </c>
      <c r="F1944">
        <v>2.5</v>
      </c>
      <c r="G1944">
        <f t="shared" si="90"/>
        <v>1015</v>
      </c>
      <c r="H1944">
        <v>1.5</v>
      </c>
      <c r="I1944">
        <f t="shared" si="91"/>
        <v>609</v>
      </c>
      <c r="J1944">
        <f t="shared" si="92"/>
        <v>406</v>
      </c>
      <c r="K1944" t="s">
        <v>42</v>
      </c>
      <c r="L1944" t="s">
        <v>63</v>
      </c>
      <c r="M1944" t="s">
        <v>37</v>
      </c>
      <c r="N1944" t="s">
        <v>43</v>
      </c>
      <c r="O1944">
        <v>971</v>
      </c>
      <c r="P1944">
        <v>406</v>
      </c>
      <c r="Q1944" t="s">
        <v>113</v>
      </c>
      <c r="R1944" t="s">
        <v>114</v>
      </c>
      <c r="S1944" t="s">
        <v>115</v>
      </c>
      <c r="T1944">
        <v>2022</v>
      </c>
      <c r="U1944" t="s">
        <v>105</v>
      </c>
    </row>
    <row r="1945" spans="1:21" x14ac:dyDescent="0.35">
      <c r="A1945" s="1">
        <v>46535</v>
      </c>
      <c r="B1945" t="s">
        <v>21</v>
      </c>
      <c r="C1945" t="s">
        <v>22</v>
      </c>
      <c r="D1945" t="s">
        <v>23</v>
      </c>
      <c r="E1945">
        <v>138</v>
      </c>
      <c r="F1945">
        <v>8</v>
      </c>
      <c r="G1945">
        <f t="shared" si="90"/>
        <v>1104</v>
      </c>
      <c r="H1945">
        <v>5</v>
      </c>
      <c r="I1945">
        <f t="shared" si="91"/>
        <v>690</v>
      </c>
      <c r="J1945">
        <f t="shared" si="92"/>
        <v>414</v>
      </c>
      <c r="K1945" t="s">
        <v>24</v>
      </c>
      <c r="L1945" t="s">
        <v>73</v>
      </c>
      <c r="M1945" t="s">
        <v>61</v>
      </c>
      <c r="N1945" t="s">
        <v>27</v>
      </c>
      <c r="O1945">
        <v>666</v>
      </c>
      <c r="P1945">
        <v>138</v>
      </c>
      <c r="Q1945" t="s">
        <v>106</v>
      </c>
      <c r="R1945" t="s">
        <v>107</v>
      </c>
      <c r="S1945" t="s">
        <v>108</v>
      </c>
      <c r="T1945">
        <v>2021</v>
      </c>
      <c r="U1945" t="s">
        <v>105</v>
      </c>
    </row>
    <row r="1946" spans="1:21" x14ac:dyDescent="0.35">
      <c r="A1946" s="1">
        <v>46536</v>
      </c>
      <c r="B1946" t="s">
        <v>58</v>
      </c>
      <c r="C1946" t="s">
        <v>59</v>
      </c>
      <c r="D1946" t="s">
        <v>60</v>
      </c>
      <c r="E1946">
        <v>440</v>
      </c>
      <c r="F1946">
        <v>5</v>
      </c>
      <c r="G1946">
        <f t="shared" si="90"/>
        <v>2200</v>
      </c>
      <c r="H1946">
        <v>3</v>
      </c>
      <c r="I1946">
        <f t="shared" si="91"/>
        <v>1320</v>
      </c>
      <c r="J1946">
        <f t="shared" si="92"/>
        <v>880</v>
      </c>
      <c r="K1946" t="s">
        <v>35</v>
      </c>
      <c r="L1946" t="s">
        <v>25</v>
      </c>
      <c r="M1946" t="s">
        <v>37</v>
      </c>
      <c r="N1946" t="s">
        <v>27</v>
      </c>
      <c r="O1946">
        <v>778</v>
      </c>
      <c r="P1946">
        <v>440</v>
      </c>
      <c r="Q1946" t="s">
        <v>94</v>
      </c>
      <c r="R1946" t="s">
        <v>75</v>
      </c>
      <c r="S1946" t="s">
        <v>95</v>
      </c>
      <c r="T1946">
        <v>2021</v>
      </c>
      <c r="U1946" t="s">
        <v>96</v>
      </c>
    </row>
    <row r="1947" spans="1:21" x14ac:dyDescent="0.35">
      <c r="A1947" s="1">
        <v>46537</v>
      </c>
      <c r="B1947" t="s">
        <v>58</v>
      </c>
      <c r="C1947" t="s">
        <v>59</v>
      </c>
      <c r="D1947" t="s">
        <v>60</v>
      </c>
      <c r="E1947">
        <v>71</v>
      </c>
      <c r="F1947">
        <v>5</v>
      </c>
      <c r="G1947">
        <f t="shared" si="90"/>
        <v>355</v>
      </c>
      <c r="H1947">
        <v>3</v>
      </c>
      <c r="I1947">
        <f t="shared" si="91"/>
        <v>213</v>
      </c>
      <c r="J1947">
        <f t="shared" si="92"/>
        <v>142</v>
      </c>
      <c r="K1947" t="s">
        <v>24</v>
      </c>
      <c r="L1947" t="s">
        <v>73</v>
      </c>
      <c r="M1947" t="s">
        <v>61</v>
      </c>
      <c r="N1947" t="s">
        <v>27</v>
      </c>
      <c r="O1947">
        <v>620</v>
      </c>
      <c r="P1947">
        <v>71</v>
      </c>
      <c r="Q1947" t="s">
        <v>90</v>
      </c>
      <c r="R1947" t="s">
        <v>55</v>
      </c>
      <c r="S1947" t="s">
        <v>85</v>
      </c>
      <c r="T1947">
        <v>2023</v>
      </c>
      <c r="U1947" t="s">
        <v>109</v>
      </c>
    </row>
    <row r="1948" spans="1:21" x14ac:dyDescent="0.35">
      <c r="A1948" s="1">
        <v>46538</v>
      </c>
      <c r="B1948" t="s">
        <v>98</v>
      </c>
      <c r="C1948" t="s">
        <v>99</v>
      </c>
      <c r="D1948" t="s">
        <v>100</v>
      </c>
      <c r="E1948">
        <v>311</v>
      </c>
      <c r="F1948">
        <v>6</v>
      </c>
      <c r="G1948">
        <f t="shared" si="90"/>
        <v>1866</v>
      </c>
      <c r="H1948">
        <v>4</v>
      </c>
      <c r="I1948">
        <f t="shared" si="91"/>
        <v>1244</v>
      </c>
      <c r="J1948">
        <f t="shared" si="92"/>
        <v>622</v>
      </c>
      <c r="K1948" t="s">
        <v>24</v>
      </c>
      <c r="L1948" t="s">
        <v>73</v>
      </c>
      <c r="M1948" t="s">
        <v>61</v>
      </c>
      <c r="N1948" t="s">
        <v>38</v>
      </c>
      <c r="O1948">
        <v>509</v>
      </c>
      <c r="P1948">
        <v>311</v>
      </c>
      <c r="Q1948" t="s">
        <v>106</v>
      </c>
      <c r="R1948" t="s">
        <v>107</v>
      </c>
      <c r="S1948" t="s">
        <v>108</v>
      </c>
      <c r="T1948">
        <v>2023</v>
      </c>
      <c r="U1948" t="s">
        <v>109</v>
      </c>
    </row>
    <row r="1949" spans="1:21" x14ac:dyDescent="0.35">
      <c r="A1949" s="1">
        <v>46539</v>
      </c>
      <c r="B1949" t="s">
        <v>48</v>
      </c>
      <c r="C1949" t="s">
        <v>49</v>
      </c>
      <c r="D1949" t="s">
        <v>50</v>
      </c>
      <c r="E1949">
        <v>80</v>
      </c>
      <c r="F1949">
        <v>150</v>
      </c>
      <c r="G1949">
        <f t="shared" si="90"/>
        <v>12000</v>
      </c>
      <c r="H1949">
        <v>100</v>
      </c>
      <c r="I1949">
        <f t="shared" si="91"/>
        <v>8000</v>
      </c>
      <c r="J1949">
        <f t="shared" si="92"/>
        <v>4000</v>
      </c>
      <c r="K1949" t="s">
        <v>24</v>
      </c>
      <c r="L1949" t="s">
        <v>25</v>
      </c>
      <c r="M1949" t="s">
        <v>26</v>
      </c>
      <c r="N1949" t="s">
        <v>43</v>
      </c>
      <c r="O1949">
        <v>975</v>
      </c>
      <c r="P1949">
        <v>80</v>
      </c>
      <c r="Q1949" t="s">
        <v>92</v>
      </c>
      <c r="R1949" t="s">
        <v>45</v>
      </c>
      <c r="S1949" t="s">
        <v>93</v>
      </c>
      <c r="T1949">
        <v>2021</v>
      </c>
      <c r="U1949" t="s">
        <v>109</v>
      </c>
    </row>
    <row r="1950" spans="1:21" x14ac:dyDescent="0.35">
      <c r="A1950" s="1">
        <v>46540</v>
      </c>
      <c r="B1950" t="s">
        <v>98</v>
      </c>
      <c r="C1950" t="s">
        <v>99</v>
      </c>
      <c r="D1950" t="s">
        <v>100</v>
      </c>
      <c r="E1950">
        <v>343</v>
      </c>
      <c r="F1950">
        <v>6</v>
      </c>
      <c r="G1950">
        <f t="shared" si="90"/>
        <v>2058</v>
      </c>
      <c r="H1950">
        <v>4</v>
      </c>
      <c r="I1950">
        <f t="shared" si="91"/>
        <v>1372</v>
      </c>
      <c r="J1950">
        <f t="shared" si="92"/>
        <v>686</v>
      </c>
      <c r="K1950" t="s">
        <v>42</v>
      </c>
      <c r="L1950" t="s">
        <v>63</v>
      </c>
      <c r="M1950" t="s">
        <v>61</v>
      </c>
      <c r="N1950" t="s">
        <v>43</v>
      </c>
      <c r="O1950">
        <v>939</v>
      </c>
      <c r="P1950">
        <v>343</v>
      </c>
      <c r="Q1950" t="s">
        <v>101</v>
      </c>
      <c r="R1950" t="s">
        <v>101</v>
      </c>
      <c r="S1950" t="s">
        <v>102</v>
      </c>
      <c r="T1950">
        <v>2020</v>
      </c>
      <c r="U1950" t="s">
        <v>86</v>
      </c>
    </row>
    <row r="1951" spans="1:21" x14ac:dyDescent="0.35">
      <c r="A1951" s="1">
        <v>46541</v>
      </c>
      <c r="B1951" t="s">
        <v>48</v>
      </c>
      <c r="C1951" t="s">
        <v>49</v>
      </c>
      <c r="D1951" t="s">
        <v>50</v>
      </c>
      <c r="E1951">
        <v>382</v>
      </c>
      <c r="F1951">
        <v>150</v>
      </c>
      <c r="G1951">
        <f t="shared" si="90"/>
        <v>57300</v>
      </c>
      <c r="H1951">
        <v>100</v>
      </c>
      <c r="I1951">
        <f t="shared" si="91"/>
        <v>38200</v>
      </c>
      <c r="J1951">
        <f t="shared" si="92"/>
        <v>19100</v>
      </c>
      <c r="K1951" t="s">
        <v>24</v>
      </c>
      <c r="L1951" t="s">
        <v>25</v>
      </c>
      <c r="M1951" t="s">
        <v>37</v>
      </c>
      <c r="N1951" t="s">
        <v>43</v>
      </c>
      <c r="O1951">
        <v>766</v>
      </c>
      <c r="P1951">
        <v>382</v>
      </c>
      <c r="Q1951" t="s">
        <v>64</v>
      </c>
      <c r="R1951" t="s">
        <v>29</v>
      </c>
      <c r="S1951" t="s">
        <v>65</v>
      </c>
      <c r="T1951">
        <v>2020</v>
      </c>
      <c r="U1951" t="s">
        <v>97</v>
      </c>
    </row>
    <row r="1952" spans="1:21" x14ac:dyDescent="0.35">
      <c r="A1952" s="1">
        <v>46542</v>
      </c>
      <c r="B1952" t="s">
        <v>21</v>
      </c>
      <c r="C1952" t="s">
        <v>22</v>
      </c>
      <c r="D1952" t="s">
        <v>23</v>
      </c>
      <c r="E1952">
        <v>378</v>
      </c>
      <c r="F1952">
        <v>8</v>
      </c>
      <c r="G1952">
        <f t="shared" si="90"/>
        <v>3024</v>
      </c>
      <c r="H1952">
        <v>5</v>
      </c>
      <c r="I1952">
        <f t="shared" si="91"/>
        <v>1890</v>
      </c>
      <c r="J1952">
        <f t="shared" si="92"/>
        <v>1134</v>
      </c>
      <c r="K1952" t="s">
        <v>42</v>
      </c>
      <c r="L1952" t="s">
        <v>25</v>
      </c>
      <c r="M1952" t="s">
        <v>37</v>
      </c>
      <c r="N1952" t="s">
        <v>38</v>
      </c>
      <c r="O1952">
        <v>742</v>
      </c>
      <c r="P1952">
        <v>378</v>
      </c>
      <c r="Q1952" t="s">
        <v>70</v>
      </c>
      <c r="R1952" t="s">
        <v>71</v>
      </c>
      <c r="S1952" t="s">
        <v>72</v>
      </c>
      <c r="T1952">
        <v>2024</v>
      </c>
      <c r="U1952" t="s">
        <v>96</v>
      </c>
    </row>
    <row r="1953" spans="1:21" x14ac:dyDescent="0.35">
      <c r="A1953" s="1">
        <v>46543</v>
      </c>
      <c r="B1953" t="s">
        <v>48</v>
      </c>
      <c r="C1953" t="s">
        <v>49</v>
      </c>
      <c r="D1953" t="s">
        <v>50</v>
      </c>
      <c r="E1953">
        <v>189</v>
      </c>
      <c r="F1953">
        <v>150</v>
      </c>
      <c r="G1953">
        <f t="shared" si="90"/>
        <v>28350</v>
      </c>
      <c r="H1953">
        <v>100</v>
      </c>
      <c r="I1953">
        <f t="shared" si="91"/>
        <v>18900</v>
      </c>
      <c r="J1953">
        <f t="shared" si="92"/>
        <v>9450</v>
      </c>
      <c r="K1953" t="s">
        <v>35</v>
      </c>
      <c r="L1953" t="s">
        <v>25</v>
      </c>
      <c r="M1953" t="s">
        <v>26</v>
      </c>
      <c r="N1953" t="s">
        <v>43</v>
      </c>
      <c r="O1953">
        <v>671</v>
      </c>
      <c r="P1953">
        <v>189</v>
      </c>
      <c r="Q1953" t="s">
        <v>51</v>
      </c>
      <c r="R1953" t="s">
        <v>45</v>
      </c>
      <c r="S1953" t="s">
        <v>52</v>
      </c>
      <c r="T1953">
        <v>2024</v>
      </c>
      <c r="U1953" t="s">
        <v>31</v>
      </c>
    </row>
    <row r="1954" spans="1:21" x14ac:dyDescent="0.35">
      <c r="A1954" s="1">
        <v>46544</v>
      </c>
      <c r="B1954" t="s">
        <v>48</v>
      </c>
      <c r="C1954" t="s">
        <v>49</v>
      </c>
      <c r="D1954" t="s">
        <v>50</v>
      </c>
      <c r="E1954">
        <v>56</v>
      </c>
      <c r="F1954">
        <v>150</v>
      </c>
      <c r="G1954">
        <f t="shared" si="90"/>
        <v>8400</v>
      </c>
      <c r="H1954">
        <v>100</v>
      </c>
      <c r="I1954">
        <f t="shared" si="91"/>
        <v>5600</v>
      </c>
      <c r="J1954">
        <f t="shared" si="92"/>
        <v>2800</v>
      </c>
      <c r="K1954" t="s">
        <v>24</v>
      </c>
      <c r="L1954" t="s">
        <v>36</v>
      </c>
      <c r="M1954" t="s">
        <v>61</v>
      </c>
      <c r="N1954" t="s">
        <v>43</v>
      </c>
      <c r="O1954">
        <v>702</v>
      </c>
      <c r="P1954">
        <v>56</v>
      </c>
      <c r="Q1954" t="s">
        <v>110</v>
      </c>
      <c r="R1954" t="s">
        <v>111</v>
      </c>
      <c r="S1954" t="s">
        <v>112</v>
      </c>
      <c r="T1954">
        <v>2023</v>
      </c>
      <c r="U1954" t="s">
        <v>62</v>
      </c>
    </row>
    <row r="1955" spans="1:21" x14ac:dyDescent="0.35">
      <c r="A1955" s="1">
        <v>46545</v>
      </c>
      <c r="B1955" t="s">
        <v>32</v>
      </c>
      <c r="C1955" t="s">
        <v>33</v>
      </c>
      <c r="D1955" t="s">
        <v>34</v>
      </c>
      <c r="E1955">
        <v>92</v>
      </c>
      <c r="F1955">
        <v>20</v>
      </c>
      <c r="G1955">
        <f t="shared" si="90"/>
        <v>1840</v>
      </c>
      <c r="H1955">
        <v>12</v>
      </c>
      <c r="I1955">
        <f t="shared" si="91"/>
        <v>1104</v>
      </c>
      <c r="J1955">
        <f t="shared" si="92"/>
        <v>736</v>
      </c>
      <c r="K1955" t="s">
        <v>24</v>
      </c>
      <c r="L1955" t="s">
        <v>36</v>
      </c>
      <c r="M1955" t="s">
        <v>26</v>
      </c>
      <c r="N1955" t="s">
        <v>38</v>
      </c>
      <c r="O1955">
        <v>747</v>
      </c>
      <c r="P1955">
        <v>92</v>
      </c>
      <c r="Q1955" t="s">
        <v>51</v>
      </c>
      <c r="R1955" t="s">
        <v>45</v>
      </c>
      <c r="S1955" t="s">
        <v>52</v>
      </c>
      <c r="T1955">
        <v>2023</v>
      </c>
      <c r="U1955" t="s">
        <v>53</v>
      </c>
    </row>
    <row r="1956" spans="1:21" x14ac:dyDescent="0.35">
      <c r="A1956" s="1">
        <v>46546</v>
      </c>
      <c r="B1956" t="s">
        <v>21</v>
      </c>
      <c r="C1956" t="s">
        <v>22</v>
      </c>
      <c r="D1956" t="s">
        <v>23</v>
      </c>
      <c r="E1956">
        <v>116</v>
      </c>
      <c r="F1956">
        <v>8</v>
      </c>
      <c r="G1956">
        <f t="shared" si="90"/>
        <v>928</v>
      </c>
      <c r="H1956">
        <v>5</v>
      </c>
      <c r="I1956">
        <f t="shared" si="91"/>
        <v>580</v>
      </c>
      <c r="J1956">
        <f t="shared" si="92"/>
        <v>348</v>
      </c>
      <c r="K1956" t="s">
        <v>42</v>
      </c>
      <c r="L1956" t="s">
        <v>25</v>
      </c>
      <c r="M1956" t="s">
        <v>26</v>
      </c>
      <c r="N1956" t="s">
        <v>27</v>
      </c>
      <c r="O1956">
        <v>515</v>
      </c>
      <c r="P1956">
        <v>116</v>
      </c>
      <c r="Q1956" t="s">
        <v>67</v>
      </c>
      <c r="R1956" t="s">
        <v>68</v>
      </c>
      <c r="S1956" t="s">
        <v>69</v>
      </c>
      <c r="T1956">
        <v>2024</v>
      </c>
      <c r="U1956" t="s">
        <v>96</v>
      </c>
    </row>
    <row r="1957" spans="1:21" x14ac:dyDescent="0.35">
      <c r="A1957" s="1">
        <v>46547</v>
      </c>
      <c r="B1957" t="s">
        <v>48</v>
      </c>
      <c r="C1957" t="s">
        <v>49</v>
      </c>
      <c r="D1957" t="s">
        <v>50</v>
      </c>
      <c r="E1957">
        <v>335</v>
      </c>
      <c r="F1957">
        <v>150</v>
      </c>
      <c r="G1957">
        <f t="shared" si="90"/>
        <v>50250</v>
      </c>
      <c r="H1957">
        <v>100</v>
      </c>
      <c r="I1957">
        <f t="shared" si="91"/>
        <v>33500</v>
      </c>
      <c r="J1957">
        <f t="shared" si="92"/>
        <v>16750</v>
      </c>
      <c r="K1957" t="s">
        <v>24</v>
      </c>
      <c r="L1957" t="s">
        <v>73</v>
      </c>
      <c r="M1957" t="s">
        <v>26</v>
      </c>
      <c r="N1957" t="s">
        <v>27</v>
      </c>
      <c r="O1957">
        <v>994</v>
      </c>
      <c r="P1957">
        <v>335</v>
      </c>
      <c r="Q1957" t="s">
        <v>51</v>
      </c>
      <c r="R1957" t="s">
        <v>45</v>
      </c>
      <c r="S1957" t="s">
        <v>52</v>
      </c>
      <c r="T1957">
        <v>2021</v>
      </c>
      <c r="U1957" t="s">
        <v>86</v>
      </c>
    </row>
    <row r="1958" spans="1:21" x14ac:dyDescent="0.35">
      <c r="A1958" s="1">
        <v>46548</v>
      </c>
      <c r="B1958" t="s">
        <v>98</v>
      </c>
      <c r="C1958" t="s">
        <v>99</v>
      </c>
      <c r="D1958" t="s">
        <v>100</v>
      </c>
      <c r="E1958">
        <v>62</v>
      </c>
      <c r="F1958">
        <v>6</v>
      </c>
      <c r="G1958">
        <f t="shared" si="90"/>
        <v>372</v>
      </c>
      <c r="H1958">
        <v>4</v>
      </c>
      <c r="I1958">
        <f t="shared" si="91"/>
        <v>248</v>
      </c>
      <c r="J1958">
        <f t="shared" si="92"/>
        <v>124</v>
      </c>
      <c r="K1958" t="s">
        <v>24</v>
      </c>
      <c r="L1958" t="s">
        <v>36</v>
      </c>
      <c r="M1958" t="s">
        <v>26</v>
      </c>
      <c r="N1958" t="s">
        <v>43</v>
      </c>
      <c r="O1958">
        <v>609</v>
      </c>
      <c r="P1958">
        <v>62</v>
      </c>
      <c r="Q1958" t="s">
        <v>51</v>
      </c>
      <c r="R1958" t="s">
        <v>45</v>
      </c>
      <c r="S1958" t="s">
        <v>52</v>
      </c>
      <c r="T1958">
        <v>2024</v>
      </c>
      <c r="U1958" t="s">
        <v>53</v>
      </c>
    </row>
    <row r="1959" spans="1:21" x14ac:dyDescent="0.35">
      <c r="A1959" s="1">
        <v>46549</v>
      </c>
      <c r="B1959" t="s">
        <v>58</v>
      </c>
      <c r="C1959" t="s">
        <v>59</v>
      </c>
      <c r="D1959" t="s">
        <v>60</v>
      </c>
      <c r="E1959">
        <v>133</v>
      </c>
      <c r="F1959">
        <v>5</v>
      </c>
      <c r="G1959">
        <f t="shared" si="90"/>
        <v>665</v>
      </c>
      <c r="H1959">
        <v>3</v>
      </c>
      <c r="I1959">
        <f t="shared" si="91"/>
        <v>399</v>
      </c>
      <c r="J1959">
        <f t="shared" si="92"/>
        <v>266</v>
      </c>
      <c r="K1959" t="s">
        <v>35</v>
      </c>
      <c r="L1959" t="s">
        <v>73</v>
      </c>
      <c r="M1959" t="s">
        <v>26</v>
      </c>
      <c r="N1959" t="s">
        <v>38</v>
      </c>
      <c r="O1959">
        <v>667</v>
      </c>
      <c r="P1959">
        <v>133</v>
      </c>
      <c r="Q1959" t="s">
        <v>90</v>
      </c>
      <c r="R1959" t="s">
        <v>55</v>
      </c>
      <c r="S1959" t="s">
        <v>85</v>
      </c>
      <c r="T1959">
        <v>2023</v>
      </c>
      <c r="U1959" t="s">
        <v>57</v>
      </c>
    </row>
    <row r="1960" spans="1:21" x14ac:dyDescent="0.35">
      <c r="A1960" s="1">
        <v>46550</v>
      </c>
      <c r="B1960" t="s">
        <v>58</v>
      </c>
      <c r="C1960" t="s">
        <v>59</v>
      </c>
      <c r="D1960" t="s">
        <v>60</v>
      </c>
      <c r="E1960">
        <v>265</v>
      </c>
      <c r="F1960">
        <v>5</v>
      </c>
      <c r="G1960">
        <f t="shared" si="90"/>
        <v>1325</v>
      </c>
      <c r="H1960">
        <v>3</v>
      </c>
      <c r="I1960">
        <f t="shared" si="91"/>
        <v>795</v>
      </c>
      <c r="J1960">
        <f t="shared" si="92"/>
        <v>530</v>
      </c>
      <c r="K1960" t="s">
        <v>42</v>
      </c>
      <c r="L1960" t="s">
        <v>73</v>
      </c>
      <c r="M1960" t="s">
        <v>37</v>
      </c>
      <c r="N1960" t="s">
        <v>43</v>
      </c>
      <c r="O1960">
        <v>558</v>
      </c>
      <c r="P1960">
        <v>265</v>
      </c>
      <c r="Q1960" t="s">
        <v>77</v>
      </c>
      <c r="R1960" t="s">
        <v>78</v>
      </c>
      <c r="S1960" t="s">
        <v>79</v>
      </c>
      <c r="T1960">
        <v>2020</v>
      </c>
      <c r="U1960" t="s">
        <v>57</v>
      </c>
    </row>
    <row r="1961" spans="1:21" x14ac:dyDescent="0.35">
      <c r="A1961" s="1">
        <v>46551</v>
      </c>
      <c r="B1961" t="s">
        <v>32</v>
      </c>
      <c r="C1961" t="s">
        <v>33</v>
      </c>
      <c r="D1961" t="s">
        <v>34</v>
      </c>
      <c r="E1961">
        <v>168</v>
      </c>
      <c r="F1961">
        <v>20</v>
      </c>
      <c r="G1961">
        <f t="shared" si="90"/>
        <v>3360</v>
      </c>
      <c r="H1961">
        <v>12</v>
      </c>
      <c r="I1961">
        <f t="shared" si="91"/>
        <v>2016</v>
      </c>
      <c r="J1961">
        <f t="shared" si="92"/>
        <v>1344</v>
      </c>
      <c r="K1961" t="s">
        <v>42</v>
      </c>
      <c r="L1961" t="s">
        <v>73</v>
      </c>
      <c r="M1961" t="s">
        <v>61</v>
      </c>
      <c r="N1961" t="s">
        <v>38</v>
      </c>
      <c r="O1961">
        <v>848</v>
      </c>
      <c r="P1961">
        <v>168</v>
      </c>
      <c r="Q1961" t="s">
        <v>64</v>
      </c>
      <c r="R1961" t="s">
        <v>29</v>
      </c>
      <c r="S1961" t="s">
        <v>65</v>
      </c>
      <c r="T1961">
        <v>2020</v>
      </c>
      <c r="U1961" t="s">
        <v>53</v>
      </c>
    </row>
    <row r="1962" spans="1:21" x14ac:dyDescent="0.35">
      <c r="A1962" s="1">
        <v>46552</v>
      </c>
      <c r="B1962" t="s">
        <v>58</v>
      </c>
      <c r="C1962" t="s">
        <v>59</v>
      </c>
      <c r="D1962" t="s">
        <v>60</v>
      </c>
      <c r="E1962">
        <v>210</v>
      </c>
      <c r="F1962">
        <v>5</v>
      </c>
      <c r="G1962">
        <f t="shared" si="90"/>
        <v>1050</v>
      </c>
      <c r="H1962">
        <v>3</v>
      </c>
      <c r="I1962">
        <f t="shared" si="91"/>
        <v>630</v>
      </c>
      <c r="J1962">
        <f t="shared" si="92"/>
        <v>420</v>
      </c>
      <c r="K1962" t="s">
        <v>35</v>
      </c>
      <c r="L1962" t="s">
        <v>63</v>
      </c>
      <c r="M1962" t="s">
        <v>61</v>
      </c>
      <c r="N1962" t="s">
        <v>27</v>
      </c>
      <c r="O1962">
        <v>562</v>
      </c>
      <c r="P1962">
        <v>210</v>
      </c>
      <c r="Q1962" t="s">
        <v>90</v>
      </c>
      <c r="R1962" t="s">
        <v>55</v>
      </c>
      <c r="S1962" t="s">
        <v>85</v>
      </c>
      <c r="T1962">
        <v>2020</v>
      </c>
      <c r="U1962" t="s">
        <v>109</v>
      </c>
    </row>
    <row r="1963" spans="1:21" x14ac:dyDescent="0.35">
      <c r="A1963" s="1">
        <v>46553</v>
      </c>
      <c r="B1963" t="s">
        <v>21</v>
      </c>
      <c r="C1963" t="s">
        <v>22</v>
      </c>
      <c r="D1963" t="s">
        <v>23</v>
      </c>
      <c r="E1963">
        <v>443</v>
      </c>
      <c r="F1963">
        <v>8</v>
      </c>
      <c r="G1963">
        <f t="shared" si="90"/>
        <v>3544</v>
      </c>
      <c r="H1963">
        <v>5</v>
      </c>
      <c r="I1963">
        <f t="shared" si="91"/>
        <v>2215</v>
      </c>
      <c r="J1963">
        <f t="shared" si="92"/>
        <v>1329</v>
      </c>
      <c r="K1963" t="s">
        <v>35</v>
      </c>
      <c r="L1963" t="s">
        <v>73</v>
      </c>
      <c r="M1963" t="s">
        <v>37</v>
      </c>
      <c r="N1963" t="s">
        <v>38</v>
      </c>
      <c r="O1963">
        <v>846</v>
      </c>
      <c r="P1963">
        <v>443</v>
      </c>
      <c r="Q1963" t="s">
        <v>74</v>
      </c>
      <c r="R1963" t="s">
        <v>75</v>
      </c>
      <c r="S1963" t="s">
        <v>76</v>
      </c>
      <c r="T1963">
        <v>2024</v>
      </c>
      <c r="U1963" t="s">
        <v>66</v>
      </c>
    </row>
    <row r="1964" spans="1:21" x14ac:dyDescent="0.35">
      <c r="A1964" s="1">
        <v>46554</v>
      </c>
      <c r="B1964" t="s">
        <v>21</v>
      </c>
      <c r="C1964" t="s">
        <v>22</v>
      </c>
      <c r="D1964" t="s">
        <v>23</v>
      </c>
      <c r="E1964">
        <v>148</v>
      </c>
      <c r="F1964">
        <v>8</v>
      </c>
      <c r="G1964">
        <f t="shared" si="90"/>
        <v>1184</v>
      </c>
      <c r="H1964">
        <v>5</v>
      </c>
      <c r="I1964">
        <f t="shared" si="91"/>
        <v>740</v>
      </c>
      <c r="J1964">
        <f t="shared" si="92"/>
        <v>444</v>
      </c>
      <c r="K1964" t="s">
        <v>24</v>
      </c>
      <c r="L1964" t="s">
        <v>25</v>
      </c>
      <c r="M1964" t="s">
        <v>26</v>
      </c>
      <c r="N1964" t="s">
        <v>43</v>
      </c>
      <c r="O1964">
        <v>854</v>
      </c>
      <c r="P1964">
        <v>148</v>
      </c>
      <c r="Q1964" t="s">
        <v>39</v>
      </c>
      <c r="R1964" t="s">
        <v>40</v>
      </c>
      <c r="S1964" t="s">
        <v>41</v>
      </c>
      <c r="T1964">
        <v>2022</v>
      </c>
      <c r="U1964" t="s">
        <v>53</v>
      </c>
    </row>
    <row r="1965" spans="1:21" x14ac:dyDescent="0.35">
      <c r="A1965" s="1">
        <v>46555</v>
      </c>
      <c r="B1965" t="s">
        <v>58</v>
      </c>
      <c r="C1965" t="s">
        <v>59</v>
      </c>
      <c r="D1965" t="s">
        <v>60</v>
      </c>
      <c r="E1965">
        <v>422</v>
      </c>
      <c r="F1965">
        <v>5</v>
      </c>
      <c r="G1965">
        <f t="shared" si="90"/>
        <v>2110</v>
      </c>
      <c r="H1965">
        <v>3</v>
      </c>
      <c r="I1965">
        <f t="shared" si="91"/>
        <v>1266</v>
      </c>
      <c r="J1965">
        <f t="shared" si="92"/>
        <v>844</v>
      </c>
      <c r="K1965" t="s">
        <v>42</v>
      </c>
      <c r="L1965" t="s">
        <v>73</v>
      </c>
      <c r="M1965" t="s">
        <v>37</v>
      </c>
      <c r="N1965" t="s">
        <v>27</v>
      </c>
      <c r="O1965">
        <v>966</v>
      </c>
      <c r="P1965">
        <v>422</v>
      </c>
      <c r="Q1965" t="s">
        <v>92</v>
      </c>
      <c r="R1965" t="s">
        <v>45</v>
      </c>
      <c r="S1965" t="s">
        <v>93</v>
      </c>
      <c r="T1965">
        <v>2024</v>
      </c>
      <c r="U1965" t="s">
        <v>86</v>
      </c>
    </row>
    <row r="1966" spans="1:21" x14ac:dyDescent="0.35">
      <c r="A1966" s="1">
        <v>46556</v>
      </c>
      <c r="B1966" t="s">
        <v>32</v>
      </c>
      <c r="C1966" t="s">
        <v>33</v>
      </c>
      <c r="D1966" t="s">
        <v>34</v>
      </c>
      <c r="E1966">
        <v>284</v>
      </c>
      <c r="F1966">
        <v>20</v>
      </c>
      <c r="G1966">
        <f t="shared" si="90"/>
        <v>5680</v>
      </c>
      <c r="H1966">
        <v>12</v>
      </c>
      <c r="I1966">
        <f t="shared" si="91"/>
        <v>3408</v>
      </c>
      <c r="J1966">
        <f t="shared" si="92"/>
        <v>2272</v>
      </c>
      <c r="K1966" t="s">
        <v>24</v>
      </c>
      <c r="L1966" t="s">
        <v>63</v>
      </c>
      <c r="M1966" t="s">
        <v>26</v>
      </c>
      <c r="N1966" t="s">
        <v>38</v>
      </c>
      <c r="O1966">
        <v>949</v>
      </c>
      <c r="P1966">
        <v>284</v>
      </c>
      <c r="Q1966" t="s">
        <v>83</v>
      </c>
      <c r="R1966" t="s">
        <v>84</v>
      </c>
      <c r="S1966" t="s">
        <v>85</v>
      </c>
      <c r="T1966">
        <v>2024</v>
      </c>
      <c r="U1966" t="s">
        <v>53</v>
      </c>
    </row>
    <row r="1967" spans="1:21" x14ac:dyDescent="0.35">
      <c r="A1967" s="1">
        <v>46557</v>
      </c>
      <c r="B1967" t="s">
        <v>48</v>
      </c>
      <c r="C1967" t="s">
        <v>49</v>
      </c>
      <c r="D1967" t="s">
        <v>50</v>
      </c>
      <c r="E1967">
        <v>462</v>
      </c>
      <c r="F1967">
        <v>150</v>
      </c>
      <c r="G1967">
        <f t="shared" si="90"/>
        <v>69300</v>
      </c>
      <c r="H1967">
        <v>100</v>
      </c>
      <c r="I1967">
        <f t="shared" si="91"/>
        <v>46200</v>
      </c>
      <c r="J1967">
        <f t="shared" si="92"/>
        <v>23100</v>
      </c>
      <c r="K1967" t="s">
        <v>24</v>
      </c>
      <c r="L1967" t="s">
        <v>63</v>
      </c>
      <c r="M1967" t="s">
        <v>26</v>
      </c>
      <c r="N1967" t="s">
        <v>38</v>
      </c>
      <c r="O1967">
        <v>985</v>
      </c>
      <c r="P1967">
        <v>462</v>
      </c>
      <c r="Q1967" t="s">
        <v>67</v>
      </c>
      <c r="R1967" t="s">
        <v>68</v>
      </c>
      <c r="S1967" t="s">
        <v>69</v>
      </c>
      <c r="T1967">
        <v>2023</v>
      </c>
      <c r="U1967" t="s">
        <v>96</v>
      </c>
    </row>
    <row r="1968" spans="1:21" x14ac:dyDescent="0.35">
      <c r="A1968" s="1">
        <v>46558</v>
      </c>
      <c r="B1968" t="s">
        <v>21</v>
      </c>
      <c r="C1968" t="s">
        <v>22</v>
      </c>
      <c r="D1968" t="s">
        <v>23</v>
      </c>
      <c r="E1968">
        <v>372</v>
      </c>
      <c r="F1968">
        <v>8</v>
      </c>
      <c r="G1968">
        <f t="shared" si="90"/>
        <v>2976</v>
      </c>
      <c r="H1968">
        <v>5</v>
      </c>
      <c r="I1968">
        <f t="shared" si="91"/>
        <v>1860</v>
      </c>
      <c r="J1968">
        <f t="shared" si="92"/>
        <v>1116</v>
      </c>
      <c r="K1968" t="s">
        <v>24</v>
      </c>
      <c r="L1968" t="s">
        <v>36</v>
      </c>
      <c r="M1968" t="s">
        <v>26</v>
      </c>
      <c r="N1968" t="s">
        <v>27</v>
      </c>
      <c r="O1968">
        <v>687</v>
      </c>
      <c r="P1968">
        <v>372</v>
      </c>
      <c r="Q1968" t="s">
        <v>74</v>
      </c>
      <c r="R1968" t="s">
        <v>75</v>
      </c>
      <c r="S1968" t="s">
        <v>76</v>
      </c>
      <c r="T1968">
        <v>2022</v>
      </c>
      <c r="U1968" t="s">
        <v>109</v>
      </c>
    </row>
    <row r="1969" spans="1:21" x14ac:dyDescent="0.35">
      <c r="A1969" s="1">
        <v>46559</v>
      </c>
      <c r="B1969" t="s">
        <v>32</v>
      </c>
      <c r="C1969" t="s">
        <v>33</v>
      </c>
      <c r="D1969" t="s">
        <v>34</v>
      </c>
      <c r="E1969">
        <v>487</v>
      </c>
      <c r="F1969">
        <v>20</v>
      </c>
      <c r="G1969">
        <f t="shared" si="90"/>
        <v>9740</v>
      </c>
      <c r="H1969">
        <v>12</v>
      </c>
      <c r="I1969">
        <f t="shared" si="91"/>
        <v>5844</v>
      </c>
      <c r="J1969">
        <f t="shared" si="92"/>
        <v>3896</v>
      </c>
      <c r="K1969" t="s">
        <v>24</v>
      </c>
      <c r="L1969" t="s">
        <v>63</v>
      </c>
      <c r="M1969" t="s">
        <v>37</v>
      </c>
      <c r="N1969" t="s">
        <v>38</v>
      </c>
      <c r="O1969">
        <v>654</v>
      </c>
      <c r="P1969">
        <v>487</v>
      </c>
      <c r="Q1969" t="s">
        <v>28</v>
      </c>
      <c r="R1969" t="s">
        <v>29</v>
      </c>
      <c r="S1969" t="s">
        <v>30</v>
      </c>
      <c r="T1969">
        <v>2021</v>
      </c>
      <c r="U1969" t="s">
        <v>109</v>
      </c>
    </row>
    <row r="1970" spans="1:21" x14ac:dyDescent="0.35">
      <c r="A1970" s="1">
        <v>46560</v>
      </c>
      <c r="B1970" t="s">
        <v>48</v>
      </c>
      <c r="C1970" t="s">
        <v>49</v>
      </c>
      <c r="D1970" t="s">
        <v>50</v>
      </c>
      <c r="E1970">
        <v>156</v>
      </c>
      <c r="F1970">
        <v>150</v>
      </c>
      <c r="G1970">
        <f t="shared" si="90"/>
        <v>23400</v>
      </c>
      <c r="H1970">
        <v>100</v>
      </c>
      <c r="I1970">
        <f t="shared" si="91"/>
        <v>15600</v>
      </c>
      <c r="J1970">
        <f t="shared" si="92"/>
        <v>7800</v>
      </c>
      <c r="K1970" t="s">
        <v>24</v>
      </c>
      <c r="L1970" t="s">
        <v>36</v>
      </c>
      <c r="M1970" t="s">
        <v>61</v>
      </c>
      <c r="N1970" t="s">
        <v>38</v>
      </c>
      <c r="O1970">
        <v>810</v>
      </c>
      <c r="P1970">
        <v>156</v>
      </c>
      <c r="Q1970" t="s">
        <v>101</v>
      </c>
      <c r="R1970" t="s">
        <v>101</v>
      </c>
      <c r="S1970" t="s">
        <v>102</v>
      </c>
      <c r="T1970">
        <v>2021</v>
      </c>
      <c r="U1970" t="s">
        <v>96</v>
      </c>
    </row>
    <row r="1971" spans="1:21" x14ac:dyDescent="0.35">
      <c r="A1971" s="1">
        <v>46561</v>
      </c>
      <c r="B1971" t="s">
        <v>98</v>
      </c>
      <c r="C1971" t="s">
        <v>99</v>
      </c>
      <c r="D1971" t="s">
        <v>100</v>
      </c>
      <c r="E1971">
        <v>411</v>
      </c>
      <c r="F1971">
        <v>6</v>
      </c>
      <c r="G1971">
        <f t="shared" si="90"/>
        <v>2466</v>
      </c>
      <c r="H1971">
        <v>4</v>
      </c>
      <c r="I1971">
        <f t="shared" si="91"/>
        <v>1644</v>
      </c>
      <c r="J1971">
        <f t="shared" si="92"/>
        <v>822</v>
      </c>
      <c r="K1971" t="s">
        <v>35</v>
      </c>
      <c r="L1971" t="s">
        <v>25</v>
      </c>
      <c r="M1971" t="s">
        <v>61</v>
      </c>
      <c r="N1971" t="s">
        <v>38</v>
      </c>
      <c r="O1971">
        <v>936</v>
      </c>
      <c r="P1971">
        <v>411</v>
      </c>
      <c r="Q1971" t="s">
        <v>101</v>
      </c>
      <c r="R1971" t="s">
        <v>101</v>
      </c>
      <c r="S1971" t="s">
        <v>102</v>
      </c>
      <c r="T1971">
        <v>2021</v>
      </c>
      <c r="U1971" t="s">
        <v>96</v>
      </c>
    </row>
    <row r="1972" spans="1:21" x14ac:dyDescent="0.35">
      <c r="A1972" s="1">
        <v>46562</v>
      </c>
      <c r="B1972" t="s">
        <v>48</v>
      </c>
      <c r="C1972" t="s">
        <v>49</v>
      </c>
      <c r="D1972" t="s">
        <v>50</v>
      </c>
      <c r="E1972">
        <v>142</v>
      </c>
      <c r="F1972">
        <v>150</v>
      </c>
      <c r="G1972">
        <f t="shared" si="90"/>
        <v>21300</v>
      </c>
      <c r="H1972">
        <v>100</v>
      </c>
      <c r="I1972">
        <f t="shared" si="91"/>
        <v>14200</v>
      </c>
      <c r="J1972">
        <f t="shared" si="92"/>
        <v>7100</v>
      </c>
      <c r="K1972" t="s">
        <v>42</v>
      </c>
      <c r="L1972" t="s">
        <v>63</v>
      </c>
      <c r="M1972" t="s">
        <v>37</v>
      </c>
      <c r="N1972" t="s">
        <v>27</v>
      </c>
      <c r="O1972">
        <v>542</v>
      </c>
      <c r="P1972">
        <v>142</v>
      </c>
      <c r="Q1972" t="s">
        <v>28</v>
      </c>
      <c r="R1972" t="s">
        <v>29</v>
      </c>
      <c r="S1972" t="s">
        <v>30</v>
      </c>
      <c r="T1972">
        <v>2022</v>
      </c>
      <c r="U1972" t="s">
        <v>97</v>
      </c>
    </row>
    <row r="1973" spans="1:21" x14ac:dyDescent="0.35">
      <c r="A1973" s="1">
        <v>46563</v>
      </c>
      <c r="B1973" t="s">
        <v>48</v>
      </c>
      <c r="C1973" t="s">
        <v>49</v>
      </c>
      <c r="D1973" t="s">
        <v>50</v>
      </c>
      <c r="E1973">
        <v>65</v>
      </c>
      <c r="F1973">
        <v>150</v>
      </c>
      <c r="G1973">
        <f t="shared" si="90"/>
        <v>9750</v>
      </c>
      <c r="H1973">
        <v>100</v>
      </c>
      <c r="I1973">
        <f t="shared" si="91"/>
        <v>6500</v>
      </c>
      <c r="J1973">
        <f t="shared" si="92"/>
        <v>3250</v>
      </c>
      <c r="K1973" t="s">
        <v>24</v>
      </c>
      <c r="L1973" t="s">
        <v>36</v>
      </c>
      <c r="M1973" t="s">
        <v>37</v>
      </c>
      <c r="N1973" t="s">
        <v>27</v>
      </c>
      <c r="O1973">
        <v>835</v>
      </c>
      <c r="P1973">
        <v>65</v>
      </c>
      <c r="Q1973" t="s">
        <v>90</v>
      </c>
      <c r="R1973" t="s">
        <v>55</v>
      </c>
      <c r="S1973" t="s">
        <v>85</v>
      </c>
      <c r="T1973">
        <v>2020</v>
      </c>
      <c r="U1973" t="s">
        <v>62</v>
      </c>
    </row>
    <row r="1974" spans="1:21" x14ac:dyDescent="0.35">
      <c r="A1974" s="1">
        <v>46564</v>
      </c>
      <c r="B1974" t="s">
        <v>98</v>
      </c>
      <c r="C1974" t="s">
        <v>99</v>
      </c>
      <c r="D1974" t="s">
        <v>100</v>
      </c>
      <c r="E1974">
        <v>102</v>
      </c>
      <c r="F1974">
        <v>6</v>
      </c>
      <c r="G1974">
        <f t="shared" si="90"/>
        <v>612</v>
      </c>
      <c r="H1974">
        <v>4</v>
      </c>
      <c r="I1974">
        <f t="shared" si="91"/>
        <v>408</v>
      </c>
      <c r="J1974">
        <f t="shared" si="92"/>
        <v>204</v>
      </c>
      <c r="K1974" t="s">
        <v>35</v>
      </c>
      <c r="L1974" t="s">
        <v>63</v>
      </c>
      <c r="M1974" t="s">
        <v>37</v>
      </c>
      <c r="N1974" t="s">
        <v>38</v>
      </c>
      <c r="O1974">
        <v>721</v>
      </c>
      <c r="P1974">
        <v>102</v>
      </c>
      <c r="Q1974" t="s">
        <v>39</v>
      </c>
      <c r="R1974" t="s">
        <v>40</v>
      </c>
      <c r="S1974" t="s">
        <v>41</v>
      </c>
      <c r="T1974">
        <v>2024</v>
      </c>
      <c r="U1974" t="s">
        <v>53</v>
      </c>
    </row>
    <row r="1975" spans="1:21" x14ac:dyDescent="0.35">
      <c r="A1975" s="1">
        <v>46565</v>
      </c>
      <c r="B1975" t="s">
        <v>58</v>
      </c>
      <c r="C1975" t="s">
        <v>59</v>
      </c>
      <c r="D1975" t="s">
        <v>60</v>
      </c>
      <c r="E1975">
        <v>383</v>
      </c>
      <c r="F1975">
        <v>5</v>
      </c>
      <c r="G1975">
        <f t="shared" si="90"/>
        <v>1915</v>
      </c>
      <c r="H1975">
        <v>3</v>
      </c>
      <c r="I1975">
        <f t="shared" si="91"/>
        <v>1149</v>
      </c>
      <c r="J1975">
        <f t="shared" si="92"/>
        <v>766</v>
      </c>
      <c r="K1975" t="s">
        <v>42</v>
      </c>
      <c r="L1975" t="s">
        <v>63</v>
      </c>
      <c r="M1975" t="s">
        <v>26</v>
      </c>
      <c r="N1975" t="s">
        <v>43</v>
      </c>
      <c r="O1975">
        <v>553</v>
      </c>
      <c r="P1975">
        <v>383</v>
      </c>
      <c r="Q1975" t="s">
        <v>110</v>
      </c>
      <c r="R1975" t="s">
        <v>111</v>
      </c>
      <c r="S1975" t="s">
        <v>112</v>
      </c>
      <c r="T1975">
        <v>2022</v>
      </c>
      <c r="U1975" t="s">
        <v>91</v>
      </c>
    </row>
    <row r="1976" spans="1:21" x14ac:dyDescent="0.35">
      <c r="A1976" s="1">
        <v>46566</v>
      </c>
      <c r="B1976" t="s">
        <v>32</v>
      </c>
      <c r="C1976" t="s">
        <v>33</v>
      </c>
      <c r="D1976" t="s">
        <v>34</v>
      </c>
      <c r="E1976">
        <v>269</v>
      </c>
      <c r="F1976">
        <v>20</v>
      </c>
      <c r="G1976">
        <f t="shared" si="90"/>
        <v>5380</v>
      </c>
      <c r="H1976">
        <v>12</v>
      </c>
      <c r="I1976">
        <f t="shared" si="91"/>
        <v>3228</v>
      </c>
      <c r="J1976">
        <f t="shared" si="92"/>
        <v>2152</v>
      </c>
      <c r="K1976" t="s">
        <v>42</v>
      </c>
      <c r="L1976" t="s">
        <v>25</v>
      </c>
      <c r="M1976" t="s">
        <v>61</v>
      </c>
      <c r="N1976" t="s">
        <v>43</v>
      </c>
      <c r="O1976">
        <v>716</v>
      </c>
      <c r="P1976">
        <v>269</v>
      </c>
      <c r="Q1976" t="s">
        <v>83</v>
      </c>
      <c r="R1976" t="s">
        <v>84</v>
      </c>
      <c r="S1976" t="s">
        <v>85</v>
      </c>
      <c r="T1976">
        <v>2023</v>
      </c>
      <c r="U1976" t="s">
        <v>57</v>
      </c>
    </row>
    <row r="1977" spans="1:21" x14ac:dyDescent="0.35">
      <c r="A1977" s="1">
        <v>46567</v>
      </c>
      <c r="B1977" t="s">
        <v>32</v>
      </c>
      <c r="C1977" t="s">
        <v>33</v>
      </c>
      <c r="D1977" t="s">
        <v>34</v>
      </c>
      <c r="E1977">
        <v>145</v>
      </c>
      <c r="F1977">
        <v>20</v>
      </c>
      <c r="G1977">
        <f t="shared" si="90"/>
        <v>2900</v>
      </c>
      <c r="H1977">
        <v>12</v>
      </c>
      <c r="I1977">
        <f t="shared" si="91"/>
        <v>1740</v>
      </c>
      <c r="J1977">
        <f t="shared" si="92"/>
        <v>1160</v>
      </c>
      <c r="K1977" t="s">
        <v>42</v>
      </c>
      <c r="L1977" t="s">
        <v>36</v>
      </c>
      <c r="M1977" t="s">
        <v>61</v>
      </c>
      <c r="N1977" t="s">
        <v>38</v>
      </c>
      <c r="O1977">
        <v>759</v>
      </c>
      <c r="P1977">
        <v>145</v>
      </c>
      <c r="Q1977" t="s">
        <v>70</v>
      </c>
      <c r="R1977" t="s">
        <v>71</v>
      </c>
      <c r="S1977" t="s">
        <v>72</v>
      </c>
      <c r="T1977">
        <v>2023</v>
      </c>
      <c r="U1977" t="s">
        <v>86</v>
      </c>
    </row>
    <row r="1978" spans="1:21" x14ac:dyDescent="0.35">
      <c r="A1978" s="1">
        <v>46568</v>
      </c>
      <c r="B1978" t="s">
        <v>58</v>
      </c>
      <c r="C1978" t="s">
        <v>59</v>
      </c>
      <c r="D1978" t="s">
        <v>60</v>
      </c>
      <c r="E1978">
        <v>190</v>
      </c>
      <c r="F1978">
        <v>5</v>
      </c>
      <c r="G1978">
        <f t="shared" si="90"/>
        <v>950</v>
      </c>
      <c r="H1978">
        <v>3</v>
      </c>
      <c r="I1978">
        <f t="shared" si="91"/>
        <v>570</v>
      </c>
      <c r="J1978">
        <f t="shared" si="92"/>
        <v>380</v>
      </c>
      <c r="K1978" t="s">
        <v>42</v>
      </c>
      <c r="L1978" t="s">
        <v>36</v>
      </c>
      <c r="M1978" t="s">
        <v>61</v>
      </c>
      <c r="N1978" t="s">
        <v>27</v>
      </c>
      <c r="O1978">
        <v>964</v>
      </c>
      <c r="P1978">
        <v>190</v>
      </c>
      <c r="Q1978" t="s">
        <v>39</v>
      </c>
      <c r="R1978" t="s">
        <v>40</v>
      </c>
      <c r="S1978" t="s">
        <v>41</v>
      </c>
      <c r="T1978">
        <v>2022</v>
      </c>
      <c r="U1978" t="s">
        <v>53</v>
      </c>
    </row>
    <row r="1979" spans="1:21" x14ac:dyDescent="0.35">
      <c r="A1979" s="1">
        <v>46569</v>
      </c>
      <c r="B1979" t="s">
        <v>98</v>
      </c>
      <c r="C1979" t="s">
        <v>99</v>
      </c>
      <c r="D1979" t="s">
        <v>100</v>
      </c>
      <c r="E1979">
        <v>500</v>
      </c>
      <c r="F1979">
        <v>6</v>
      </c>
      <c r="G1979">
        <f t="shared" si="90"/>
        <v>3000</v>
      </c>
      <c r="H1979">
        <v>4</v>
      </c>
      <c r="I1979">
        <f t="shared" si="91"/>
        <v>2000</v>
      </c>
      <c r="J1979">
        <f t="shared" si="92"/>
        <v>1000</v>
      </c>
      <c r="K1979" t="s">
        <v>24</v>
      </c>
      <c r="L1979" t="s">
        <v>36</v>
      </c>
      <c r="M1979" t="s">
        <v>37</v>
      </c>
      <c r="N1979" t="s">
        <v>38</v>
      </c>
      <c r="O1979">
        <v>819</v>
      </c>
      <c r="P1979">
        <v>500</v>
      </c>
      <c r="Q1979" t="s">
        <v>83</v>
      </c>
      <c r="R1979" t="s">
        <v>84</v>
      </c>
      <c r="S1979" t="s">
        <v>85</v>
      </c>
      <c r="T1979">
        <v>2024</v>
      </c>
      <c r="U1979" t="s">
        <v>86</v>
      </c>
    </row>
    <row r="1980" spans="1:21" x14ac:dyDescent="0.35">
      <c r="A1980" s="1">
        <v>46570</v>
      </c>
      <c r="B1980" t="s">
        <v>32</v>
      </c>
      <c r="C1980" t="s">
        <v>33</v>
      </c>
      <c r="D1980" t="s">
        <v>34</v>
      </c>
      <c r="E1980">
        <v>464</v>
      </c>
      <c r="F1980">
        <v>20</v>
      </c>
      <c r="G1980">
        <f t="shared" si="90"/>
        <v>9280</v>
      </c>
      <c r="H1980">
        <v>12</v>
      </c>
      <c r="I1980">
        <f t="shared" si="91"/>
        <v>5568</v>
      </c>
      <c r="J1980">
        <f t="shared" si="92"/>
        <v>3712</v>
      </c>
      <c r="K1980" t="s">
        <v>24</v>
      </c>
      <c r="L1980" t="s">
        <v>36</v>
      </c>
      <c r="M1980" t="s">
        <v>26</v>
      </c>
      <c r="N1980" t="s">
        <v>38</v>
      </c>
      <c r="O1980">
        <v>713</v>
      </c>
      <c r="P1980">
        <v>464</v>
      </c>
      <c r="Q1980" t="s">
        <v>28</v>
      </c>
      <c r="R1980" t="s">
        <v>29</v>
      </c>
      <c r="S1980" t="s">
        <v>30</v>
      </c>
      <c r="T1980">
        <v>2022</v>
      </c>
      <c r="U1980" t="s">
        <v>66</v>
      </c>
    </row>
    <row r="1981" spans="1:21" x14ac:dyDescent="0.35">
      <c r="A1981" s="1">
        <v>46571</v>
      </c>
      <c r="B1981" t="s">
        <v>98</v>
      </c>
      <c r="C1981" t="s">
        <v>99</v>
      </c>
      <c r="D1981" t="s">
        <v>100</v>
      </c>
      <c r="E1981">
        <v>462</v>
      </c>
      <c r="F1981">
        <v>6</v>
      </c>
      <c r="G1981">
        <f t="shared" si="90"/>
        <v>2772</v>
      </c>
      <c r="H1981">
        <v>4</v>
      </c>
      <c r="I1981">
        <f t="shared" si="91"/>
        <v>1848</v>
      </c>
      <c r="J1981">
        <f t="shared" si="92"/>
        <v>924</v>
      </c>
      <c r="K1981" t="s">
        <v>42</v>
      </c>
      <c r="L1981" t="s">
        <v>73</v>
      </c>
      <c r="M1981" t="s">
        <v>37</v>
      </c>
      <c r="N1981" t="s">
        <v>43</v>
      </c>
      <c r="O1981">
        <v>671</v>
      </c>
      <c r="P1981">
        <v>462</v>
      </c>
      <c r="Q1981" t="s">
        <v>110</v>
      </c>
      <c r="R1981" t="s">
        <v>111</v>
      </c>
      <c r="S1981" t="s">
        <v>112</v>
      </c>
      <c r="T1981">
        <v>2023</v>
      </c>
      <c r="U1981" t="s">
        <v>91</v>
      </c>
    </row>
    <row r="1982" spans="1:21" x14ac:dyDescent="0.35">
      <c r="A1982" s="1">
        <v>46572</v>
      </c>
      <c r="B1982" t="s">
        <v>98</v>
      </c>
      <c r="C1982" t="s">
        <v>99</v>
      </c>
      <c r="D1982" t="s">
        <v>100</v>
      </c>
      <c r="E1982">
        <v>209</v>
      </c>
      <c r="F1982">
        <v>6</v>
      </c>
      <c r="G1982">
        <f t="shared" si="90"/>
        <v>1254</v>
      </c>
      <c r="H1982">
        <v>4</v>
      </c>
      <c r="I1982">
        <f t="shared" si="91"/>
        <v>836</v>
      </c>
      <c r="J1982">
        <f t="shared" si="92"/>
        <v>418</v>
      </c>
      <c r="K1982" t="s">
        <v>35</v>
      </c>
      <c r="L1982" t="s">
        <v>36</v>
      </c>
      <c r="M1982" t="s">
        <v>61</v>
      </c>
      <c r="N1982" t="s">
        <v>43</v>
      </c>
      <c r="O1982">
        <v>989</v>
      </c>
      <c r="P1982">
        <v>209</v>
      </c>
      <c r="Q1982" t="s">
        <v>51</v>
      </c>
      <c r="R1982" t="s">
        <v>45</v>
      </c>
      <c r="S1982" t="s">
        <v>52</v>
      </c>
      <c r="T1982">
        <v>2021</v>
      </c>
      <c r="U1982" t="s">
        <v>105</v>
      </c>
    </row>
    <row r="1983" spans="1:21" x14ac:dyDescent="0.35">
      <c r="A1983" s="1">
        <v>46573</v>
      </c>
      <c r="B1983" t="s">
        <v>98</v>
      </c>
      <c r="C1983" t="s">
        <v>99</v>
      </c>
      <c r="D1983" t="s">
        <v>100</v>
      </c>
      <c r="E1983">
        <v>412</v>
      </c>
      <c r="F1983">
        <v>6</v>
      </c>
      <c r="G1983">
        <f t="shared" si="90"/>
        <v>2472</v>
      </c>
      <c r="H1983">
        <v>4</v>
      </c>
      <c r="I1983">
        <f t="shared" si="91"/>
        <v>1648</v>
      </c>
      <c r="J1983">
        <f t="shared" si="92"/>
        <v>824</v>
      </c>
      <c r="K1983" t="s">
        <v>24</v>
      </c>
      <c r="L1983" t="s">
        <v>63</v>
      </c>
      <c r="M1983" t="s">
        <v>26</v>
      </c>
      <c r="N1983" t="s">
        <v>27</v>
      </c>
      <c r="O1983">
        <v>720</v>
      </c>
      <c r="P1983">
        <v>412</v>
      </c>
      <c r="Q1983" t="s">
        <v>106</v>
      </c>
      <c r="R1983" t="s">
        <v>107</v>
      </c>
      <c r="S1983" t="s">
        <v>108</v>
      </c>
      <c r="T1983">
        <v>2024</v>
      </c>
      <c r="U1983" t="s">
        <v>31</v>
      </c>
    </row>
    <row r="1984" spans="1:21" x14ac:dyDescent="0.35">
      <c r="A1984" s="1">
        <v>46574</v>
      </c>
      <c r="B1984" t="s">
        <v>58</v>
      </c>
      <c r="C1984" t="s">
        <v>59</v>
      </c>
      <c r="D1984" t="s">
        <v>60</v>
      </c>
      <c r="E1984">
        <v>140</v>
      </c>
      <c r="F1984">
        <v>5</v>
      </c>
      <c r="G1984">
        <f t="shared" si="90"/>
        <v>700</v>
      </c>
      <c r="H1984">
        <v>3</v>
      </c>
      <c r="I1984">
        <f t="shared" si="91"/>
        <v>420</v>
      </c>
      <c r="J1984">
        <f t="shared" si="92"/>
        <v>280</v>
      </c>
      <c r="K1984" t="s">
        <v>42</v>
      </c>
      <c r="L1984" t="s">
        <v>63</v>
      </c>
      <c r="M1984" t="s">
        <v>37</v>
      </c>
      <c r="N1984" t="s">
        <v>43</v>
      </c>
      <c r="O1984">
        <v>546</v>
      </c>
      <c r="P1984">
        <v>140</v>
      </c>
      <c r="Q1984" t="s">
        <v>83</v>
      </c>
      <c r="R1984" t="s">
        <v>84</v>
      </c>
      <c r="S1984" t="s">
        <v>85</v>
      </c>
      <c r="T1984">
        <v>2021</v>
      </c>
      <c r="U1984" t="s">
        <v>109</v>
      </c>
    </row>
    <row r="1985" spans="1:21" x14ac:dyDescent="0.35">
      <c r="A1985" s="1">
        <v>46575</v>
      </c>
      <c r="B1985" t="s">
        <v>80</v>
      </c>
      <c r="C1985" t="s">
        <v>81</v>
      </c>
      <c r="D1985" t="s">
        <v>82</v>
      </c>
      <c r="E1985">
        <v>498</v>
      </c>
      <c r="F1985">
        <v>2.5</v>
      </c>
      <c r="G1985">
        <f t="shared" si="90"/>
        <v>1245</v>
      </c>
      <c r="H1985">
        <v>1.5</v>
      </c>
      <c r="I1985">
        <f t="shared" si="91"/>
        <v>747</v>
      </c>
      <c r="J1985">
        <f t="shared" si="92"/>
        <v>498</v>
      </c>
      <c r="K1985" t="s">
        <v>24</v>
      </c>
      <c r="L1985" t="s">
        <v>63</v>
      </c>
      <c r="M1985" t="s">
        <v>37</v>
      </c>
      <c r="N1985" t="s">
        <v>27</v>
      </c>
      <c r="O1985">
        <v>518</v>
      </c>
      <c r="P1985">
        <v>498</v>
      </c>
      <c r="Q1985" t="s">
        <v>51</v>
      </c>
      <c r="R1985" t="s">
        <v>45</v>
      </c>
      <c r="S1985" t="s">
        <v>52</v>
      </c>
      <c r="T1985">
        <v>2021</v>
      </c>
      <c r="U1985" t="s">
        <v>47</v>
      </c>
    </row>
    <row r="1986" spans="1:21" x14ac:dyDescent="0.35">
      <c r="A1986" s="1">
        <v>46576</v>
      </c>
      <c r="B1986" t="s">
        <v>21</v>
      </c>
      <c r="C1986" t="s">
        <v>22</v>
      </c>
      <c r="D1986" t="s">
        <v>23</v>
      </c>
      <c r="E1986">
        <v>105</v>
      </c>
      <c r="F1986">
        <v>8</v>
      </c>
      <c r="G1986">
        <f t="shared" si="90"/>
        <v>840</v>
      </c>
      <c r="H1986">
        <v>5</v>
      </c>
      <c r="I1986">
        <f t="shared" si="91"/>
        <v>525</v>
      </c>
      <c r="J1986">
        <f t="shared" si="92"/>
        <v>315</v>
      </c>
      <c r="K1986" t="s">
        <v>42</v>
      </c>
      <c r="L1986" t="s">
        <v>36</v>
      </c>
      <c r="M1986" t="s">
        <v>61</v>
      </c>
      <c r="N1986" t="s">
        <v>43</v>
      </c>
      <c r="O1986">
        <v>519</v>
      </c>
      <c r="P1986">
        <v>105</v>
      </c>
      <c r="Q1986" t="s">
        <v>70</v>
      </c>
      <c r="R1986" t="s">
        <v>71</v>
      </c>
      <c r="S1986" t="s">
        <v>72</v>
      </c>
      <c r="T1986">
        <v>2024</v>
      </c>
      <c r="U1986" t="s">
        <v>109</v>
      </c>
    </row>
    <row r="1987" spans="1:21" x14ac:dyDescent="0.35">
      <c r="A1987" s="1">
        <v>46577</v>
      </c>
      <c r="B1987" t="s">
        <v>32</v>
      </c>
      <c r="C1987" t="s">
        <v>33</v>
      </c>
      <c r="D1987" t="s">
        <v>34</v>
      </c>
      <c r="E1987">
        <v>203</v>
      </c>
      <c r="F1987">
        <v>20</v>
      </c>
      <c r="G1987">
        <f t="shared" ref="G1987:G2050" si="93">E1987*F1987</f>
        <v>4060</v>
      </c>
      <c r="H1987">
        <v>12</v>
      </c>
      <c r="I1987">
        <f t="shared" ref="I1987:I2050" si="94">E1987*H1987</f>
        <v>2436</v>
      </c>
      <c r="J1987">
        <f t="shared" ref="J1987:J2050" si="95">G1987-I1987</f>
        <v>1624</v>
      </c>
      <c r="K1987" t="s">
        <v>35</v>
      </c>
      <c r="L1987" t="s">
        <v>73</v>
      </c>
      <c r="M1987" t="s">
        <v>61</v>
      </c>
      <c r="N1987" t="s">
        <v>43</v>
      </c>
      <c r="O1987">
        <v>510</v>
      </c>
      <c r="P1987">
        <v>203</v>
      </c>
      <c r="Q1987" t="s">
        <v>110</v>
      </c>
      <c r="R1987" t="s">
        <v>111</v>
      </c>
      <c r="S1987" t="s">
        <v>112</v>
      </c>
      <c r="T1987">
        <v>2023</v>
      </c>
      <c r="U1987" t="s">
        <v>97</v>
      </c>
    </row>
    <row r="1988" spans="1:21" x14ac:dyDescent="0.35">
      <c r="A1988" s="1">
        <v>46578</v>
      </c>
      <c r="B1988" t="s">
        <v>48</v>
      </c>
      <c r="C1988" t="s">
        <v>49</v>
      </c>
      <c r="D1988" t="s">
        <v>50</v>
      </c>
      <c r="E1988">
        <v>136</v>
      </c>
      <c r="F1988">
        <v>150</v>
      </c>
      <c r="G1988">
        <f t="shared" si="93"/>
        <v>20400</v>
      </c>
      <c r="H1988">
        <v>100</v>
      </c>
      <c r="I1988">
        <f t="shared" si="94"/>
        <v>13600</v>
      </c>
      <c r="J1988">
        <f t="shared" si="95"/>
        <v>6800</v>
      </c>
      <c r="K1988" t="s">
        <v>35</v>
      </c>
      <c r="L1988" t="s">
        <v>63</v>
      </c>
      <c r="M1988" t="s">
        <v>61</v>
      </c>
      <c r="N1988" t="s">
        <v>43</v>
      </c>
      <c r="O1988">
        <v>535</v>
      </c>
      <c r="P1988">
        <v>136</v>
      </c>
      <c r="Q1988" t="s">
        <v>106</v>
      </c>
      <c r="R1988" t="s">
        <v>107</v>
      </c>
      <c r="S1988" t="s">
        <v>108</v>
      </c>
      <c r="T1988">
        <v>2020</v>
      </c>
      <c r="U1988" t="s">
        <v>109</v>
      </c>
    </row>
    <row r="1989" spans="1:21" x14ac:dyDescent="0.35">
      <c r="A1989" s="1">
        <v>46579</v>
      </c>
      <c r="B1989" t="s">
        <v>48</v>
      </c>
      <c r="C1989" t="s">
        <v>49</v>
      </c>
      <c r="D1989" t="s">
        <v>50</v>
      </c>
      <c r="E1989">
        <v>225</v>
      </c>
      <c r="F1989">
        <v>150</v>
      </c>
      <c r="G1989">
        <f t="shared" si="93"/>
        <v>33750</v>
      </c>
      <c r="H1989">
        <v>100</v>
      </c>
      <c r="I1989">
        <f t="shared" si="94"/>
        <v>22500</v>
      </c>
      <c r="J1989">
        <f t="shared" si="95"/>
        <v>11250</v>
      </c>
      <c r="K1989" t="s">
        <v>24</v>
      </c>
      <c r="L1989" t="s">
        <v>25</v>
      </c>
      <c r="M1989" t="s">
        <v>61</v>
      </c>
      <c r="N1989" t="s">
        <v>27</v>
      </c>
      <c r="O1989">
        <v>566</v>
      </c>
      <c r="P1989">
        <v>225</v>
      </c>
      <c r="Q1989" t="s">
        <v>94</v>
      </c>
      <c r="R1989" t="s">
        <v>75</v>
      </c>
      <c r="S1989" t="s">
        <v>95</v>
      </c>
      <c r="T1989">
        <v>2024</v>
      </c>
      <c r="U1989" t="s">
        <v>86</v>
      </c>
    </row>
    <row r="1990" spans="1:21" x14ac:dyDescent="0.35">
      <c r="A1990" s="1">
        <v>46580</v>
      </c>
      <c r="B1990" t="s">
        <v>32</v>
      </c>
      <c r="C1990" t="s">
        <v>33</v>
      </c>
      <c r="D1990" t="s">
        <v>34</v>
      </c>
      <c r="E1990">
        <v>492</v>
      </c>
      <c r="F1990">
        <v>20</v>
      </c>
      <c r="G1990">
        <f t="shared" si="93"/>
        <v>9840</v>
      </c>
      <c r="H1990">
        <v>12</v>
      </c>
      <c r="I1990">
        <f t="shared" si="94"/>
        <v>5904</v>
      </c>
      <c r="J1990">
        <f t="shared" si="95"/>
        <v>3936</v>
      </c>
      <c r="K1990" t="s">
        <v>42</v>
      </c>
      <c r="L1990" t="s">
        <v>36</v>
      </c>
      <c r="M1990" t="s">
        <v>61</v>
      </c>
      <c r="N1990" t="s">
        <v>27</v>
      </c>
      <c r="O1990">
        <v>917</v>
      </c>
      <c r="P1990">
        <v>492</v>
      </c>
      <c r="Q1990" t="s">
        <v>44</v>
      </c>
      <c r="R1990" t="s">
        <v>45</v>
      </c>
      <c r="S1990" t="s">
        <v>46</v>
      </c>
      <c r="T1990">
        <v>2022</v>
      </c>
      <c r="U1990" t="s">
        <v>105</v>
      </c>
    </row>
    <row r="1991" spans="1:21" x14ac:dyDescent="0.35">
      <c r="A1991" s="1">
        <v>46581</v>
      </c>
      <c r="B1991" t="s">
        <v>80</v>
      </c>
      <c r="C1991" t="s">
        <v>81</v>
      </c>
      <c r="D1991" t="s">
        <v>82</v>
      </c>
      <c r="E1991">
        <v>377</v>
      </c>
      <c r="F1991">
        <v>2.5</v>
      </c>
      <c r="G1991">
        <f t="shared" si="93"/>
        <v>942.5</v>
      </c>
      <c r="H1991">
        <v>1.5</v>
      </c>
      <c r="I1991">
        <f t="shared" si="94"/>
        <v>565.5</v>
      </c>
      <c r="J1991">
        <f t="shared" si="95"/>
        <v>377</v>
      </c>
      <c r="K1991" t="s">
        <v>24</v>
      </c>
      <c r="L1991" t="s">
        <v>36</v>
      </c>
      <c r="M1991" t="s">
        <v>37</v>
      </c>
      <c r="N1991" t="s">
        <v>43</v>
      </c>
      <c r="O1991">
        <v>998</v>
      </c>
      <c r="P1991">
        <v>377</v>
      </c>
      <c r="Q1991" t="s">
        <v>87</v>
      </c>
      <c r="R1991" t="s">
        <v>88</v>
      </c>
      <c r="S1991" t="s">
        <v>89</v>
      </c>
      <c r="T1991">
        <v>2021</v>
      </c>
      <c r="U1991" t="s">
        <v>105</v>
      </c>
    </row>
    <row r="1992" spans="1:21" x14ac:dyDescent="0.35">
      <c r="A1992" s="1">
        <v>46582</v>
      </c>
      <c r="B1992" t="s">
        <v>98</v>
      </c>
      <c r="C1992" t="s">
        <v>99</v>
      </c>
      <c r="D1992" t="s">
        <v>100</v>
      </c>
      <c r="E1992">
        <v>455</v>
      </c>
      <c r="F1992">
        <v>6</v>
      </c>
      <c r="G1992">
        <f t="shared" si="93"/>
        <v>2730</v>
      </c>
      <c r="H1992">
        <v>4</v>
      </c>
      <c r="I1992">
        <f t="shared" si="94"/>
        <v>1820</v>
      </c>
      <c r="J1992">
        <f t="shared" si="95"/>
        <v>910</v>
      </c>
      <c r="K1992" t="s">
        <v>35</v>
      </c>
      <c r="L1992" t="s">
        <v>63</v>
      </c>
      <c r="M1992" t="s">
        <v>37</v>
      </c>
      <c r="N1992" t="s">
        <v>43</v>
      </c>
      <c r="O1992">
        <v>892</v>
      </c>
      <c r="P1992">
        <v>455</v>
      </c>
      <c r="Q1992" t="s">
        <v>113</v>
      </c>
      <c r="R1992" t="s">
        <v>114</v>
      </c>
      <c r="S1992" t="s">
        <v>115</v>
      </c>
      <c r="T1992">
        <v>2021</v>
      </c>
      <c r="U1992" t="s">
        <v>86</v>
      </c>
    </row>
    <row r="1993" spans="1:21" x14ac:dyDescent="0.35">
      <c r="A1993" s="1">
        <v>46583</v>
      </c>
      <c r="B1993" t="s">
        <v>98</v>
      </c>
      <c r="C1993" t="s">
        <v>99</v>
      </c>
      <c r="D1993" t="s">
        <v>100</v>
      </c>
      <c r="E1993">
        <v>190</v>
      </c>
      <c r="F1993">
        <v>6</v>
      </c>
      <c r="G1993">
        <f t="shared" si="93"/>
        <v>1140</v>
      </c>
      <c r="H1993">
        <v>4</v>
      </c>
      <c r="I1993">
        <f t="shared" si="94"/>
        <v>760</v>
      </c>
      <c r="J1993">
        <f t="shared" si="95"/>
        <v>380</v>
      </c>
      <c r="K1993" t="s">
        <v>35</v>
      </c>
      <c r="L1993" t="s">
        <v>36</v>
      </c>
      <c r="M1993" t="s">
        <v>61</v>
      </c>
      <c r="N1993" t="s">
        <v>43</v>
      </c>
      <c r="O1993">
        <v>822</v>
      </c>
      <c r="P1993">
        <v>190</v>
      </c>
      <c r="Q1993" t="s">
        <v>67</v>
      </c>
      <c r="R1993" t="s">
        <v>68</v>
      </c>
      <c r="S1993" t="s">
        <v>69</v>
      </c>
      <c r="T1993">
        <v>2021</v>
      </c>
      <c r="U1993" t="s">
        <v>57</v>
      </c>
    </row>
    <row r="1994" spans="1:21" x14ac:dyDescent="0.35">
      <c r="A1994" s="1">
        <v>46584</v>
      </c>
      <c r="B1994" t="s">
        <v>98</v>
      </c>
      <c r="C1994" t="s">
        <v>99</v>
      </c>
      <c r="D1994" t="s">
        <v>100</v>
      </c>
      <c r="E1994">
        <v>157</v>
      </c>
      <c r="F1994">
        <v>6</v>
      </c>
      <c r="G1994">
        <f t="shared" si="93"/>
        <v>942</v>
      </c>
      <c r="H1994">
        <v>4</v>
      </c>
      <c r="I1994">
        <f t="shared" si="94"/>
        <v>628</v>
      </c>
      <c r="J1994">
        <f t="shared" si="95"/>
        <v>314</v>
      </c>
      <c r="K1994" t="s">
        <v>24</v>
      </c>
      <c r="L1994" t="s">
        <v>25</v>
      </c>
      <c r="M1994" t="s">
        <v>37</v>
      </c>
      <c r="N1994" t="s">
        <v>38</v>
      </c>
      <c r="O1994">
        <v>972</v>
      </c>
      <c r="P1994">
        <v>157</v>
      </c>
      <c r="Q1994" t="s">
        <v>83</v>
      </c>
      <c r="R1994" t="s">
        <v>84</v>
      </c>
      <c r="S1994" t="s">
        <v>85</v>
      </c>
      <c r="T1994">
        <v>2022</v>
      </c>
      <c r="U1994" t="s">
        <v>47</v>
      </c>
    </row>
    <row r="1995" spans="1:21" x14ac:dyDescent="0.35">
      <c r="A1995" s="1">
        <v>46585</v>
      </c>
      <c r="B1995" t="s">
        <v>48</v>
      </c>
      <c r="C1995" t="s">
        <v>49</v>
      </c>
      <c r="D1995" t="s">
        <v>50</v>
      </c>
      <c r="E1995">
        <v>206</v>
      </c>
      <c r="F1995">
        <v>150</v>
      </c>
      <c r="G1995">
        <f t="shared" si="93"/>
        <v>30900</v>
      </c>
      <c r="H1995">
        <v>100</v>
      </c>
      <c r="I1995">
        <f t="shared" si="94"/>
        <v>20600</v>
      </c>
      <c r="J1995">
        <f t="shared" si="95"/>
        <v>10300</v>
      </c>
      <c r="K1995" t="s">
        <v>24</v>
      </c>
      <c r="L1995" t="s">
        <v>73</v>
      </c>
      <c r="M1995" t="s">
        <v>61</v>
      </c>
      <c r="N1995" t="s">
        <v>38</v>
      </c>
      <c r="O1995">
        <v>686</v>
      </c>
      <c r="P1995">
        <v>206</v>
      </c>
      <c r="Q1995" t="s">
        <v>106</v>
      </c>
      <c r="R1995" t="s">
        <v>107</v>
      </c>
      <c r="S1995" t="s">
        <v>108</v>
      </c>
      <c r="T1995">
        <v>2021</v>
      </c>
      <c r="U1995" t="s">
        <v>105</v>
      </c>
    </row>
    <row r="1996" spans="1:21" x14ac:dyDescent="0.35">
      <c r="A1996" s="1">
        <v>46586</v>
      </c>
      <c r="B1996" t="s">
        <v>58</v>
      </c>
      <c r="C1996" t="s">
        <v>59</v>
      </c>
      <c r="D1996" t="s">
        <v>60</v>
      </c>
      <c r="E1996">
        <v>170</v>
      </c>
      <c r="F1996">
        <v>5</v>
      </c>
      <c r="G1996">
        <f t="shared" si="93"/>
        <v>850</v>
      </c>
      <c r="H1996">
        <v>3</v>
      </c>
      <c r="I1996">
        <f t="shared" si="94"/>
        <v>510</v>
      </c>
      <c r="J1996">
        <f t="shared" si="95"/>
        <v>340</v>
      </c>
      <c r="K1996" t="s">
        <v>35</v>
      </c>
      <c r="L1996" t="s">
        <v>25</v>
      </c>
      <c r="M1996" t="s">
        <v>26</v>
      </c>
      <c r="N1996" t="s">
        <v>27</v>
      </c>
      <c r="O1996">
        <v>942</v>
      </c>
      <c r="P1996">
        <v>170</v>
      </c>
      <c r="Q1996" t="s">
        <v>101</v>
      </c>
      <c r="R1996" t="s">
        <v>101</v>
      </c>
      <c r="S1996" t="s">
        <v>102</v>
      </c>
      <c r="T1996">
        <v>2023</v>
      </c>
      <c r="U1996" t="s">
        <v>53</v>
      </c>
    </row>
    <row r="1997" spans="1:21" x14ac:dyDescent="0.35">
      <c r="A1997" s="1">
        <v>46587</v>
      </c>
      <c r="B1997" t="s">
        <v>98</v>
      </c>
      <c r="C1997" t="s">
        <v>99</v>
      </c>
      <c r="D1997" t="s">
        <v>100</v>
      </c>
      <c r="E1997">
        <v>318</v>
      </c>
      <c r="F1997">
        <v>6</v>
      </c>
      <c r="G1997">
        <f t="shared" si="93"/>
        <v>1908</v>
      </c>
      <c r="H1997">
        <v>4</v>
      </c>
      <c r="I1997">
        <f t="shared" si="94"/>
        <v>1272</v>
      </c>
      <c r="J1997">
        <f t="shared" si="95"/>
        <v>636</v>
      </c>
      <c r="K1997" t="s">
        <v>42</v>
      </c>
      <c r="L1997" t="s">
        <v>25</v>
      </c>
      <c r="M1997" t="s">
        <v>26</v>
      </c>
      <c r="N1997" t="s">
        <v>27</v>
      </c>
      <c r="O1997">
        <v>911</v>
      </c>
      <c r="P1997">
        <v>318</v>
      </c>
      <c r="Q1997" t="s">
        <v>74</v>
      </c>
      <c r="R1997" t="s">
        <v>75</v>
      </c>
      <c r="S1997" t="s">
        <v>76</v>
      </c>
      <c r="T1997">
        <v>2024</v>
      </c>
      <c r="U1997" t="s">
        <v>62</v>
      </c>
    </row>
    <row r="1998" spans="1:21" x14ac:dyDescent="0.35">
      <c r="A1998" s="1">
        <v>46588</v>
      </c>
      <c r="B1998" t="s">
        <v>80</v>
      </c>
      <c r="C1998" t="s">
        <v>81</v>
      </c>
      <c r="D1998" t="s">
        <v>82</v>
      </c>
      <c r="E1998">
        <v>99</v>
      </c>
      <c r="F1998">
        <v>2.5</v>
      </c>
      <c r="G1998">
        <f t="shared" si="93"/>
        <v>247.5</v>
      </c>
      <c r="H1998">
        <v>1.5</v>
      </c>
      <c r="I1998">
        <f t="shared" si="94"/>
        <v>148.5</v>
      </c>
      <c r="J1998">
        <f t="shared" si="95"/>
        <v>99</v>
      </c>
      <c r="K1998" t="s">
        <v>42</v>
      </c>
      <c r="L1998" t="s">
        <v>25</v>
      </c>
      <c r="M1998" t="s">
        <v>26</v>
      </c>
      <c r="N1998" t="s">
        <v>27</v>
      </c>
      <c r="O1998">
        <v>848</v>
      </c>
      <c r="P1998">
        <v>99</v>
      </c>
      <c r="Q1998" t="s">
        <v>94</v>
      </c>
      <c r="R1998" t="s">
        <v>75</v>
      </c>
      <c r="S1998" t="s">
        <v>95</v>
      </c>
      <c r="T1998">
        <v>2021</v>
      </c>
      <c r="U1998" t="s">
        <v>97</v>
      </c>
    </row>
    <row r="1999" spans="1:21" x14ac:dyDescent="0.35">
      <c r="A1999" s="1">
        <v>46589</v>
      </c>
      <c r="B1999" t="s">
        <v>98</v>
      </c>
      <c r="C1999" t="s">
        <v>99</v>
      </c>
      <c r="D1999" t="s">
        <v>100</v>
      </c>
      <c r="E1999">
        <v>426</v>
      </c>
      <c r="F1999">
        <v>6</v>
      </c>
      <c r="G1999">
        <f t="shared" si="93"/>
        <v>2556</v>
      </c>
      <c r="H1999">
        <v>4</v>
      </c>
      <c r="I1999">
        <f t="shared" si="94"/>
        <v>1704</v>
      </c>
      <c r="J1999">
        <f t="shared" si="95"/>
        <v>852</v>
      </c>
      <c r="K1999" t="s">
        <v>42</v>
      </c>
      <c r="L1999" t="s">
        <v>25</v>
      </c>
      <c r="M1999" t="s">
        <v>37</v>
      </c>
      <c r="N1999" t="s">
        <v>43</v>
      </c>
      <c r="O1999">
        <v>915</v>
      </c>
      <c r="P1999">
        <v>426</v>
      </c>
      <c r="Q1999" t="s">
        <v>103</v>
      </c>
      <c r="R1999" t="s">
        <v>68</v>
      </c>
      <c r="S1999" t="s">
        <v>104</v>
      </c>
      <c r="T1999">
        <v>2020</v>
      </c>
      <c r="U1999" t="s">
        <v>53</v>
      </c>
    </row>
    <row r="2000" spans="1:21" x14ac:dyDescent="0.35">
      <c r="A2000" s="1">
        <v>46590</v>
      </c>
      <c r="B2000" t="s">
        <v>98</v>
      </c>
      <c r="C2000" t="s">
        <v>99</v>
      </c>
      <c r="D2000" t="s">
        <v>100</v>
      </c>
      <c r="E2000">
        <v>220</v>
      </c>
      <c r="F2000">
        <v>6</v>
      </c>
      <c r="G2000">
        <f t="shared" si="93"/>
        <v>1320</v>
      </c>
      <c r="H2000">
        <v>4</v>
      </c>
      <c r="I2000">
        <f t="shared" si="94"/>
        <v>880</v>
      </c>
      <c r="J2000">
        <f t="shared" si="95"/>
        <v>440</v>
      </c>
      <c r="K2000" t="s">
        <v>24</v>
      </c>
      <c r="L2000" t="s">
        <v>73</v>
      </c>
      <c r="M2000" t="s">
        <v>61</v>
      </c>
      <c r="N2000" t="s">
        <v>27</v>
      </c>
      <c r="O2000">
        <v>731</v>
      </c>
      <c r="P2000">
        <v>220</v>
      </c>
      <c r="Q2000" t="s">
        <v>103</v>
      </c>
      <c r="R2000" t="s">
        <v>68</v>
      </c>
      <c r="S2000" t="s">
        <v>104</v>
      </c>
      <c r="T2000">
        <v>2024</v>
      </c>
      <c r="U2000" t="s">
        <v>97</v>
      </c>
    </row>
    <row r="2001" spans="1:21" x14ac:dyDescent="0.35">
      <c r="A2001" s="1">
        <v>46591</v>
      </c>
      <c r="B2001" t="s">
        <v>98</v>
      </c>
      <c r="C2001" t="s">
        <v>99</v>
      </c>
      <c r="D2001" t="s">
        <v>100</v>
      </c>
      <c r="E2001">
        <v>439</v>
      </c>
      <c r="F2001">
        <v>6</v>
      </c>
      <c r="G2001">
        <f t="shared" si="93"/>
        <v>2634</v>
      </c>
      <c r="H2001">
        <v>4</v>
      </c>
      <c r="I2001">
        <f t="shared" si="94"/>
        <v>1756</v>
      </c>
      <c r="J2001">
        <f t="shared" si="95"/>
        <v>878</v>
      </c>
      <c r="K2001" t="s">
        <v>42</v>
      </c>
      <c r="L2001" t="s">
        <v>73</v>
      </c>
      <c r="M2001" t="s">
        <v>26</v>
      </c>
      <c r="N2001" t="s">
        <v>27</v>
      </c>
      <c r="O2001">
        <v>829</v>
      </c>
      <c r="P2001">
        <v>439</v>
      </c>
      <c r="Q2001" t="s">
        <v>94</v>
      </c>
      <c r="R2001" t="s">
        <v>75</v>
      </c>
      <c r="S2001" t="s">
        <v>95</v>
      </c>
      <c r="T2001">
        <v>2020</v>
      </c>
      <c r="U2001" t="s">
        <v>66</v>
      </c>
    </row>
    <row r="2002" spans="1:21" x14ac:dyDescent="0.35">
      <c r="A2002" s="1">
        <v>46592</v>
      </c>
      <c r="B2002" t="s">
        <v>98</v>
      </c>
      <c r="C2002" t="s">
        <v>99</v>
      </c>
      <c r="D2002" t="s">
        <v>100</v>
      </c>
      <c r="E2002">
        <v>500</v>
      </c>
      <c r="F2002">
        <v>6</v>
      </c>
      <c r="G2002">
        <f t="shared" si="93"/>
        <v>3000</v>
      </c>
      <c r="H2002">
        <v>4</v>
      </c>
      <c r="I2002">
        <f t="shared" si="94"/>
        <v>2000</v>
      </c>
      <c r="J2002">
        <f t="shared" si="95"/>
        <v>1000</v>
      </c>
      <c r="K2002" t="s">
        <v>35</v>
      </c>
      <c r="L2002" t="s">
        <v>25</v>
      </c>
      <c r="M2002" t="s">
        <v>26</v>
      </c>
      <c r="N2002" t="s">
        <v>43</v>
      </c>
      <c r="O2002">
        <v>998</v>
      </c>
      <c r="P2002">
        <v>500</v>
      </c>
      <c r="Q2002" t="s">
        <v>90</v>
      </c>
      <c r="R2002" t="s">
        <v>55</v>
      </c>
      <c r="S2002" t="s">
        <v>85</v>
      </c>
      <c r="T2002">
        <v>2023</v>
      </c>
      <c r="U2002" t="s">
        <v>86</v>
      </c>
    </row>
    <row r="2003" spans="1:21" x14ac:dyDescent="0.35">
      <c r="A2003" s="1">
        <v>46593</v>
      </c>
      <c r="B2003" t="s">
        <v>58</v>
      </c>
      <c r="C2003" t="s">
        <v>59</v>
      </c>
      <c r="D2003" t="s">
        <v>60</v>
      </c>
      <c r="E2003">
        <v>27</v>
      </c>
      <c r="F2003">
        <v>5</v>
      </c>
      <c r="G2003">
        <f t="shared" si="93"/>
        <v>135</v>
      </c>
      <c r="H2003">
        <v>3</v>
      </c>
      <c r="I2003">
        <f t="shared" si="94"/>
        <v>81</v>
      </c>
      <c r="J2003">
        <f t="shared" si="95"/>
        <v>54</v>
      </c>
      <c r="K2003" t="s">
        <v>35</v>
      </c>
      <c r="L2003" t="s">
        <v>63</v>
      </c>
      <c r="M2003" t="s">
        <v>37</v>
      </c>
      <c r="N2003" t="s">
        <v>43</v>
      </c>
      <c r="O2003">
        <v>549</v>
      </c>
      <c r="P2003">
        <v>27</v>
      </c>
      <c r="Q2003" t="s">
        <v>70</v>
      </c>
      <c r="R2003" t="s">
        <v>71</v>
      </c>
      <c r="S2003" t="s">
        <v>72</v>
      </c>
      <c r="T2003">
        <v>2024</v>
      </c>
      <c r="U2003" t="s">
        <v>31</v>
      </c>
    </row>
    <row r="2004" spans="1:21" x14ac:dyDescent="0.35">
      <c r="A2004" s="1">
        <v>46594</v>
      </c>
      <c r="B2004" t="s">
        <v>48</v>
      </c>
      <c r="C2004" t="s">
        <v>49</v>
      </c>
      <c r="D2004" t="s">
        <v>50</v>
      </c>
      <c r="E2004">
        <v>435</v>
      </c>
      <c r="F2004">
        <v>150</v>
      </c>
      <c r="G2004">
        <f t="shared" si="93"/>
        <v>65250</v>
      </c>
      <c r="H2004">
        <v>100</v>
      </c>
      <c r="I2004">
        <f t="shared" si="94"/>
        <v>43500</v>
      </c>
      <c r="J2004">
        <f t="shared" si="95"/>
        <v>21750</v>
      </c>
      <c r="K2004" t="s">
        <v>24</v>
      </c>
      <c r="L2004" t="s">
        <v>25</v>
      </c>
      <c r="M2004" t="s">
        <v>61</v>
      </c>
      <c r="N2004" t="s">
        <v>27</v>
      </c>
      <c r="O2004">
        <v>946</v>
      </c>
      <c r="P2004">
        <v>435</v>
      </c>
      <c r="Q2004" t="s">
        <v>70</v>
      </c>
      <c r="R2004" t="s">
        <v>71</v>
      </c>
      <c r="S2004" t="s">
        <v>72</v>
      </c>
      <c r="T2004">
        <v>2023</v>
      </c>
      <c r="U2004" t="s">
        <v>31</v>
      </c>
    </row>
    <row r="2005" spans="1:21" x14ac:dyDescent="0.35">
      <c r="A2005" s="1">
        <v>46595</v>
      </c>
      <c r="B2005" t="s">
        <v>48</v>
      </c>
      <c r="C2005" t="s">
        <v>49</v>
      </c>
      <c r="D2005" t="s">
        <v>50</v>
      </c>
      <c r="E2005">
        <v>282</v>
      </c>
      <c r="F2005">
        <v>150</v>
      </c>
      <c r="G2005">
        <f t="shared" si="93"/>
        <v>42300</v>
      </c>
      <c r="H2005">
        <v>100</v>
      </c>
      <c r="I2005">
        <f t="shared" si="94"/>
        <v>28200</v>
      </c>
      <c r="J2005">
        <f t="shared" si="95"/>
        <v>14100</v>
      </c>
      <c r="K2005" t="s">
        <v>35</v>
      </c>
      <c r="L2005" t="s">
        <v>63</v>
      </c>
      <c r="M2005" t="s">
        <v>61</v>
      </c>
      <c r="N2005" t="s">
        <v>27</v>
      </c>
      <c r="O2005">
        <v>711</v>
      </c>
      <c r="P2005">
        <v>282</v>
      </c>
      <c r="Q2005" t="s">
        <v>110</v>
      </c>
      <c r="R2005" t="s">
        <v>111</v>
      </c>
      <c r="S2005" t="s">
        <v>112</v>
      </c>
      <c r="T2005">
        <v>2024</v>
      </c>
      <c r="U2005" t="s">
        <v>47</v>
      </c>
    </row>
    <row r="2006" spans="1:21" x14ac:dyDescent="0.35">
      <c r="A2006" s="1">
        <v>46596</v>
      </c>
      <c r="B2006" t="s">
        <v>80</v>
      </c>
      <c r="C2006" t="s">
        <v>81</v>
      </c>
      <c r="D2006" t="s">
        <v>82</v>
      </c>
      <c r="E2006">
        <v>207</v>
      </c>
      <c r="F2006">
        <v>2.5</v>
      </c>
      <c r="G2006">
        <f t="shared" si="93"/>
        <v>517.5</v>
      </c>
      <c r="H2006">
        <v>1.5</v>
      </c>
      <c r="I2006">
        <f t="shared" si="94"/>
        <v>310.5</v>
      </c>
      <c r="J2006">
        <f t="shared" si="95"/>
        <v>207</v>
      </c>
      <c r="K2006" t="s">
        <v>24</v>
      </c>
      <c r="L2006" t="s">
        <v>73</v>
      </c>
      <c r="M2006" t="s">
        <v>61</v>
      </c>
      <c r="N2006" t="s">
        <v>38</v>
      </c>
      <c r="O2006">
        <v>586</v>
      </c>
      <c r="P2006">
        <v>207</v>
      </c>
      <c r="Q2006" t="s">
        <v>90</v>
      </c>
      <c r="R2006" t="s">
        <v>55</v>
      </c>
      <c r="S2006" t="s">
        <v>85</v>
      </c>
      <c r="T2006">
        <v>2021</v>
      </c>
      <c r="U2006" t="s">
        <v>97</v>
      </c>
    </row>
    <row r="2007" spans="1:21" x14ac:dyDescent="0.35">
      <c r="A2007" s="1">
        <v>46597</v>
      </c>
      <c r="B2007" t="s">
        <v>80</v>
      </c>
      <c r="C2007" t="s">
        <v>81</v>
      </c>
      <c r="D2007" t="s">
        <v>82</v>
      </c>
      <c r="E2007">
        <v>82</v>
      </c>
      <c r="F2007">
        <v>2.5</v>
      </c>
      <c r="G2007">
        <f t="shared" si="93"/>
        <v>205</v>
      </c>
      <c r="H2007">
        <v>1.5</v>
      </c>
      <c r="I2007">
        <f t="shared" si="94"/>
        <v>123</v>
      </c>
      <c r="J2007">
        <f t="shared" si="95"/>
        <v>82</v>
      </c>
      <c r="K2007" t="s">
        <v>35</v>
      </c>
      <c r="L2007" t="s">
        <v>36</v>
      </c>
      <c r="M2007" t="s">
        <v>61</v>
      </c>
      <c r="N2007" t="s">
        <v>43</v>
      </c>
      <c r="O2007">
        <v>580</v>
      </c>
      <c r="P2007">
        <v>82</v>
      </c>
      <c r="Q2007" t="s">
        <v>39</v>
      </c>
      <c r="R2007" t="s">
        <v>40</v>
      </c>
      <c r="S2007" t="s">
        <v>41</v>
      </c>
      <c r="T2007">
        <v>2023</v>
      </c>
      <c r="U2007" t="s">
        <v>96</v>
      </c>
    </row>
    <row r="2008" spans="1:21" x14ac:dyDescent="0.35">
      <c r="A2008" s="1">
        <v>46598</v>
      </c>
      <c r="B2008" t="s">
        <v>32</v>
      </c>
      <c r="C2008" t="s">
        <v>33</v>
      </c>
      <c r="D2008" t="s">
        <v>34</v>
      </c>
      <c r="E2008">
        <v>264</v>
      </c>
      <c r="F2008">
        <v>20</v>
      </c>
      <c r="G2008">
        <f t="shared" si="93"/>
        <v>5280</v>
      </c>
      <c r="H2008">
        <v>12</v>
      </c>
      <c r="I2008">
        <f t="shared" si="94"/>
        <v>3168</v>
      </c>
      <c r="J2008">
        <f t="shared" si="95"/>
        <v>2112</v>
      </c>
      <c r="K2008" t="s">
        <v>42</v>
      </c>
      <c r="L2008" t="s">
        <v>63</v>
      </c>
      <c r="M2008" t="s">
        <v>37</v>
      </c>
      <c r="N2008" t="s">
        <v>38</v>
      </c>
      <c r="O2008">
        <v>695</v>
      </c>
      <c r="P2008">
        <v>264</v>
      </c>
      <c r="Q2008" t="s">
        <v>54</v>
      </c>
      <c r="R2008" t="s">
        <v>55</v>
      </c>
      <c r="S2008" t="s">
        <v>56</v>
      </c>
      <c r="T2008">
        <v>2022</v>
      </c>
      <c r="U2008" t="s">
        <v>91</v>
      </c>
    </row>
    <row r="2009" spans="1:21" x14ac:dyDescent="0.35">
      <c r="A2009" s="1">
        <v>46599</v>
      </c>
      <c r="B2009" t="s">
        <v>98</v>
      </c>
      <c r="C2009" t="s">
        <v>99</v>
      </c>
      <c r="D2009" t="s">
        <v>100</v>
      </c>
      <c r="E2009">
        <v>413</v>
      </c>
      <c r="F2009">
        <v>6</v>
      </c>
      <c r="G2009">
        <f t="shared" si="93"/>
        <v>2478</v>
      </c>
      <c r="H2009">
        <v>4</v>
      </c>
      <c r="I2009">
        <f t="shared" si="94"/>
        <v>1652</v>
      </c>
      <c r="J2009">
        <f t="shared" si="95"/>
        <v>826</v>
      </c>
      <c r="K2009" t="s">
        <v>35</v>
      </c>
      <c r="L2009" t="s">
        <v>63</v>
      </c>
      <c r="M2009" t="s">
        <v>26</v>
      </c>
      <c r="N2009" t="s">
        <v>27</v>
      </c>
      <c r="O2009">
        <v>804</v>
      </c>
      <c r="P2009">
        <v>413</v>
      </c>
      <c r="Q2009" t="s">
        <v>83</v>
      </c>
      <c r="R2009" t="s">
        <v>84</v>
      </c>
      <c r="S2009" t="s">
        <v>85</v>
      </c>
      <c r="T2009">
        <v>2023</v>
      </c>
      <c r="U2009" t="s">
        <v>31</v>
      </c>
    </row>
    <row r="2010" spans="1:21" x14ac:dyDescent="0.35">
      <c r="A2010" s="1">
        <v>46600</v>
      </c>
      <c r="B2010" t="s">
        <v>98</v>
      </c>
      <c r="C2010" t="s">
        <v>99</v>
      </c>
      <c r="D2010" t="s">
        <v>100</v>
      </c>
      <c r="E2010">
        <v>283</v>
      </c>
      <c r="F2010">
        <v>6</v>
      </c>
      <c r="G2010">
        <f t="shared" si="93"/>
        <v>1698</v>
      </c>
      <c r="H2010">
        <v>4</v>
      </c>
      <c r="I2010">
        <f t="shared" si="94"/>
        <v>1132</v>
      </c>
      <c r="J2010">
        <f t="shared" si="95"/>
        <v>566</v>
      </c>
      <c r="K2010" t="s">
        <v>35</v>
      </c>
      <c r="L2010" t="s">
        <v>25</v>
      </c>
      <c r="M2010" t="s">
        <v>61</v>
      </c>
      <c r="N2010" t="s">
        <v>38</v>
      </c>
      <c r="O2010">
        <v>720</v>
      </c>
      <c r="P2010">
        <v>283</v>
      </c>
      <c r="Q2010" t="s">
        <v>64</v>
      </c>
      <c r="R2010" t="s">
        <v>29</v>
      </c>
      <c r="S2010" t="s">
        <v>65</v>
      </c>
      <c r="T2010">
        <v>2021</v>
      </c>
      <c r="U2010" t="s">
        <v>86</v>
      </c>
    </row>
    <row r="2011" spans="1:21" x14ac:dyDescent="0.35">
      <c r="A2011" s="1">
        <v>46601</v>
      </c>
      <c r="B2011" t="s">
        <v>58</v>
      </c>
      <c r="C2011" t="s">
        <v>59</v>
      </c>
      <c r="D2011" t="s">
        <v>60</v>
      </c>
      <c r="E2011">
        <v>185</v>
      </c>
      <c r="F2011">
        <v>5</v>
      </c>
      <c r="G2011">
        <f t="shared" si="93"/>
        <v>925</v>
      </c>
      <c r="H2011">
        <v>3</v>
      </c>
      <c r="I2011">
        <f t="shared" si="94"/>
        <v>555</v>
      </c>
      <c r="J2011">
        <f t="shared" si="95"/>
        <v>370</v>
      </c>
      <c r="K2011" t="s">
        <v>42</v>
      </c>
      <c r="L2011" t="s">
        <v>36</v>
      </c>
      <c r="M2011" t="s">
        <v>26</v>
      </c>
      <c r="N2011" t="s">
        <v>27</v>
      </c>
      <c r="O2011">
        <v>741</v>
      </c>
      <c r="P2011">
        <v>185</v>
      </c>
      <c r="Q2011" t="s">
        <v>103</v>
      </c>
      <c r="R2011" t="s">
        <v>68</v>
      </c>
      <c r="S2011" t="s">
        <v>104</v>
      </c>
      <c r="T2011">
        <v>2024</v>
      </c>
      <c r="U2011" t="s">
        <v>31</v>
      </c>
    </row>
    <row r="2012" spans="1:21" x14ac:dyDescent="0.35">
      <c r="A2012" s="1">
        <v>46602</v>
      </c>
      <c r="B2012" t="s">
        <v>21</v>
      </c>
      <c r="C2012" t="s">
        <v>22</v>
      </c>
      <c r="D2012" t="s">
        <v>23</v>
      </c>
      <c r="E2012">
        <v>271</v>
      </c>
      <c r="F2012">
        <v>8</v>
      </c>
      <c r="G2012">
        <f t="shared" si="93"/>
        <v>2168</v>
      </c>
      <c r="H2012">
        <v>5</v>
      </c>
      <c r="I2012">
        <f t="shared" si="94"/>
        <v>1355</v>
      </c>
      <c r="J2012">
        <f t="shared" si="95"/>
        <v>813</v>
      </c>
      <c r="K2012" t="s">
        <v>24</v>
      </c>
      <c r="L2012" t="s">
        <v>63</v>
      </c>
      <c r="M2012" t="s">
        <v>26</v>
      </c>
      <c r="N2012" t="s">
        <v>38</v>
      </c>
      <c r="O2012">
        <v>828</v>
      </c>
      <c r="P2012">
        <v>271</v>
      </c>
      <c r="Q2012" t="s">
        <v>87</v>
      </c>
      <c r="R2012" t="s">
        <v>88</v>
      </c>
      <c r="S2012" t="s">
        <v>89</v>
      </c>
      <c r="T2012">
        <v>2020</v>
      </c>
      <c r="U2012" t="s">
        <v>91</v>
      </c>
    </row>
    <row r="2013" spans="1:21" x14ac:dyDescent="0.35">
      <c r="A2013" s="1">
        <v>46603</v>
      </c>
      <c r="B2013" t="s">
        <v>21</v>
      </c>
      <c r="C2013" t="s">
        <v>22</v>
      </c>
      <c r="D2013" t="s">
        <v>23</v>
      </c>
      <c r="E2013">
        <v>429</v>
      </c>
      <c r="F2013">
        <v>8</v>
      </c>
      <c r="G2013">
        <f t="shared" si="93"/>
        <v>3432</v>
      </c>
      <c r="H2013">
        <v>5</v>
      </c>
      <c r="I2013">
        <f t="shared" si="94"/>
        <v>2145</v>
      </c>
      <c r="J2013">
        <f t="shared" si="95"/>
        <v>1287</v>
      </c>
      <c r="K2013" t="s">
        <v>35</v>
      </c>
      <c r="L2013" t="s">
        <v>73</v>
      </c>
      <c r="M2013" t="s">
        <v>26</v>
      </c>
      <c r="N2013" t="s">
        <v>38</v>
      </c>
      <c r="O2013">
        <v>786</v>
      </c>
      <c r="P2013">
        <v>429</v>
      </c>
      <c r="Q2013" t="s">
        <v>67</v>
      </c>
      <c r="R2013" t="s">
        <v>68</v>
      </c>
      <c r="S2013" t="s">
        <v>69</v>
      </c>
      <c r="T2013">
        <v>2020</v>
      </c>
      <c r="U2013" t="s">
        <v>91</v>
      </c>
    </row>
    <row r="2014" spans="1:21" x14ac:dyDescent="0.35">
      <c r="A2014" s="1">
        <v>46604</v>
      </c>
      <c r="B2014" t="s">
        <v>21</v>
      </c>
      <c r="C2014" t="s">
        <v>22</v>
      </c>
      <c r="D2014" t="s">
        <v>23</v>
      </c>
      <c r="E2014">
        <v>358</v>
      </c>
      <c r="F2014">
        <v>8</v>
      </c>
      <c r="G2014">
        <f t="shared" si="93"/>
        <v>2864</v>
      </c>
      <c r="H2014">
        <v>5</v>
      </c>
      <c r="I2014">
        <f t="shared" si="94"/>
        <v>1790</v>
      </c>
      <c r="J2014">
        <f t="shared" si="95"/>
        <v>1074</v>
      </c>
      <c r="K2014" t="s">
        <v>35</v>
      </c>
      <c r="L2014" t="s">
        <v>63</v>
      </c>
      <c r="M2014" t="s">
        <v>26</v>
      </c>
      <c r="N2014" t="s">
        <v>38</v>
      </c>
      <c r="O2014">
        <v>837</v>
      </c>
      <c r="P2014">
        <v>358</v>
      </c>
      <c r="Q2014" t="s">
        <v>103</v>
      </c>
      <c r="R2014" t="s">
        <v>68</v>
      </c>
      <c r="S2014" t="s">
        <v>104</v>
      </c>
      <c r="T2014">
        <v>2024</v>
      </c>
      <c r="U2014" t="s">
        <v>105</v>
      </c>
    </row>
    <row r="2015" spans="1:21" x14ac:dyDescent="0.35">
      <c r="A2015" s="1">
        <v>46605</v>
      </c>
      <c r="B2015" t="s">
        <v>98</v>
      </c>
      <c r="C2015" t="s">
        <v>99</v>
      </c>
      <c r="D2015" t="s">
        <v>100</v>
      </c>
      <c r="E2015">
        <v>46</v>
      </c>
      <c r="F2015">
        <v>6</v>
      </c>
      <c r="G2015">
        <f t="shared" si="93"/>
        <v>276</v>
      </c>
      <c r="H2015">
        <v>4</v>
      </c>
      <c r="I2015">
        <f t="shared" si="94"/>
        <v>184</v>
      </c>
      <c r="J2015">
        <f t="shared" si="95"/>
        <v>92</v>
      </c>
      <c r="K2015" t="s">
        <v>24</v>
      </c>
      <c r="L2015" t="s">
        <v>63</v>
      </c>
      <c r="M2015" t="s">
        <v>37</v>
      </c>
      <c r="N2015" t="s">
        <v>38</v>
      </c>
      <c r="O2015">
        <v>690</v>
      </c>
      <c r="P2015">
        <v>46</v>
      </c>
      <c r="Q2015" t="s">
        <v>101</v>
      </c>
      <c r="R2015" t="s">
        <v>101</v>
      </c>
      <c r="S2015" t="s">
        <v>102</v>
      </c>
      <c r="T2015">
        <v>2021</v>
      </c>
      <c r="U2015" t="s">
        <v>109</v>
      </c>
    </row>
    <row r="2016" spans="1:21" x14ac:dyDescent="0.35">
      <c r="A2016" s="1">
        <v>46606</v>
      </c>
      <c r="B2016" t="s">
        <v>98</v>
      </c>
      <c r="C2016" t="s">
        <v>99</v>
      </c>
      <c r="D2016" t="s">
        <v>100</v>
      </c>
      <c r="E2016">
        <v>444</v>
      </c>
      <c r="F2016">
        <v>6</v>
      </c>
      <c r="G2016">
        <f t="shared" si="93"/>
        <v>2664</v>
      </c>
      <c r="H2016">
        <v>4</v>
      </c>
      <c r="I2016">
        <f t="shared" si="94"/>
        <v>1776</v>
      </c>
      <c r="J2016">
        <f t="shared" si="95"/>
        <v>888</v>
      </c>
      <c r="K2016" t="s">
        <v>35</v>
      </c>
      <c r="L2016" t="s">
        <v>73</v>
      </c>
      <c r="M2016" t="s">
        <v>26</v>
      </c>
      <c r="N2016" t="s">
        <v>43</v>
      </c>
      <c r="O2016">
        <v>898</v>
      </c>
      <c r="P2016">
        <v>444</v>
      </c>
      <c r="Q2016" t="s">
        <v>87</v>
      </c>
      <c r="R2016" t="s">
        <v>88</v>
      </c>
      <c r="S2016" t="s">
        <v>89</v>
      </c>
      <c r="T2016">
        <v>2020</v>
      </c>
      <c r="U2016" t="s">
        <v>57</v>
      </c>
    </row>
    <row r="2017" spans="1:21" x14ac:dyDescent="0.35">
      <c r="A2017" s="1">
        <v>46607</v>
      </c>
      <c r="B2017" t="s">
        <v>98</v>
      </c>
      <c r="C2017" t="s">
        <v>99</v>
      </c>
      <c r="D2017" t="s">
        <v>100</v>
      </c>
      <c r="E2017">
        <v>107</v>
      </c>
      <c r="F2017">
        <v>6</v>
      </c>
      <c r="G2017">
        <f t="shared" si="93"/>
        <v>642</v>
      </c>
      <c r="H2017">
        <v>4</v>
      </c>
      <c r="I2017">
        <f t="shared" si="94"/>
        <v>428</v>
      </c>
      <c r="J2017">
        <f t="shared" si="95"/>
        <v>214</v>
      </c>
      <c r="K2017" t="s">
        <v>24</v>
      </c>
      <c r="L2017" t="s">
        <v>63</v>
      </c>
      <c r="M2017" t="s">
        <v>37</v>
      </c>
      <c r="N2017" t="s">
        <v>38</v>
      </c>
      <c r="O2017">
        <v>765</v>
      </c>
      <c r="P2017">
        <v>107</v>
      </c>
      <c r="Q2017" t="s">
        <v>39</v>
      </c>
      <c r="R2017" t="s">
        <v>40</v>
      </c>
      <c r="S2017" t="s">
        <v>41</v>
      </c>
      <c r="T2017">
        <v>2023</v>
      </c>
      <c r="U2017" t="s">
        <v>62</v>
      </c>
    </row>
    <row r="2018" spans="1:21" x14ac:dyDescent="0.35">
      <c r="A2018" s="1">
        <v>46608</v>
      </c>
      <c r="B2018" t="s">
        <v>80</v>
      </c>
      <c r="C2018" t="s">
        <v>81</v>
      </c>
      <c r="D2018" t="s">
        <v>82</v>
      </c>
      <c r="E2018">
        <v>135</v>
      </c>
      <c r="F2018">
        <v>2.5</v>
      </c>
      <c r="G2018">
        <f t="shared" si="93"/>
        <v>337.5</v>
      </c>
      <c r="H2018">
        <v>1.5</v>
      </c>
      <c r="I2018">
        <f t="shared" si="94"/>
        <v>202.5</v>
      </c>
      <c r="J2018">
        <f t="shared" si="95"/>
        <v>135</v>
      </c>
      <c r="K2018" t="s">
        <v>42</v>
      </c>
      <c r="L2018" t="s">
        <v>25</v>
      </c>
      <c r="M2018" t="s">
        <v>61</v>
      </c>
      <c r="N2018" t="s">
        <v>38</v>
      </c>
      <c r="O2018">
        <v>814</v>
      </c>
      <c r="P2018">
        <v>135</v>
      </c>
      <c r="Q2018" t="s">
        <v>74</v>
      </c>
      <c r="R2018" t="s">
        <v>75</v>
      </c>
      <c r="S2018" t="s">
        <v>76</v>
      </c>
      <c r="T2018">
        <v>2021</v>
      </c>
      <c r="U2018" t="s">
        <v>91</v>
      </c>
    </row>
    <row r="2019" spans="1:21" x14ac:dyDescent="0.35">
      <c r="A2019" s="1">
        <v>46609</v>
      </c>
      <c r="B2019" t="s">
        <v>58</v>
      </c>
      <c r="C2019" t="s">
        <v>59</v>
      </c>
      <c r="D2019" t="s">
        <v>60</v>
      </c>
      <c r="E2019">
        <v>209</v>
      </c>
      <c r="F2019">
        <v>5</v>
      </c>
      <c r="G2019">
        <f t="shared" si="93"/>
        <v>1045</v>
      </c>
      <c r="H2019">
        <v>3</v>
      </c>
      <c r="I2019">
        <f t="shared" si="94"/>
        <v>627</v>
      </c>
      <c r="J2019">
        <f t="shared" si="95"/>
        <v>418</v>
      </c>
      <c r="K2019" t="s">
        <v>24</v>
      </c>
      <c r="L2019" t="s">
        <v>25</v>
      </c>
      <c r="M2019" t="s">
        <v>61</v>
      </c>
      <c r="N2019" t="s">
        <v>38</v>
      </c>
      <c r="O2019">
        <v>634</v>
      </c>
      <c r="P2019">
        <v>209</v>
      </c>
      <c r="Q2019" t="s">
        <v>44</v>
      </c>
      <c r="R2019" t="s">
        <v>45</v>
      </c>
      <c r="S2019" t="s">
        <v>46</v>
      </c>
      <c r="T2019">
        <v>2020</v>
      </c>
      <c r="U2019" t="s">
        <v>66</v>
      </c>
    </row>
    <row r="2020" spans="1:21" x14ac:dyDescent="0.35">
      <c r="A2020" s="1">
        <v>46610</v>
      </c>
      <c r="B2020" t="s">
        <v>21</v>
      </c>
      <c r="C2020" t="s">
        <v>22</v>
      </c>
      <c r="D2020" t="s">
        <v>23</v>
      </c>
      <c r="E2020">
        <v>37</v>
      </c>
      <c r="F2020">
        <v>8</v>
      </c>
      <c r="G2020">
        <f t="shared" si="93"/>
        <v>296</v>
      </c>
      <c r="H2020">
        <v>5</v>
      </c>
      <c r="I2020">
        <f t="shared" si="94"/>
        <v>185</v>
      </c>
      <c r="J2020">
        <f t="shared" si="95"/>
        <v>111</v>
      </c>
      <c r="K2020" t="s">
        <v>42</v>
      </c>
      <c r="L2020" t="s">
        <v>63</v>
      </c>
      <c r="M2020" t="s">
        <v>61</v>
      </c>
      <c r="N2020" t="s">
        <v>38</v>
      </c>
      <c r="O2020">
        <v>542</v>
      </c>
      <c r="P2020">
        <v>37</v>
      </c>
      <c r="Q2020" t="s">
        <v>94</v>
      </c>
      <c r="R2020" t="s">
        <v>75</v>
      </c>
      <c r="S2020" t="s">
        <v>95</v>
      </c>
      <c r="T2020">
        <v>2022</v>
      </c>
      <c r="U2020" t="s">
        <v>96</v>
      </c>
    </row>
    <row r="2021" spans="1:21" x14ac:dyDescent="0.35">
      <c r="A2021" s="1">
        <v>46611</v>
      </c>
      <c r="B2021" t="s">
        <v>58</v>
      </c>
      <c r="C2021" t="s">
        <v>59</v>
      </c>
      <c r="D2021" t="s">
        <v>60</v>
      </c>
      <c r="E2021">
        <v>392</v>
      </c>
      <c r="F2021">
        <v>5</v>
      </c>
      <c r="G2021">
        <f t="shared" si="93"/>
        <v>1960</v>
      </c>
      <c r="H2021">
        <v>3</v>
      </c>
      <c r="I2021">
        <f t="shared" si="94"/>
        <v>1176</v>
      </c>
      <c r="J2021">
        <f t="shared" si="95"/>
        <v>784</v>
      </c>
      <c r="K2021" t="s">
        <v>24</v>
      </c>
      <c r="L2021" t="s">
        <v>36</v>
      </c>
      <c r="M2021" t="s">
        <v>61</v>
      </c>
      <c r="N2021" t="s">
        <v>27</v>
      </c>
      <c r="O2021">
        <v>812</v>
      </c>
      <c r="P2021">
        <v>392</v>
      </c>
      <c r="Q2021" t="s">
        <v>77</v>
      </c>
      <c r="R2021" t="s">
        <v>78</v>
      </c>
      <c r="S2021" t="s">
        <v>79</v>
      </c>
      <c r="T2021">
        <v>2021</v>
      </c>
      <c r="U2021" t="s">
        <v>53</v>
      </c>
    </row>
    <row r="2022" spans="1:21" x14ac:dyDescent="0.35">
      <c r="A2022" s="1">
        <v>46612</v>
      </c>
      <c r="B2022" t="s">
        <v>32</v>
      </c>
      <c r="C2022" t="s">
        <v>33</v>
      </c>
      <c r="D2022" t="s">
        <v>34</v>
      </c>
      <c r="E2022">
        <v>260</v>
      </c>
      <c r="F2022">
        <v>20</v>
      </c>
      <c r="G2022">
        <f t="shared" si="93"/>
        <v>5200</v>
      </c>
      <c r="H2022">
        <v>12</v>
      </c>
      <c r="I2022">
        <f t="shared" si="94"/>
        <v>3120</v>
      </c>
      <c r="J2022">
        <f t="shared" si="95"/>
        <v>2080</v>
      </c>
      <c r="K2022" t="s">
        <v>24</v>
      </c>
      <c r="L2022" t="s">
        <v>73</v>
      </c>
      <c r="M2022" t="s">
        <v>37</v>
      </c>
      <c r="N2022" t="s">
        <v>38</v>
      </c>
      <c r="O2022">
        <v>500</v>
      </c>
      <c r="P2022">
        <v>260</v>
      </c>
      <c r="Q2022" t="s">
        <v>77</v>
      </c>
      <c r="R2022" t="s">
        <v>78</v>
      </c>
      <c r="S2022" t="s">
        <v>79</v>
      </c>
      <c r="T2022">
        <v>2021</v>
      </c>
      <c r="U2022" t="s">
        <v>62</v>
      </c>
    </row>
    <row r="2023" spans="1:21" x14ac:dyDescent="0.35">
      <c r="A2023" s="1">
        <v>46613</v>
      </c>
      <c r="B2023" t="s">
        <v>48</v>
      </c>
      <c r="C2023" t="s">
        <v>49</v>
      </c>
      <c r="D2023" t="s">
        <v>50</v>
      </c>
      <c r="E2023">
        <v>58</v>
      </c>
      <c r="F2023">
        <v>150</v>
      </c>
      <c r="G2023">
        <f t="shared" si="93"/>
        <v>8700</v>
      </c>
      <c r="H2023">
        <v>100</v>
      </c>
      <c r="I2023">
        <f t="shared" si="94"/>
        <v>5800</v>
      </c>
      <c r="J2023">
        <f t="shared" si="95"/>
        <v>2900</v>
      </c>
      <c r="K2023" t="s">
        <v>24</v>
      </c>
      <c r="L2023" t="s">
        <v>73</v>
      </c>
      <c r="M2023" t="s">
        <v>26</v>
      </c>
      <c r="N2023" t="s">
        <v>43</v>
      </c>
      <c r="O2023">
        <v>955</v>
      </c>
      <c r="P2023">
        <v>58</v>
      </c>
      <c r="Q2023" t="s">
        <v>110</v>
      </c>
      <c r="R2023" t="s">
        <v>111</v>
      </c>
      <c r="S2023" t="s">
        <v>112</v>
      </c>
      <c r="T2023">
        <v>2022</v>
      </c>
      <c r="U2023" t="s">
        <v>105</v>
      </c>
    </row>
    <row r="2024" spans="1:21" x14ac:dyDescent="0.35">
      <c r="A2024" s="1">
        <v>46614</v>
      </c>
      <c r="B2024" t="s">
        <v>98</v>
      </c>
      <c r="C2024" t="s">
        <v>99</v>
      </c>
      <c r="D2024" t="s">
        <v>100</v>
      </c>
      <c r="E2024">
        <v>425</v>
      </c>
      <c r="F2024">
        <v>6</v>
      </c>
      <c r="G2024">
        <f t="shared" si="93"/>
        <v>2550</v>
      </c>
      <c r="H2024">
        <v>4</v>
      </c>
      <c r="I2024">
        <f t="shared" si="94"/>
        <v>1700</v>
      </c>
      <c r="J2024">
        <f t="shared" si="95"/>
        <v>850</v>
      </c>
      <c r="K2024" t="s">
        <v>35</v>
      </c>
      <c r="L2024" t="s">
        <v>25</v>
      </c>
      <c r="M2024" t="s">
        <v>26</v>
      </c>
      <c r="N2024" t="s">
        <v>38</v>
      </c>
      <c r="O2024">
        <v>776</v>
      </c>
      <c r="P2024">
        <v>425</v>
      </c>
      <c r="Q2024" t="s">
        <v>67</v>
      </c>
      <c r="R2024" t="s">
        <v>68</v>
      </c>
      <c r="S2024" t="s">
        <v>69</v>
      </c>
      <c r="T2024">
        <v>2021</v>
      </c>
      <c r="U2024" t="s">
        <v>105</v>
      </c>
    </row>
    <row r="2025" spans="1:21" x14ac:dyDescent="0.35">
      <c r="A2025" s="1">
        <v>46615</v>
      </c>
      <c r="B2025" t="s">
        <v>21</v>
      </c>
      <c r="C2025" t="s">
        <v>22</v>
      </c>
      <c r="D2025" t="s">
        <v>23</v>
      </c>
      <c r="E2025">
        <v>469</v>
      </c>
      <c r="F2025">
        <v>8</v>
      </c>
      <c r="G2025">
        <f t="shared" si="93"/>
        <v>3752</v>
      </c>
      <c r="H2025">
        <v>5</v>
      </c>
      <c r="I2025">
        <f t="shared" si="94"/>
        <v>2345</v>
      </c>
      <c r="J2025">
        <f t="shared" si="95"/>
        <v>1407</v>
      </c>
      <c r="K2025" t="s">
        <v>42</v>
      </c>
      <c r="L2025" t="s">
        <v>36</v>
      </c>
      <c r="M2025" t="s">
        <v>61</v>
      </c>
      <c r="N2025" t="s">
        <v>38</v>
      </c>
      <c r="O2025">
        <v>707</v>
      </c>
      <c r="P2025">
        <v>469</v>
      </c>
      <c r="Q2025" t="s">
        <v>74</v>
      </c>
      <c r="R2025" t="s">
        <v>75</v>
      </c>
      <c r="S2025" t="s">
        <v>76</v>
      </c>
      <c r="T2025">
        <v>2020</v>
      </c>
      <c r="U2025" t="s">
        <v>47</v>
      </c>
    </row>
    <row r="2026" spans="1:21" x14ac:dyDescent="0.35">
      <c r="A2026" s="1">
        <v>46616</v>
      </c>
      <c r="B2026" t="s">
        <v>32</v>
      </c>
      <c r="C2026" t="s">
        <v>33</v>
      </c>
      <c r="D2026" t="s">
        <v>34</v>
      </c>
      <c r="E2026">
        <v>195</v>
      </c>
      <c r="F2026">
        <v>20</v>
      </c>
      <c r="G2026">
        <f t="shared" si="93"/>
        <v>3900</v>
      </c>
      <c r="H2026">
        <v>12</v>
      </c>
      <c r="I2026">
        <f t="shared" si="94"/>
        <v>2340</v>
      </c>
      <c r="J2026">
        <f t="shared" si="95"/>
        <v>1560</v>
      </c>
      <c r="K2026" t="s">
        <v>42</v>
      </c>
      <c r="L2026" t="s">
        <v>73</v>
      </c>
      <c r="M2026" t="s">
        <v>61</v>
      </c>
      <c r="N2026" t="s">
        <v>43</v>
      </c>
      <c r="O2026">
        <v>651</v>
      </c>
      <c r="P2026">
        <v>195</v>
      </c>
      <c r="Q2026" t="s">
        <v>83</v>
      </c>
      <c r="R2026" t="s">
        <v>84</v>
      </c>
      <c r="S2026" t="s">
        <v>85</v>
      </c>
      <c r="T2026">
        <v>2020</v>
      </c>
      <c r="U2026" t="s">
        <v>105</v>
      </c>
    </row>
    <row r="2027" spans="1:21" x14ac:dyDescent="0.35">
      <c r="A2027" s="1">
        <v>46617</v>
      </c>
      <c r="B2027" t="s">
        <v>98</v>
      </c>
      <c r="C2027" t="s">
        <v>99</v>
      </c>
      <c r="D2027" t="s">
        <v>100</v>
      </c>
      <c r="E2027">
        <v>19</v>
      </c>
      <c r="F2027">
        <v>6</v>
      </c>
      <c r="G2027">
        <f t="shared" si="93"/>
        <v>114</v>
      </c>
      <c r="H2027">
        <v>4</v>
      </c>
      <c r="I2027">
        <f t="shared" si="94"/>
        <v>76</v>
      </c>
      <c r="J2027">
        <f t="shared" si="95"/>
        <v>38</v>
      </c>
      <c r="K2027" t="s">
        <v>42</v>
      </c>
      <c r="L2027" t="s">
        <v>25</v>
      </c>
      <c r="M2027" t="s">
        <v>61</v>
      </c>
      <c r="N2027" t="s">
        <v>43</v>
      </c>
      <c r="O2027">
        <v>918</v>
      </c>
      <c r="P2027">
        <v>19</v>
      </c>
      <c r="Q2027" t="s">
        <v>94</v>
      </c>
      <c r="R2027" t="s">
        <v>75</v>
      </c>
      <c r="S2027" t="s">
        <v>95</v>
      </c>
      <c r="T2027">
        <v>2021</v>
      </c>
      <c r="U2027" t="s">
        <v>62</v>
      </c>
    </row>
    <row r="2028" spans="1:21" x14ac:dyDescent="0.35">
      <c r="A2028" s="1">
        <v>46618</v>
      </c>
      <c r="B2028" t="s">
        <v>32</v>
      </c>
      <c r="C2028" t="s">
        <v>33</v>
      </c>
      <c r="D2028" t="s">
        <v>34</v>
      </c>
      <c r="E2028">
        <v>86</v>
      </c>
      <c r="F2028">
        <v>20</v>
      </c>
      <c r="G2028">
        <f t="shared" si="93"/>
        <v>1720</v>
      </c>
      <c r="H2028">
        <v>12</v>
      </c>
      <c r="I2028">
        <f t="shared" si="94"/>
        <v>1032</v>
      </c>
      <c r="J2028">
        <f t="shared" si="95"/>
        <v>688</v>
      </c>
      <c r="K2028" t="s">
        <v>24</v>
      </c>
      <c r="L2028" t="s">
        <v>25</v>
      </c>
      <c r="M2028" t="s">
        <v>26</v>
      </c>
      <c r="N2028" t="s">
        <v>43</v>
      </c>
      <c r="O2028">
        <v>836</v>
      </c>
      <c r="P2028">
        <v>86</v>
      </c>
      <c r="Q2028" t="s">
        <v>110</v>
      </c>
      <c r="R2028" t="s">
        <v>111</v>
      </c>
      <c r="S2028" t="s">
        <v>112</v>
      </c>
      <c r="T2028">
        <v>2021</v>
      </c>
      <c r="U2028" t="s">
        <v>91</v>
      </c>
    </row>
    <row r="2029" spans="1:21" x14ac:dyDescent="0.35">
      <c r="A2029" s="1">
        <v>46619</v>
      </c>
      <c r="B2029" t="s">
        <v>58</v>
      </c>
      <c r="C2029" t="s">
        <v>59</v>
      </c>
      <c r="D2029" t="s">
        <v>60</v>
      </c>
      <c r="E2029">
        <v>204</v>
      </c>
      <c r="F2029">
        <v>5</v>
      </c>
      <c r="G2029">
        <f t="shared" si="93"/>
        <v>1020</v>
      </c>
      <c r="H2029">
        <v>3</v>
      </c>
      <c r="I2029">
        <f t="shared" si="94"/>
        <v>612</v>
      </c>
      <c r="J2029">
        <f t="shared" si="95"/>
        <v>408</v>
      </c>
      <c r="K2029" t="s">
        <v>42</v>
      </c>
      <c r="L2029" t="s">
        <v>36</v>
      </c>
      <c r="M2029" t="s">
        <v>61</v>
      </c>
      <c r="N2029" t="s">
        <v>27</v>
      </c>
      <c r="O2029">
        <v>777</v>
      </c>
      <c r="P2029">
        <v>204</v>
      </c>
      <c r="Q2029" t="s">
        <v>44</v>
      </c>
      <c r="R2029" t="s">
        <v>45</v>
      </c>
      <c r="S2029" t="s">
        <v>46</v>
      </c>
      <c r="T2029">
        <v>2020</v>
      </c>
      <c r="U2029" t="s">
        <v>47</v>
      </c>
    </row>
    <row r="2030" spans="1:21" x14ac:dyDescent="0.35">
      <c r="A2030" s="1">
        <v>46620</v>
      </c>
      <c r="B2030" t="s">
        <v>48</v>
      </c>
      <c r="C2030" t="s">
        <v>49</v>
      </c>
      <c r="D2030" t="s">
        <v>50</v>
      </c>
      <c r="E2030">
        <v>478</v>
      </c>
      <c r="F2030">
        <v>150</v>
      </c>
      <c r="G2030">
        <f t="shared" si="93"/>
        <v>71700</v>
      </c>
      <c r="H2030">
        <v>100</v>
      </c>
      <c r="I2030">
        <f t="shared" si="94"/>
        <v>47800</v>
      </c>
      <c r="J2030">
        <f t="shared" si="95"/>
        <v>23900</v>
      </c>
      <c r="K2030" t="s">
        <v>24</v>
      </c>
      <c r="L2030" t="s">
        <v>36</v>
      </c>
      <c r="M2030" t="s">
        <v>26</v>
      </c>
      <c r="N2030" t="s">
        <v>27</v>
      </c>
      <c r="O2030">
        <v>814</v>
      </c>
      <c r="P2030">
        <v>478</v>
      </c>
      <c r="Q2030" t="s">
        <v>113</v>
      </c>
      <c r="R2030" t="s">
        <v>114</v>
      </c>
      <c r="S2030" t="s">
        <v>115</v>
      </c>
      <c r="T2030">
        <v>2023</v>
      </c>
      <c r="U2030" t="s">
        <v>57</v>
      </c>
    </row>
    <row r="2031" spans="1:21" x14ac:dyDescent="0.35">
      <c r="A2031" s="1">
        <v>46621</v>
      </c>
      <c r="B2031" t="s">
        <v>98</v>
      </c>
      <c r="C2031" t="s">
        <v>99</v>
      </c>
      <c r="D2031" t="s">
        <v>100</v>
      </c>
      <c r="E2031">
        <v>32</v>
      </c>
      <c r="F2031">
        <v>6</v>
      </c>
      <c r="G2031">
        <f t="shared" si="93"/>
        <v>192</v>
      </c>
      <c r="H2031">
        <v>4</v>
      </c>
      <c r="I2031">
        <f t="shared" si="94"/>
        <v>128</v>
      </c>
      <c r="J2031">
        <f t="shared" si="95"/>
        <v>64</v>
      </c>
      <c r="K2031" t="s">
        <v>35</v>
      </c>
      <c r="L2031" t="s">
        <v>73</v>
      </c>
      <c r="M2031" t="s">
        <v>26</v>
      </c>
      <c r="N2031" t="s">
        <v>38</v>
      </c>
      <c r="O2031">
        <v>769</v>
      </c>
      <c r="P2031">
        <v>32</v>
      </c>
      <c r="Q2031" t="s">
        <v>54</v>
      </c>
      <c r="R2031" t="s">
        <v>55</v>
      </c>
      <c r="S2031" t="s">
        <v>56</v>
      </c>
      <c r="T2031">
        <v>2024</v>
      </c>
      <c r="U2031" t="s">
        <v>66</v>
      </c>
    </row>
    <row r="2032" spans="1:21" x14ac:dyDescent="0.35">
      <c r="A2032" s="1">
        <v>46622</v>
      </c>
      <c r="B2032" t="s">
        <v>80</v>
      </c>
      <c r="C2032" t="s">
        <v>81</v>
      </c>
      <c r="D2032" t="s">
        <v>82</v>
      </c>
      <c r="E2032">
        <v>293</v>
      </c>
      <c r="F2032">
        <v>2.5</v>
      </c>
      <c r="G2032">
        <f t="shared" si="93"/>
        <v>732.5</v>
      </c>
      <c r="H2032">
        <v>1.5</v>
      </c>
      <c r="I2032">
        <f t="shared" si="94"/>
        <v>439.5</v>
      </c>
      <c r="J2032">
        <f t="shared" si="95"/>
        <v>293</v>
      </c>
      <c r="K2032" t="s">
        <v>42</v>
      </c>
      <c r="L2032" t="s">
        <v>36</v>
      </c>
      <c r="M2032" t="s">
        <v>26</v>
      </c>
      <c r="N2032" t="s">
        <v>43</v>
      </c>
      <c r="O2032">
        <v>750</v>
      </c>
      <c r="P2032">
        <v>293</v>
      </c>
      <c r="Q2032" t="s">
        <v>110</v>
      </c>
      <c r="R2032" t="s">
        <v>111</v>
      </c>
      <c r="S2032" t="s">
        <v>112</v>
      </c>
      <c r="T2032">
        <v>2024</v>
      </c>
      <c r="U2032" t="s">
        <v>96</v>
      </c>
    </row>
    <row r="2033" spans="1:21" x14ac:dyDescent="0.35">
      <c r="A2033" s="1">
        <v>46623</v>
      </c>
      <c r="B2033" t="s">
        <v>48</v>
      </c>
      <c r="C2033" t="s">
        <v>49</v>
      </c>
      <c r="D2033" t="s">
        <v>50</v>
      </c>
      <c r="E2033">
        <v>499</v>
      </c>
      <c r="F2033">
        <v>150</v>
      </c>
      <c r="G2033">
        <f t="shared" si="93"/>
        <v>74850</v>
      </c>
      <c r="H2033">
        <v>100</v>
      </c>
      <c r="I2033">
        <f t="shared" si="94"/>
        <v>49900</v>
      </c>
      <c r="J2033">
        <f t="shared" si="95"/>
        <v>24950</v>
      </c>
      <c r="K2033" t="s">
        <v>35</v>
      </c>
      <c r="L2033" t="s">
        <v>25</v>
      </c>
      <c r="M2033" t="s">
        <v>37</v>
      </c>
      <c r="N2033" t="s">
        <v>43</v>
      </c>
      <c r="O2033">
        <v>621</v>
      </c>
      <c r="P2033">
        <v>499</v>
      </c>
      <c r="Q2033" t="s">
        <v>39</v>
      </c>
      <c r="R2033" t="s">
        <v>40</v>
      </c>
      <c r="S2033" t="s">
        <v>41</v>
      </c>
      <c r="T2033">
        <v>2020</v>
      </c>
      <c r="U2033" t="s">
        <v>109</v>
      </c>
    </row>
    <row r="2034" spans="1:21" x14ac:dyDescent="0.35">
      <c r="A2034" s="1">
        <v>46624</v>
      </c>
      <c r="B2034" t="s">
        <v>98</v>
      </c>
      <c r="C2034" t="s">
        <v>99</v>
      </c>
      <c r="D2034" t="s">
        <v>100</v>
      </c>
      <c r="E2034">
        <v>124</v>
      </c>
      <c r="F2034">
        <v>6</v>
      </c>
      <c r="G2034">
        <f t="shared" si="93"/>
        <v>744</v>
      </c>
      <c r="H2034">
        <v>4</v>
      </c>
      <c r="I2034">
        <f t="shared" si="94"/>
        <v>496</v>
      </c>
      <c r="J2034">
        <f t="shared" si="95"/>
        <v>248</v>
      </c>
      <c r="K2034" t="s">
        <v>35</v>
      </c>
      <c r="L2034" t="s">
        <v>73</v>
      </c>
      <c r="M2034" t="s">
        <v>37</v>
      </c>
      <c r="N2034" t="s">
        <v>38</v>
      </c>
      <c r="O2034">
        <v>527</v>
      </c>
      <c r="P2034">
        <v>124</v>
      </c>
      <c r="Q2034" t="s">
        <v>28</v>
      </c>
      <c r="R2034" t="s">
        <v>29</v>
      </c>
      <c r="S2034" t="s">
        <v>30</v>
      </c>
      <c r="T2034">
        <v>2023</v>
      </c>
      <c r="U2034" t="s">
        <v>66</v>
      </c>
    </row>
    <row r="2035" spans="1:21" x14ac:dyDescent="0.35">
      <c r="A2035" s="1">
        <v>46625</v>
      </c>
      <c r="B2035" t="s">
        <v>32</v>
      </c>
      <c r="C2035" t="s">
        <v>33</v>
      </c>
      <c r="D2035" t="s">
        <v>34</v>
      </c>
      <c r="E2035">
        <v>445</v>
      </c>
      <c r="F2035">
        <v>20</v>
      </c>
      <c r="G2035">
        <f t="shared" si="93"/>
        <v>8900</v>
      </c>
      <c r="H2035">
        <v>12</v>
      </c>
      <c r="I2035">
        <f t="shared" si="94"/>
        <v>5340</v>
      </c>
      <c r="J2035">
        <f t="shared" si="95"/>
        <v>3560</v>
      </c>
      <c r="K2035" t="s">
        <v>24</v>
      </c>
      <c r="L2035" t="s">
        <v>36</v>
      </c>
      <c r="M2035" t="s">
        <v>37</v>
      </c>
      <c r="N2035" t="s">
        <v>43</v>
      </c>
      <c r="O2035">
        <v>577</v>
      </c>
      <c r="P2035">
        <v>445</v>
      </c>
      <c r="Q2035" t="s">
        <v>51</v>
      </c>
      <c r="R2035" t="s">
        <v>45</v>
      </c>
      <c r="S2035" t="s">
        <v>52</v>
      </c>
      <c r="T2035">
        <v>2024</v>
      </c>
      <c r="U2035" t="s">
        <v>53</v>
      </c>
    </row>
    <row r="2036" spans="1:21" x14ac:dyDescent="0.35">
      <c r="A2036" s="1">
        <v>46626</v>
      </c>
      <c r="B2036" t="s">
        <v>21</v>
      </c>
      <c r="C2036" t="s">
        <v>22</v>
      </c>
      <c r="D2036" t="s">
        <v>23</v>
      </c>
      <c r="E2036">
        <v>170</v>
      </c>
      <c r="F2036">
        <v>8</v>
      </c>
      <c r="G2036">
        <f t="shared" si="93"/>
        <v>1360</v>
      </c>
      <c r="H2036">
        <v>5</v>
      </c>
      <c r="I2036">
        <f t="shared" si="94"/>
        <v>850</v>
      </c>
      <c r="J2036">
        <f t="shared" si="95"/>
        <v>510</v>
      </c>
      <c r="K2036" t="s">
        <v>35</v>
      </c>
      <c r="L2036" t="s">
        <v>73</v>
      </c>
      <c r="M2036" t="s">
        <v>37</v>
      </c>
      <c r="N2036" t="s">
        <v>27</v>
      </c>
      <c r="O2036">
        <v>512</v>
      </c>
      <c r="P2036">
        <v>170</v>
      </c>
      <c r="Q2036" t="s">
        <v>74</v>
      </c>
      <c r="R2036" t="s">
        <v>75</v>
      </c>
      <c r="S2036" t="s">
        <v>76</v>
      </c>
      <c r="T2036">
        <v>2024</v>
      </c>
      <c r="U2036" t="s">
        <v>86</v>
      </c>
    </row>
    <row r="2037" spans="1:21" x14ac:dyDescent="0.35">
      <c r="A2037" s="1">
        <v>46627</v>
      </c>
      <c r="B2037" t="s">
        <v>80</v>
      </c>
      <c r="C2037" t="s">
        <v>81</v>
      </c>
      <c r="D2037" t="s">
        <v>82</v>
      </c>
      <c r="E2037">
        <v>220</v>
      </c>
      <c r="F2037">
        <v>2.5</v>
      </c>
      <c r="G2037">
        <f t="shared" si="93"/>
        <v>550</v>
      </c>
      <c r="H2037">
        <v>1.5</v>
      </c>
      <c r="I2037">
        <f t="shared" si="94"/>
        <v>330</v>
      </c>
      <c r="J2037">
        <f t="shared" si="95"/>
        <v>220</v>
      </c>
      <c r="K2037" t="s">
        <v>35</v>
      </c>
      <c r="L2037" t="s">
        <v>25</v>
      </c>
      <c r="M2037" t="s">
        <v>61</v>
      </c>
      <c r="N2037" t="s">
        <v>43</v>
      </c>
      <c r="O2037">
        <v>941</v>
      </c>
      <c r="P2037">
        <v>220</v>
      </c>
      <c r="Q2037" t="s">
        <v>67</v>
      </c>
      <c r="R2037" t="s">
        <v>68</v>
      </c>
      <c r="S2037" t="s">
        <v>69</v>
      </c>
      <c r="T2037">
        <v>2022</v>
      </c>
      <c r="U2037" t="s">
        <v>57</v>
      </c>
    </row>
    <row r="2038" spans="1:21" x14ac:dyDescent="0.35">
      <c r="A2038" s="1">
        <v>46628</v>
      </c>
      <c r="B2038" t="s">
        <v>98</v>
      </c>
      <c r="C2038" t="s">
        <v>99</v>
      </c>
      <c r="D2038" t="s">
        <v>100</v>
      </c>
      <c r="E2038">
        <v>449</v>
      </c>
      <c r="F2038">
        <v>6</v>
      </c>
      <c r="G2038">
        <f t="shared" si="93"/>
        <v>2694</v>
      </c>
      <c r="H2038">
        <v>4</v>
      </c>
      <c r="I2038">
        <f t="shared" si="94"/>
        <v>1796</v>
      </c>
      <c r="J2038">
        <f t="shared" si="95"/>
        <v>898</v>
      </c>
      <c r="K2038" t="s">
        <v>24</v>
      </c>
      <c r="L2038" t="s">
        <v>73</v>
      </c>
      <c r="M2038" t="s">
        <v>61</v>
      </c>
      <c r="N2038" t="s">
        <v>38</v>
      </c>
      <c r="O2038">
        <v>956</v>
      </c>
      <c r="P2038">
        <v>449</v>
      </c>
      <c r="Q2038" t="s">
        <v>106</v>
      </c>
      <c r="R2038" t="s">
        <v>107</v>
      </c>
      <c r="S2038" t="s">
        <v>108</v>
      </c>
      <c r="T2038">
        <v>2024</v>
      </c>
      <c r="U2038" t="s">
        <v>96</v>
      </c>
    </row>
    <row r="2039" spans="1:21" x14ac:dyDescent="0.35">
      <c r="A2039" s="1">
        <v>46629</v>
      </c>
      <c r="B2039" t="s">
        <v>21</v>
      </c>
      <c r="C2039" t="s">
        <v>22</v>
      </c>
      <c r="D2039" t="s">
        <v>23</v>
      </c>
      <c r="E2039">
        <v>250</v>
      </c>
      <c r="F2039">
        <v>8</v>
      </c>
      <c r="G2039">
        <f t="shared" si="93"/>
        <v>2000</v>
      </c>
      <c r="H2039">
        <v>5</v>
      </c>
      <c r="I2039">
        <f t="shared" si="94"/>
        <v>1250</v>
      </c>
      <c r="J2039">
        <f t="shared" si="95"/>
        <v>750</v>
      </c>
      <c r="K2039" t="s">
        <v>35</v>
      </c>
      <c r="L2039" t="s">
        <v>63</v>
      </c>
      <c r="M2039" t="s">
        <v>61</v>
      </c>
      <c r="N2039" t="s">
        <v>43</v>
      </c>
      <c r="O2039">
        <v>960</v>
      </c>
      <c r="P2039">
        <v>250</v>
      </c>
      <c r="Q2039" t="s">
        <v>83</v>
      </c>
      <c r="R2039" t="s">
        <v>84</v>
      </c>
      <c r="S2039" t="s">
        <v>85</v>
      </c>
      <c r="T2039">
        <v>2020</v>
      </c>
      <c r="U2039" t="s">
        <v>97</v>
      </c>
    </row>
    <row r="2040" spans="1:21" x14ac:dyDescent="0.35">
      <c r="A2040" s="1">
        <v>46630</v>
      </c>
      <c r="B2040" t="s">
        <v>58</v>
      </c>
      <c r="C2040" t="s">
        <v>59</v>
      </c>
      <c r="D2040" t="s">
        <v>60</v>
      </c>
      <c r="E2040">
        <v>151</v>
      </c>
      <c r="F2040">
        <v>5</v>
      </c>
      <c r="G2040">
        <f t="shared" si="93"/>
        <v>755</v>
      </c>
      <c r="H2040">
        <v>3</v>
      </c>
      <c r="I2040">
        <f t="shared" si="94"/>
        <v>453</v>
      </c>
      <c r="J2040">
        <f t="shared" si="95"/>
        <v>302</v>
      </c>
      <c r="K2040" t="s">
        <v>42</v>
      </c>
      <c r="L2040" t="s">
        <v>63</v>
      </c>
      <c r="M2040" t="s">
        <v>26</v>
      </c>
      <c r="N2040" t="s">
        <v>38</v>
      </c>
      <c r="O2040">
        <v>559</v>
      </c>
      <c r="P2040">
        <v>151</v>
      </c>
      <c r="Q2040" t="s">
        <v>106</v>
      </c>
      <c r="R2040" t="s">
        <v>107</v>
      </c>
      <c r="S2040" t="s">
        <v>108</v>
      </c>
      <c r="T2040">
        <v>2023</v>
      </c>
      <c r="U2040" t="s">
        <v>86</v>
      </c>
    </row>
    <row r="2041" spans="1:21" x14ac:dyDescent="0.35">
      <c r="A2041" s="1">
        <v>46631</v>
      </c>
      <c r="B2041" t="s">
        <v>32</v>
      </c>
      <c r="C2041" t="s">
        <v>33</v>
      </c>
      <c r="D2041" t="s">
        <v>34</v>
      </c>
      <c r="E2041">
        <v>209</v>
      </c>
      <c r="F2041">
        <v>20</v>
      </c>
      <c r="G2041">
        <f t="shared" si="93"/>
        <v>4180</v>
      </c>
      <c r="H2041">
        <v>12</v>
      </c>
      <c r="I2041">
        <f t="shared" si="94"/>
        <v>2508</v>
      </c>
      <c r="J2041">
        <f t="shared" si="95"/>
        <v>1672</v>
      </c>
      <c r="K2041" t="s">
        <v>24</v>
      </c>
      <c r="L2041" t="s">
        <v>63</v>
      </c>
      <c r="M2041" t="s">
        <v>26</v>
      </c>
      <c r="N2041" t="s">
        <v>27</v>
      </c>
      <c r="O2041">
        <v>684</v>
      </c>
      <c r="P2041">
        <v>209</v>
      </c>
      <c r="Q2041" t="s">
        <v>106</v>
      </c>
      <c r="R2041" t="s">
        <v>107</v>
      </c>
      <c r="S2041" t="s">
        <v>108</v>
      </c>
      <c r="T2041">
        <v>2022</v>
      </c>
      <c r="U2041" t="s">
        <v>91</v>
      </c>
    </row>
    <row r="2042" spans="1:21" x14ac:dyDescent="0.35">
      <c r="A2042" s="1">
        <v>46632</v>
      </c>
      <c r="B2042" t="s">
        <v>58</v>
      </c>
      <c r="C2042" t="s">
        <v>59</v>
      </c>
      <c r="D2042" t="s">
        <v>60</v>
      </c>
      <c r="E2042">
        <v>194</v>
      </c>
      <c r="F2042">
        <v>5</v>
      </c>
      <c r="G2042">
        <f t="shared" si="93"/>
        <v>970</v>
      </c>
      <c r="H2042">
        <v>3</v>
      </c>
      <c r="I2042">
        <f t="shared" si="94"/>
        <v>582</v>
      </c>
      <c r="J2042">
        <f t="shared" si="95"/>
        <v>388</v>
      </c>
      <c r="K2042" t="s">
        <v>42</v>
      </c>
      <c r="L2042" t="s">
        <v>25</v>
      </c>
      <c r="M2042" t="s">
        <v>26</v>
      </c>
      <c r="N2042" t="s">
        <v>38</v>
      </c>
      <c r="O2042">
        <v>588</v>
      </c>
      <c r="P2042">
        <v>194</v>
      </c>
      <c r="Q2042" t="s">
        <v>101</v>
      </c>
      <c r="R2042" t="s">
        <v>101</v>
      </c>
      <c r="S2042" t="s">
        <v>102</v>
      </c>
      <c r="T2042">
        <v>2023</v>
      </c>
      <c r="U2042" t="s">
        <v>91</v>
      </c>
    </row>
    <row r="2043" spans="1:21" x14ac:dyDescent="0.35">
      <c r="A2043" s="1">
        <v>46633</v>
      </c>
      <c r="B2043" t="s">
        <v>98</v>
      </c>
      <c r="C2043" t="s">
        <v>99</v>
      </c>
      <c r="D2043" t="s">
        <v>100</v>
      </c>
      <c r="E2043">
        <v>438</v>
      </c>
      <c r="F2043">
        <v>6</v>
      </c>
      <c r="G2043">
        <f t="shared" si="93"/>
        <v>2628</v>
      </c>
      <c r="H2043">
        <v>4</v>
      </c>
      <c r="I2043">
        <f t="shared" si="94"/>
        <v>1752</v>
      </c>
      <c r="J2043">
        <f t="shared" si="95"/>
        <v>876</v>
      </c>
      <c r="K2043" t="s">
        <v>35</v>
      </c>
      <c r="L2043" t="s">
        <v>36</v>
      </c>
      <c r="M2043" t="s">
        <v>37</v>
      </c>
      <c r="N2043" t="s">
        <v>27</v>
      </c>
      <c r="O2043">
        <v>589</v>
      </c>
      <c r="P2043">
        <v>438</v>
      </c>
      <c r="Q2043" t="s">
        <v>54</v>
      </c>
      <c r="R2043" t="s">
        <v>55</v>
      </c>
      <c r="S2043" t="s">
        <v>56</v>
      </c>
      <c r="T2043">
        <v>2020</v>
      </c>
      <c r="U2043" t="s">
        <v>31</v>
      </c>
    </row>
    <row r="2044" spans="1:21" x14ac:dyDescent="0.35">
      <c r="A2044" s="1">
        <v>46634</v>
      </c>
      <c r="B2044" t="s">
        <v>98</v>
      </c>
      <c r="C2044" t="s">
        <v>99</v>
      </c>
      <c r="D2044" t="s">
        <v>100</v>
      </c>
      <c r="E2044">
        <v>426</v>
      </c>
      <c r="F2044">
        <v>6</v>
      </c>
      <c r="G2044">
        <f t="shared" si="93"/>
        <v>2556</v>
      </c>
      <c r="H2044">
        <v>4</v>
      </c>
      <c r="I2044">
        <f t="shared" si="94"/>
        <v>1704</v>
      </c>
      <c r="J2044">
        <f t="shared" si="95"/>
        <v>852</v>
      </c>
      <c r="K2044" t="s">
        <v>42</v>
      </c>
      <c r="L2044" t="s">
        <v>36</v>
      </c>
      <c r="M2044" t="s">
        <v>61</v>
      </c>
      <c r="N2044" t="s">
        <v>38</v>
      </c>
      <c r="O2044">
        <v>768</v>
      </c>
      <c r="P2044">
        <v>426</v>
      </c>
      <c r="Q2044" t="s">
        <v>113</v>
      </c>
      <c r="R2044" t="s">
        <v>114</v>
      </c>
      <c r="S2044" t="s">
        <v>115</v>
      </c>
      <c r="T2044">
        <v>2022</v>
      </c>
      <c r="U2044" t="s">
        <v>109</v>
      </c>
    </row>
    <row r="2045" spans="1:21" x14ac:dyDescent="0.35">
      <c r="A2045" s="1">
        <v>46635</v>
      </c>
      <c r="B2045" t="s">
        <v>21</v>
      </c>
      <c r="C2045" t="s">
        <v>22</v>
      </c>
      <c r="D2045" t="s">
        <v>23</v>
      </c>
      <c r="E2045">
        <v>118</v>
      </c>
      <c r="F2045">
        <v>8</v>
      </c>
      <c r="G2045">
        <f t="shared" si="93"/>
        <v>944</v>
      </c>
      <c r="H2045">
        <v>5</v>
      </c>
      <c r="I2045">
        <f t="shared" si="94"/>
        <v>590</v>
      </c>
      <c r="J2045">
        <f t="shared" si="95"/>
        <v>354</v>
      </c>
      <c r="K2045" t="s">
        <v>35</v>
      </c>
      <c r="L2045" t="s">
        <v>73</v>
      </c>
      <c r="M2045" t="s">
        <v>26</v>
      </c>
      <c r="N2045" t="s">
        <v>38</v>
      </c>
      <c r="O2045">
        <v>786</v>
      </c>
      <c r="P2045">
        <v>118</v>
      </c>
      <c r="Q2045" t="s">
        <v>101</v>
      </c>
      <c r="R2045" t="s">
        <v>101</v>
      </c>
      <c r="S2045" t="s">
        <v>102</v>
      </c>
      <c r="T2045">
        <v>2020</v>
      </c>
      <c r="U2045" t="s">
        <v>62</v>
      </c>
    </row>
    <row r="2046" spans="1:21" x14ac:dyDescent="0.35">
      <c r="A2046" s="1">
        <v>46636</v>
      </c>
      <c r="B2046" t="s">
        <v>80</v>
      </c>
      <c r="C2046" t="s">
        <v>81</v>
      </c>
      <c r="D2046" t="s">
        <v>82</v>
      </c>
      <c r="E2046">
        <v>56</v>
      </c>
      <c r="F2046">
        <v>2.5</v>
      </c>
      <c r="G2046">
        <f t="shared" si="93"/>
        <v>140</v>
      </c>
      <c r="H2046">
        <v>1.5</v>
      </c>
      <c r="I2046">
        <f t="shared" si="94"/>
        <v>84</v>
      </c>
      <c r="J2046">
        <f t="shared" si="95"/>
        <v>56</v>
      </c>
      <c r="K2046" t="s">
        <v>42</v>
      </c>
      <c r="L2046" t="s">
        <v>36</v>
      </c>
      <c r="M2046" t="s">
        <v>37</v>
      </c>
      <c r="N2046" t="s">
        <v>27</v>
      </c>
      <c r="O2046">
        <v>827</v>
      </c>
      <c r="P2046">
        <v>56</v>
      </c>
      <c r="Q2046" t="s">
        <v>94</v>
      </c>
      <c r="R2046" t="s">
        <v>75</v>
      </c>
      <c r="S2046" t="s">
        <v>95</v>
      </c>
      <c r="T2046">
        <v>2024</v>
      </c>
      <c r="U2046" t="s">
        <v>91</v>
      </c>
    </row>
    <row r="2047" spans="1:21" x14ac:dyDescent="0.35">
      <c r="A2047" s="1">
        <v>46637</v>
      </c>
      <c r="B2047" t="s">
        <v>21</v>
      </c>
      <c r="C2047" t="s">
        <v>22</v>
      </c>
      <c r="D2047" t="s">
        <v>23</v>
      </c>
      <c r="E2047">
        <v>431</v>
      </c>
      <c r="F2047">
        <v>8</v>
      </c>
      <c r="G2047">
        <f t="shared" si="93"/>
        <v>3448</v>
      </c>
      <c r="H2047">
        <v>5</v>
      </c>
      <c r="I2047">
        <f t="shared" si="94"/>
        <v>2155</v>
      </c>
      <c r="J2047">
        <f t="shared" si="95"/>
        <v>1293</v>
      </c>
      <c r="K2047" t="s">
        <v>24</v>
      </c>
      <c r="L2047" t="s">
        <v>25</v>
      </c>
      <c r="M2047" t="s">
        <v>37</v>
      </c>
      <c r="N2047" t="s">
        <v>38</v>
      </c>
      <c r="O2047">
        <v>549</v>
      </c>
      <c r="P2047">
        <v>431</v>
      </c>
      <c r="Q2047" t="s">
        <v>113</v>
      </c>
      <c r="R2047" t="s">
        <v>114</v>
      </c>
      <c r="S2047" t="s">
        <v>115</v>
      </c>
      <c r="T2047">
        <v>2023</v>
      </c>
      <c r="U2047" t="s">
        <v>96</v>
      </c>
    </row>
    <row r="2048" spans="1:21" x14ac:dyDescent="0.35">
      <c r="A2048" s="1">
        <v>46638</v>
      </c>
      <c r="B2048" t="s">
        <v>48</v>
      </c>
      <c r="C2048" t="s">
        <v>49</v>
      </c>
      <c r="D2048" t="s">
        <v>50</v>
      </c>
      <c r="E2048">
        <v>460</v>
      </c>
      <c r="F2048">
        <v>150</v>
      </c>
      <c r="G2048">
        <f t="shared" si="93"/>
        <v>69000</v>
      </c>
      <c r="H2048">
        <v>100</v>
      </c>
      <c r="I2048">
        <f t="shared" si="94"/>
        <v>46000</v>
      </c>
      <c r="J2048">
        <f t="shared" si="95"/>
        <v>23000</v>
      </c>
      <c r="K2048" t="s">
        <v>42</v>
      </c>
      <c r="L2048" t="s">
        <v>36</v>
      </c>
      <c r="M2048" t="s">
        <v>26</v>
      </c>
      <c r="N2048" t="s">
        <v>27</v>
      </c>
      <c r="O2048">
        <v>507</v>
      </c>
      <c r="P2048">
        <v>460</v>
      </c>
      <c r="Q2048" t="s">
        <v>101</v>
      </c>
      <c r="R2048" t="s">
        <v>101</v>
      </c>
      <c r="S2048" t="s">
        <v>102</v>
      </c>
      <c r="T2048">
        <v>2022</v>
      </c>
      <c r="U2048" t="s">
        <v>96</v>
      </c>
    </row>
    <row r="2049" spans="1:21" x14ac:dyDescent="0.35">
      <c r="A2049" s="1">
        <v>46639</v>
      </c>
      <c r="B2049" t="s">
        <v>32</v>
      </c>
      <c r="C2049" t="s">
        <v>33</v>
      </c>
      <c r="D2049" t="s">
        <v>34</v>
      </c>
      <c r="E2049">
        <v>370</v>
      </c>
      <c r="F2049">
        <v>20</v>
      </c>
      <c r="G2049">
        <f t="shared" si="93"/>
        <v>7400</v>
      </c>
      <c r="H2049">
        <v>12</v>
      </c>
      <c r="I2049">
        <f t="shared" si="94"/>
        <v>4440</v>
      </c>
      <c r="J2049">
        <f t="shared" si="95"/>
        <v>2960</v>
      </c>
      <c r="K2049" t="s">
        <v>35</v>
      </c>
      <c r="L2049" t="s">
        <v>36</v>
      </c>
      <c r="M2049" t="s">
        <v>26</v>
      </c>
      <c r="N2049" t="s">
        <v>38</v>
      </c>
      <c r="O2049">
        <v>688</v>
      </c>
      <c r="P2049">
        <v>370</v>
      </c>
      <c r="Q2049" t="s">
        <v>28</v>
      </c>
      <c r="R2049" t="s">
        <v>29</v>
      </c>
      <c r="S2049" t="s">
        <v>30</v>
      </c>
      <c r="T2049">
        <v>2022</v>
      </c>
      <c r="U2049" t="s">
        <v>109</v>
      </c>
    </row>
    <row r="2050" spans="1:21" x14ac:dyDescent="0.35">
      <c r="A2050" s="1">
        <v>46640</v>
      </c>
      <c r="B2050" t="s">
        <v>32</v>
      </c>
      <c r="C2050" t="s">
        <v>33</v>
      </c>
      <c r="D2050" t="s">
        <v>34</v>
      </c>
      <c r="E2050">
        <v>227</v>
      </c>
      <c r="F2050">
        <v>20</v>
      </c>
      <c r="G2050">
        <f t="shared" si="93"/>
        <v>4540</v>
      </c>
      <c r="H2050">
        <v>12</v>
      </c>
      <c r="I2050">
        <f t="shared" si="94"/>
        <v>2724</v>
      </c>
      <c r="J2050">
        <f t="shared" si="95"/>
        <v>1816</v>
      </c>
      <c r="K2050" t="s">
        <v>35</v>
      </c>
      <c r="L2050" t="s">
        <v>36</v>
      </c>
      <c r="M2050" t="s">
        <v>61</v>
      </c>
      <c r="N2050" t="s">
        <v>27</v>
      </c>
      <c r="O2050">
        <v>994</v>
      </c>
      <c r="P2050">
        <v>227</v>
      </c>
      <c r="Q2050" t="s">
        <v>87</v>
      </c>
      <c r="R2050" t="s">
        <v>88</v>
      </c>
      <c r="S2050" t="s">
        <v>89</v>
      </c>
      <c r="T2050">
        <v>2023</v>
      </c>
      <c r="U2050" t="s">
        <v>96</v>
      </c>
    </row>
    <row r="2051" spans="1:21" x14ac:dyDescent="0.35">
      <c r="A2051" s="1">
        <v>46641</v>
      </c>
      <c r="B2051" t="s">
        <v>21</v>
      </c>
      <c r="C2051" t="s">
        <v>22</v>
      </c>
      <c r="D2051" t="s">
        <v>23</v>
      </c>
      <c r="E2051">
        <v>287</v>
      </c>
      <c r="F2051">
        <v>8</v>
      </c>
      <c r="G2051">
        <f t="shared" ref="G2051:G2101" si="96">E2051*F2051</f>
        <v>2296</v>
      </c>
      <c r="H2051">
        <v>5</v>
      </c>
      <c r="I2051">
        <f t="shared" ref="I2051:I2101" si="97">E2051*H2051</f>
        <v>1435</v>
      </c>
      <c r="J2051">
        <f t="shared" ref="J2051:J2101" si="98">G2051-I2051</f>
        <v>861</v>
      </c>
      <c r="K2051" t="s">
        <v>42</v>
      </c>
      <c r="L2051" t="s">
        <v>25</v>
      </c>
      <c r="M2051" t="s">
        <v>61</v>
      </c>
      <c r="N2051" t="s">
        <v>38</v>
      </c>
      <c r="O2051">
        <v>682</v>
      </c>
      <c r="P2051">
        <v>287</v>
      </c>
      <c r="Q2051" t="s">
        <v>44</v>
      </c>
      <c r="R2051" t="s">
        <v>45</v>
      </c>
      <c r="S2051" t="s">
        <v>46</v>
      </c>
      <c r="T2051">
        <v>2022</v>
      </c>
      <c r="U2051" t="s">
        <v>66</v>
      </c>
    </row>
    <row r="2052" spans="1:21" x14ac:dyDescent="0.35">
      <c r="A2052" s="1">
        <v>46642</v>
      </c>
      <c r="B2052" t="s">
        <v>98</v>
      </c>
      <c r="C2052" t="s">
        <v>99</v>
      </c>
      <c r="D2052" t="s">
        <v>100</v>
      </c>
      <c r="E2052">
        <v>360</v>
      </c>
      <c r="F2052">
        <v>6</v>
      </c>
      <c r="G2052">
        <f t="shared" si="96"/>
        <v>2160</v>
      </c>
      <c r="H2052">
        <v>4</v>
      </c>
      <c r="I2052">
        <f t="shared" si="97"/>
        <v>1440</v>
      </c>
      <c r="J2052">
        <f t="shared" si="98"/>
        <v>720</v>
      </c>
      <c r="K2052" t="s">
        <v>24</v>
      </c>
      <c r="L2052" t="s">
        <v>36</v>
      </c>
      <c r="M2052" t="s">
        <v>26</v>
      </c>
      <c r="N2052" t="s">
        <v>43</v>
      </c>
      <c r="O2052">
        <v>978</v>
      </c>
      <c r="P2052">
        <v>360</v>
      </c>
      <c r="Q2052" t="s">
        <v>106</v>
      </c>
      <c r="R2052" t="s">
        <v>107</v>
      </c>
      <c r="S2052" t="s">
        <v>108</v>
      </c>
      <c r="T2052">
        <v>2022</v>
      </c>
      <c r="U2052" t="s">
        <v>53</v>
      </c>
    </row>
    <row r="2053" spans="1:21" x14ac:dyDescent="0.35">
      <c r="A2053" s="1">
        <v>46643</v>
      </c>
      <c r="B2053" t="s">
        <v>32</v>
      </c>
      <c r="C2053" t="s">
        <v>33</v>
      </c>
      <c r="D2053" t="s">
        <v>34</v>
      </c>
      <c r="E2053">
        <v>77</v>
      </c>
      <c r="F2053">
        <v>20</v>
      </c>
      <c r="G2053">
        <f t="shared" si="96"/>
        <v>1540</v>
      </c>
      <c r="H2053">
        <v>12</v>
      </c>
      <c r="I2053">
        <f t="shared" si="97"/>
        <v>924</v>
      </c>
      <c r="J2053">
        <f t="shared" si="98"/>
        <v>616</v>
      </c>
      <c r="K2053" t="s">
        <v>24</v>
      </c>
      <c r="L2053" t="s">
        <v>63</v>
      </c>
      <c r="M2053" t="s">
        <v>37</v>
      </c>
      <c r="N2053" t="s">
        <v>27</v>
      </c>
      <c r="O2053">
        <v>854</v>
      </c>
      <c r="P2053">
        <v>77</v>
      </c>
      <c r="Q2053" t="s">
        <v>110</v>
      </c>
      <c r="R2053" t="s">
        <v>111</v>
      </c>
      <c r="S2053" t="s">
        <v>112</v>
      </c>
      <c r="T2053">
        <v>2023</v>
      </c>
      <c r="U2053" t="s">
        <v>91</v>
      </c>
    </row>
    <row r="2054" spans="1:21" x14ac:dyDescent="0.35">
      <c r="A2054" s="1">
        <v>46644</v>
      </c>
      <c r="B2054" t="s">
        <v>32</v>
      </c>
      <c r="C2054" t="s">
        <v>33</v>
      </c>
      <c r="D2054" t="s">
        <v>34</v>
      </c>
      <c r="E2054">
        <v>310</v>
      </c>
      <c r="F2054">
        <v>20</v>
      </c>
      <c r="G2054">
        <f t="shared" si="96"/>
        <v>6200</v>
      </c>
      <c r="H2054">
        <v>12</v>
      </c>
      <c r="I2054">
        <f t="shared" si="97"/>
        <v>3720</v>
      </c>
      <c r="J2054">
        <f t="shared" si="98"/>
        <v>2480</v>
      </c>
      <c r="K2054" t="s">
        <v>24</v>
      </c>
      <c r="L2054" t="s">
        <v>63</v>
      </c>
      <c r="M2054" t="s">
        <v>26</v>
      </c>
      <c r="N2054" t="s">
        <v>43</v>
      </c>
      <c r="O2054">
        <v>980</v>
      </c>
      <c r="P2054">
        <v>310</v>
      </c>
      <c r="Q2054" t="s">
        <v>28</v>
      </c>
      <c r="R2054" t="s">
        <v>29</v>
      </c>
      <c r="S2054" t="s">
        <v>30</v>
      </c>
      <c r="T2054">
        <v>2024</v>
      </c>
      <c r="U2054" t="s">
        <v>86</v>
      </c>
    </row>
    <row r="2055" spans="1:21" x14ac:dyDescent="0.35">
      <c r="A2055" s="1">
        <v>46645</v>
      </c>
      <c r="B2055" t="s">
        <v>98</v>
      </c>
      <c r="C2055" t="s">
        <v>99</v>
      </c>
      <c r="D2055" t="s">
        <v>100</v>
      </c>
      <c r="E2055">
        <v>357</v>
      </c>
      <c r="F2055">
        <v>6</v>
      </c>
      <c r="G2055">
        <f t="shared" si="96"/>
        <v>2142</v>
      </c>
      <c r="H2055">
        <v>4</v>
      </c>
      <c r="I2055">
        <f t="shared" si="97"/>
        <v>1428</v>
      </c>
      <c r="J2055">
        <f t="shared" si="98"/>
        <v>714</v>
      </c>
      <c r="K2055" t="s">
        <v>42</v>
      </c>
      <c r="L2055" t="s">
        <v>73</v>
      </c>
      <c r="M2055" t="s">
        <v>37</v>
      </c>
      <c r="N2055" t="s">
        <v>38</v>
      </c>
      <c r="O2055">
        <v>979</v>
      </c>
      <c r="P2055">
        <v>357</v>
      </c>
      <c r="Q2055" t="s">
        <v>39</v>
      </c>
      <c r="R2055" t="s">
        <v>40</v>
      </c>
      <c r="S2055" t="s">
        <v>41</v>
      </c>
      <c r="T2055">
        <v>2020</v>
      </c>
      <c r="U2055" t="s">
        <v>97</v>
      </c>
    </row>
    <row r="2056" spans="1:21" x14ac:dyDescent="0.35">
      <c r="A2056" s="1">
        <v>46646</v>
      </c>
      <c r="B2056" t="s">
        <v>98</v>
      </c>
      <c r="C2056" t="s">
        <v>99</v>
      </c>
      <c r="D2056" t="s">
        <v>100</v>
      </c>
      <c r="E2056">
        <v>215</v>
      </c>
      <c r="F2056">
        <v>6</v>
      </c>
      <c r="G2056">
        <f t="shared" si="96"/>
        <v>1290</v>
      </c>
      <c r="H2056">
        <v>4</v>
      </c>
      <c r="I2056">
        <f t="shared" si="97"/>
        <v>860</v>
      </c>
      <c r="J2056">
        <f t="shared" si="98"/>
        <v>430</v>
      </c>
      <c r="K2056" t="s">
        <v>42</v>
      </c>
      <c r="L2056" t="s">
        <v>36</v>
      </c>
      <c r="M2056" t="s">
        <v>37</v>
      </c>
      <c r="N2056" t="s">
        <v>27</v>
      </c>
      <c r="O2056">
        <v>585</v>
      </c>
      <c r="P2056">
        <v>215</v>
      </c>
      <c r="Q2056" t="s">
        <v>106</v>
      </c>
      <c r="R2056" t="s">
        <v>107</v>
      </c>
      <c r="S2056" t="s">
        <v>108</v>
      </c>
      <c r="T2056">
        <v>2021</v>
      </c>
      <c r="U2056" t="s">
        <v>86</v>
      </c>
    </row>
    <row r="2057" spans="1:21" x14ac:dyDescent="0.35">
      <c r="A2057" s="1">
        <v>46647</v>
      </c>
      <c r="B2057" t="s">
        <v>21</v>
      </c>
      <c r="C2057" t="s">
        <v>22</v>
      </c>
      <c r="D2057" t="s">
        <v>23</v>
      </c>
      <c r="E2057">
        <v>28</v>
      </c>
      <c r="F2057">
        <v>8</v>
      </c>
      <c r="G2057">
        <f t="shared" si="96"/>
        <v>224</v>
      </c>
      <c r="H2057">
        <v>5</v>
      </c>
      <c r="I2057">
        <f t="shared" si="97"/>
        <v>140</v>
      </c>
      <c r="J2057">
        <f t="shared" si="98"/>
        <v>84</v>
      </c>
      <c r="K2057" t="s">
        <v>24</v>
      </c>
      <c r="L2057" t="s">
        <v>36</v>
      </c>
      <c r="M2057" t="s">
        <v>61</v>
      </c>
      <c r="N2057" t="s">
        <v>38</v>
      </c>
      <c r="O2057">
        <v>871</v>
      </c>
      <c r="P2057">
        <v>28</v>
      </c>
      <c r="Q2057" t="s">
        <v>74</v>
      </c>
      <c r="R2057" t="s">
        <v>75</v>
      </c>
      <c r="S2057" t="s">
        <v>76</v>
      </c>
      <c r="T2057">
        <v>2024</v>
      </c>
      <c r="U2057" t="s">
        <v>47</v>
      </c>
    </row>
    <row r="2058" spans="1:21" x14ac:dyDescent="0.35">
      <c r="A2058" s="1">
        <v>46648</v>
      </c>
      <c r="B2058" t="s">
        <v>48</v>
      </c>
      <c r="C2058" t="s">
        <v>49</v>
      </c>
      <c r="D2058" t="s">
        <v>50</v>
      </c>
      <c r="E2058">
        <v>100</v>
      </c>
      <c r="F2058">
        <v>150</v>
      </c>
      <c r="G2058">
        <f t="shared" si="96"/>
        <v>15000</v>
      </c>
      <c r="H2058">
        <v>100</v>
      </c>
      <c r="I2058">
        <f t="shared" si="97"/>
        <v>10000</v>
      </c>
      <c r="J2058">
        <f t="shared" si="98"/>
        <v>5000</v>
      </c>
      <c r="K2058" t="s">
        <v>35</v>
      </c>
      <c r="L2058" t="s">
        <v>25</v>
      </c>
      <c r="M2058" t="s">
        <v>26</v>
      </c>
      <c r="N2058" t="s">
        <v>43</v>
      </c>
      <c r="O2058">
        <v>879</v>
      </c>
      <c r="P2058">
        <v>100</v>
      </c>
      <c r="Q2058" t="s">
        <v>87</v>
      </c>
      <c r="R2058" t="s">
        <v>88</v>
      </c>
      <c r="S2058" t="s">
        <v>89</v>
      </c>
      <c r="T2058">
        <v>2022</v>
      </c>
      <c r="U2058" t="s">
        <v>91</v>
      </c>
    </row>
    <row r="2059" spans="1:21" x14ac:dyDescent="0.35">
      <c r="A2059" s="1">
        <v>46649</v>
      </c>
      <c r="B2059" t="s">
        <v>80</v>
      </c>
      <c r="C2059" t="s">
        <v>81</v>
      </c>
      <c r="D2059" t="s">
        <v>82</v>
      </c>
      <c r="E2059">
        <v>143</v>
      </c>
      <c r="F2059">
        <v>2.5</v>
      </c>
      <c r="G2059">
        <f t="shared" si="96"/>
        <v>357.5</v>
      </c>
      <c r="H2059">
        <v>1.5</v>
      </c>
      <c r="I2059">
        <f t="shared" si="97"/>
        <v>214.5</v>
      </c>
      <c r="J2059">
        <f t="shared" si="98"/>
        <v>143</v>
      </c>
      <c r="K2059" t="s">
        <v>35</v>
      </c>
      <c r="L2059" t="s">
        <v>36</v>
      </c>
      <c r="M2059" t="s">
        <v>26</v>
      </c>
      <c r="N2059" t="s">
        <v>27</v>
      </c>
      <c r="O2059">
        <v>701</v>
      </c>
      <c r="P2059">
        <v>143</v>
      </c>
      <c r="Q2059" t="s">
        <v>113</v>
      </c>
      <c r="R2059" t="s">
        <v>114</v>
      </c>
      <c r="S2059" t="s">
        <v>115</v>
      </c>
      <c r="T2059">
        <v>2020</v>
      </c>
      <c r="U2059" t="s">
        <v>91</v>
      </c>
    </row>
    <row r="2060" spans="1:21" x14ac:dyDescent="0.35">
      <c r="A2060" s="1">
        <v>46650</v>
      </c>
      <c r="B2060" t="s">
        <v>80</v>
      </c>
      <c r="C2060" t="s">
        <v>81</v>
      </c>
      <c r="D2060" t="s">
        <v>82</v>
      </c>
      <c r="E2060">
        <v>496</v>
      </c>
      <c r="F2060">
        <v>2.5</v>
      </c>
      <c r="G2060">
        <f t="shared" si="96"/>
        <v>1240</v>
      </c>
      <c r="H2060">
        <v>1.5</v>
      </c>
      <c r="I2060">
        <f t="shared" si="97"/>
        <v>744</v>
      </c>
      <c r="J2060">
        <f t="shared" si="98"/>
        <v>496</v>
      </c>
      <c r="K2060" t="s">
        <v>42</v>
      </c>
      <c r="L2060" t="s">
        <v>36</v>
      </c>
      <c r="M2060" t="s">
        <v>37</v>
      </c>
      <c r="N2060" t="s">
        <v>27</v>
      </c>
      <c r="O2060">
        <v>621</v>
      </c>
      <c r="P2060">
        <v>496</v>
      </c>
      <c r="Q2060" t="s">
        <v>90</v>
      </c>
      <c r="R2060" t="s">
        <v>55</v>
      </c>
      <c r="S2060" t="s">
        <v>85</v>
      </c>
      <c r="T2060">
        <v>2021</v>
      </c>
      <c r="U2060" t="s">
        <v>66</v>
      </c>
    </row>
    <row r="2061" spans="1:21" x14ac:dyDescent="0.35">
      <c r="A2061" s="1">
        <v>46651</v>
      </c>
      <c r="B2061" t="s">
        <v>98</v>
      </c>
      <c r="C2061" t="s">
        <v>99</v>
      </c>
      <c r="D2061" t="s">
        <v>100</v>
      </c>
      <c r="E2061">
        <v>25</v>
      </c>
      <c r="F2061">
        <v>6</v>
      </c>
      <c r="G2061">
        <f t="shared" si="96"/>
        <v>150</v>
      </c>
      <c r="H2061">
        <v>4</v>
      </c>
      <c r="I2061">
        <f t="shared" si="97"/>
        <v>100</v>
      </c>
      <c r="J2061">
        <f t="shared" si="98"/>
        <v>50</v>
      </c>
      <c r="K2061" t="s">
        <v>35</v>
      </c>
      <c r="L2061" t="s">
        <v>36</v>
      </c>
      <c r="M2061" t="s">
        <v>61</v>
      </c>
      <c r="N2061" t="s">
        <v>38</v>
      </c>
      <c r="O2061">
        <v>687</v>
      </c>
      <c r="P2061">
        <v>25</v>
      </c>
      <c r="Q2061" t="s">
        <v>44</v>
      </c>
      <c r="R2061" t="s">
        <v>45</v>
      </c>
      <c r="S2061" t="s">
        <v>46</v>
      </c>
      <c r="T2061">
        <v>2024</v>
      </c>
      <c r="U2061" t="s">
        <v>57</v>
      </c>
    </row>
    <row r="2062" spans="1:21" x14ac:dyDescent="0.35">
      <c r="A2062" s="1">
        <v>46652</v>
      </c>
      <c r="B2062" t="s">
        <v>80</v>
      </c>
      <c r="C2062" t="s">
        <v>81</v>
      </c>
      <c r="D2062" t="s">
        <v>82</v>
      </c>
      <c r="E2062">
        <v>455</v>
      </c>
      <c r="F2062">
        <v>2.5</v>
      </c>
      <c r="G2062">
        <f t="shared" si="96"/>
        <v>1137.5</v>
      </c>
      <c r="H2062">
        <v>1.5</v>
      </c>
      <c r="I2062">
        <f t="shared" si="97"/>
        <v>682.5</v>
      </c>
      <c r="J2062">
        <f t="shared" si="98"/>
        <v>455</v>
      </c>
      <c r="K2062" t="s">
        <v>42</v>
      </c>
      <c r="L2062" t="s">
        <v>36</v>
      </c>
      <c r="M2062" t="s">
        <v>37</v>
      </c>
      <c r="N2062" t="s">
        <v>38</v>
      </c>
      <c r="O2062">
        <v>575</v>
      </c>
      <c r="P2062">
        <v>455</v>
      </c>
      <c r="Q2062" t="s">
        <v>70</v>
      </c>
      <c r="R2062" t="s">
        <v>71</v>
      </c>
      <c r="S2062" t="s">
        <v>72</v>
      </c>
      <c r="T2062">
        <v>2020</v>
      </c>
      <c r="U2062" t="s">
        <v>31</v>
      </c>
    </row>
    <row r="2063" spans="1:21" x14ac:dyDescent="0.35">
      <c r="A2063" s="1">
        <v>46653</v>
      </c>
      <c r="B2063" t="s">
        <v>98</v>
      </c>
      <c r="C2063" t="s">
        <v>99</v>
      </c>
      <c r="D2063" t="s">
        <v>100</v>
      </c>
      <c r="E2063">
        <v>471</v>
      </c>
      <c r="F2063">
        <v>6</v>
      </c>
      <c r="G2063">
        <f t="shared" si="96"/>
        <v>2826</v>
      </c>
      <c r="H2063">
        <v>4</v>
      </c>
      <c r="I2063">
        <f t="shared" si="97"/>
        <v>1884</v>
      </c>
      <c r="J2063">
        <f t="shared" si="98"/>
        <v>942</v>
      </c>
      <c r="K2063" t="s">
        <v>42</v>
      </c>
      <c r="L2063" t="s">
        <v>63</v>
      </c>
      <c r="M2063" t="s">
        <v>26</v>
      </c>
      <c r="N2063" t="s">
        <v>43</v>
      </c>
      <c r="O2063">
        <v>535</v>
      </c>
      <c r="P2063">
        <v>471</v>
      </c>
      <c r="Q2063" t="s">
        <v>70</v>
      </c>
      <c r="R2063" t="s">
        <v>71</v>
      </c>
      <c r="S2063" t="s">
        <v>72</v>
      </c>
      <c r="T2063">
        <v>2020</v>
      </c>
      <c r="U2063" t="s">
        <v>86</v>
      </c>
    </row>
    <row r="2064" spans="1:21" x14ac:dyDescent="0.35">
      <c r="A2064" s="1">
        <v>46654</v>
      </c>
      <c r="B2064" t="s">
        <v>98</v>
      </c>
      <c r="C2064" t="s">
        <v>99</v>
      </c>
      <c r="D2064" t="s">
        <v>100</v>
      </c>
      <c r="E2064">
        <v>89</v>
      </c>
      <c r="F2064">
        <v>6</v>
      </c>
      <c r="G2064">
        <f t="shared" si="96"/>
        <v>534</v>
      </c>
      <c r="H2064">
        <v>4</v>
      </c>
      <c r="I2064">
        <f t="shared" si="97"/>
        <v>356</v>
      </c>
      <c r="J2064">
        <f t="shared" si="98"/>
        <v>178</v>
      </c>
      <c r="K2064" t="s">
        <v>35</v>
      </c>
      <c r="L2064" t="s">
        <v>63</v>
      </c>
      <c r="M2064" t="s">
        <v>37</v>
      </c>
      <c r="N2064" t="s">
        <v>38</v>
      </c>
      <c r="O2064">
        <v>950</v>
      </c>
      <c r="P2064">
        <v>89</v>
      </c>
      <c r="Q2064" t="s">
        <v>54</v>
      </c>
      <c r="R2064" t="s">
        <v>55</v>
      </c>
      <c r="S2064" t="s">
        <v>56</v>
      </c>
      <c r="T2064">
        <v>2024</v>
      </c>
      <c r="U2064" t="s">
        <v>57</v>
      </c>
    </row>
    <row r="2065" spans="1:21" x14ac:dyDescent="0.35">
      <c r="A2065" s="1">
        <v>46655</v>
      </c>
      <c r="B2065" t="s">
        <v>58</v>
      </c>
      <c r="C2065" t="s">
        <v>59</v>
      </c>
      <c r="D2065" t="s">
        <v>60</v>
      </c>
      <c r="E2065">
        <v>47</v>
      </c>
      <c r="F2065">
        <v>5</v>
      </c>
      <c r="G2065">
        <f t="shared" si="96"/>
        <v>235</v>
      </c>
      <c r="H2065">
        <v>3</v>
      </c>
      <c r="I2065">
        <f t="shared" si="97"/>
        <v>141</v>
      </c>
      <c r="J2065">
        <f t="shared" si="98"/>
        <v>94</v>
      </c>
      <c r="K2065" t="s">
        <v>24</v>
      </c>
      <c r="L2065" t="s">
        <v>36</v>
      </c>
      <c r="M2065" t="s">
        <v>37</v>
      </c>
      <c r="N2065" t="s">
        <v>43</v>
      </c>
      <c r="O2065">
        <v>769</v>
      </c>
      <c r="P2065">
        <v>47</v>
      </c>
      <c r="Q2065" t="s">
        <v>54</v>
      </c>
      <c r="R2065" t="s">
        <v>55</v>
      </c>
      <c r="S2065" t="s">
        <v>56</v>
      </c>
      <c r="T2065">
        <v>2022</v>
      </c>
      <c r="U2065" t="s">
        <v>96</v>
      </c>
    </row>
    <row r="2066" spans="1:21" x14ac:dyDescent="0.35">
      <c r="A2066" s="1">
        <v>46656</v>
      </c>
      <c r="B2066" t="s">
        <v>32</v>
      </c>
      <c r="C2066" t="s">
        <v>33</v>
      </c>
      <c r="D2066" t="s">
        <v>34</v>
      </c>
      <c r="E2066">
        <v>21</v>
      </c>
      <c r="F2066">
        <v>20</v>
      </c>
      <c r="G2066">
        <f t="shared" si="96"/>
        <v>420</v>
      </c>
      <c r="H2066">
        <v>12</v>
      </c>
      <c r="I2066">
        <f t="shared" si="97"/>
        <v>252</v>
      </c>
      <c r="J2066">
        <f t="shared" si="98"/>
        <v>168</v>
      </c>
      <c r="K2066" t="s">
        <v>35</v>
      </c>
      <c r="L2066" t="s">
        <v>25</v>
      </c>
      <c r="M2066" t="s">
        <v>26</v>
      </c>
      <c r="N2066" t="s">
        <v>43</v>
      </c>
      <c r="O2066">
        <v>765</v>
      </c>
      <c r="P2066">
        <v>21</v>
      </c>
      <c r="Q2066" t="s">
        <v>101</v>
      </c>
      <c r="R2066" t="s">
        <v>101</v>
      </c>
      <c r="S2066" t="s">
        <v>102</v>
      </c>
      <c r="T2066">
        <v>2020</v>
      </c>
      <c r="U2066" t="s">
        <v>31</v>
      </c>
    </row>
    <row r="2067" spans="1:21" x14ac:dyDescent="0.35">
      <c r="A2067" s="1">
        <v>46657</v>
      </c>
      <c r="B2067" t="s">
        <v>32</v>
      </c>
      <c r="C2067" t="s">
        <v>33</v>
      </c>
      <c r="D2067" t="s">
        <v>34</v>
      </c>
      <c r="E2067">
        <v>66</v>
      </c>
      <c r="F2067">
        <v>20</v>
      </c>
      <c r="G2067">
        <f t="shared" si="96"/>
        <v>1320</v>
      </c>
      <c r="H2067">
        <v>12</v>
      </c>
      <c r="I2067">
        <f t="shared" si="97"/>
        <v>792</v>
      </c>
      <c r="J2067">
        <f t="shared" si="98"/>
        <v>528</v>
      </c>
      <c r="K2067" t="s">
        <v>35</v>
      </c>
      <c r="L2067" t="s">
        <v>25</v>
      </c>
      <c r="M2067" t="s">
        <v>26</v>
      </c>
      <c r="N2067" t="s">
        <v>38</v>
      </c>
      <c r="O2067">
        <v>568</v>
      </c>
      <c r="P2067">
        <v>66</v>
      </c>
      <c r="Q2067" t="s">
        <v>110</v>
      </c>
      <c r="R2067" t="s">
        <v>111</v>
      </c>
      <c r="S2067" t="s">
        <v>112</v>
      </c>
      <c r="T2067">
        <v>2021</v>
      </c>
      <c r="U2067" t="s">
        <v>109</v>
      </c>
    </row>
    <row r="2068" spans="1:21" x14ac:dyDescent="0.35">
      <c r="A2068" s="1">
        <v>46658</v>
      </c>
      <c r="B2068" t="s">
        <v>80</v>
      </c>
      <c r="C2068" t="s">
        <v>81</v>
      </c>
      <c r="D2068" t="s">
        <v>82</v>
      </c>
      <c r="E2068">
        <v>183</v>
      </c>
      <c r="F2068">
        <v>2.5</v>
      </c>
      <c r="G2068">
        <f t="shared" si="96"/>
        <v>457.5</v>
      </c>
      <c r="H2068">
        <v>1.5</v>
      </c>
      <c r="I2068">
        <f t="shared" si="97"/>
        <v>274.5</v>
      </c>
      <c r="J2068">
        <f t="shared" si="98"/>
        <v>183</v>
      </c>
      <c r="K2068" t="s">
        <v>42</v>
      </c>
      <c r="L2068" t="s">
        <v>63</v>
      </c>
      <c r="M2068" t="s">
        <v>61</v>
      </c>
      <c r="N2068" t="s">
        <v>27</v>
      </c>
      <c r="O2068">
        <v>942</v>
      </c>
      <c r="P2068">
        <v>183</v>
      </c>
      <c r="Q2068" t="s">
        <v>51</v>
      </c>
      <c r="R2068" t="s">
        <v>45</v>
      </c>
      <c r="S2068" t="s">
        <v>52</v>
      </c>
      <c r="T2068">
        <v>2020</v>
      </c>
      <c r="U2068" t="s">
        <v>62</v>
      </c>
    </row>
    <row r="2069" spans="1:21" x14ac:dyDescent="0.35">
      <c r="A2069" s="1">
        <v>46659</v>
      </c>
      <c r="B2069" t="s">
        <v>98</v>
      </c>
      <c r="C2069" t="s">
        <v>99</v>
      </c>
      <c r="D2069" t="s">
        <v>100</v>
      </c>
      <c r="E2069">
        <v>279</v>
      </c>
      <c r="F2069">
        <v>6</v>
      </c>
      <c r="G2069">
        <f t="shared" si="96"/>
        <v>1674</v>
      </c>
      <c r="H2069">
        <v>4</v>
      </c>
      <c r="I2069">
        <f t="shared" si="97"/>
        <v>1116</v>
      </c>
      <c r="J2069">
        <f t="shared" si="98"/>
        <v>558</v>
      </c>
      <c r="K2069" t="s">
        <v>35</v>
      </c>
      <c r="L2069" t="s">
        <v>36</v>
      </c>
      <c r="M2069" t="s">
        <v>61</v>
      </c>
      <c r="N2069" t="s">
        <v>38</v>
      </c>
      <c r="O2069">
        <v>913</v>
      </c>
      <c r="P2069">
        <v>279</v>
      </c>
      <c r="Q2069" t="s">
        <v>54</v>
      </c>
      <c r="R2069" t="s">
        <v>55</v>
      </c>
      <c r="S2069" t="s">
        <v>56</v>
      </c>
      <c r="T2069">
        <v>2021</v>
      </c>
      <c r="U2069" t="s">
        <v>91</v>
      </c>
    </row>
    <row r="2070" spans="1:21" x14ac:dyDescent="0.35">
      <c r="A2070" s="1">
        <v>46660</v>
      </c>
      <c r="B2070" t="s">
        <v>32</v>
      </c>
      <c r="C2070" t="s">
        <v>33</v>
      </c>
      <c r="D2070" t="s">
        <v>34</v>
      </c>
      <c r="E2070">
        <v>164</v>
      </c>
      <c r="F2070">
        <v>20</v>
      </c>
      <c r="G2070">
        <f t="shared" si="96"/>
        <v>3280</v>
      </c>
      <c r="H2070">
        <v>12</v>
      </c>
      <c r="I2070">
        <f t="shared" si="97"/>
        <v>1968</v>
      </c>
      <c r="J2070">
        <f t="shared" si="98"/>
        <v>1312</v>
      </c>
      <c r="K2070" t="s">
        <v>42</v>
      </c>
      <c r="L2070" t="s">
        <v>73</v>
      </c>
      <c r="M2070" t="s">
        <v>26</v>
      </c>
      <c r="N2070" t="s">
        <v>38</v>
      </c>
      <c r="O2070">
        <v>912</v>
      </c>
      <c r="P2070">
        <v>164</v>
      </c>
      <c r="Q2070" t="s">
        <v>67</v>
      </c>
      <c r="R2070" t="s">
        <v>68</v>
      </c>
      <c r="S2070" t="s">
        <v>69</v>
      </c>
      <c r="T2070">
        <v>2022</v>
      </c>
      <c r="U2070" t="s">
        <v>66</v>
      </c>
    </row>
    <row r="2071" spans="1:21" x14ac:dyDescent="0.35">
      <c r="A2071" s="1">
        <v>46661</v>
      </c>
      <c r="B2071" t="s">
        <v>58</v>
      </c>
      <c r="C2071" t="s">
        <v>59</v>
      </c>
      <c r="D2071" t="s">
        <v>60</v>
      </c>
      <c r="E2071">
        <v>318</v>
      </c>
      <c r="F2071">
        <v>5</v>
      </c>
      <c r="G2071">
        <f t="shared" si="96"/>
        <v>1590</v>
      </c>
      <c r="H2071">
        <v>3</v>
      </c>
      <c r="I2071">
        <f t="shared" si="97"/>
        <v>954</v>
      </c>
      <c r="J2071">
        <f t="shared" si="98"/>
        <v>636</v>
      </c>
      <c r="K2071" t="s">
        <v>42</v>
      </c>
      <c r="L2071" t="s">
        <v>73</v>
      </c>
      <c r="M2071" t="s">
        <v>61</v>
      </c>
      <c r="N2071" t="s">
        <v>27</v>
      </c>
      <c r="O2071">
        <v>995</v>
      </c>
      <c r="P2071">
        <v>318</v>
      </c>
      <c r="Q2071" t="s">
        <v>101</v>
      </c>
      <c r="R2071" t="s">
        <v>101</v>
      </c>
      <c r="S2071" t="s">
        <v>102</v>
      </c>
      <c r="T2071">
        <v>2023</v>
      </c>
      <c r="U2071" t="s">
        <v>109</v>
      </c>
    </row>
    <row r="2072" spans="1:21" x14ac:dyDescent="0.35">
      <c r="A2072" s="1">
        <v>46662</v>
      </c>
      <c r="B2072" t="s">
        <v>48</v>
      </c>
      <c r="C2072" t="s">
        <v>49</v>
      </c>
      <c r="D2072" t="s">
        <v>50</v>
      </c>
      <c r="E2072">
        <v>87</v>
      </c>
      <c r="F2072">
        <v>150</v>
      </c>
      <c r="G2072">
        <f t="shared" si="96"/>
        <v>13050</v>
      </c>
      <c r="H2072">
        <v>100</v>
      </c>
      <c r="I2072">
        <f t="shared" si="97"/>
        <v>8700</v>
      </c>
      <c r="J2072">
        <f t="shared" si="98"/>
        <v>4350</v>
      </c>
      <c r="K2072" t="s">
        <v>24</v>
      </c>
      <c r="L2072" t="s">
        <v>36</v>
      </c>
      <c r="M2072" t="s">
        <v>37</v>
      </c>
      <c r="N2072" t="s">
        <v>38</v>
      </c>
      <c r="O2072">
        <v>772</v>
      </c>
      <c r="P2072">
        <v>87</v>
      </c>
      <c r="Q2072" t="s">
        <v>101</v>
      </c>
      <c r="R2072" t="s">
        <v>101</v>
      </c>
      <c r="S2072" t="s">
        <v>102</v>
      </c>
      <c r="T2072">
        <v>2024</v>
      </c>
      <c r="U2072" t="s">
        <v>109</v>
      </c>
    </row>
    <row r="2073" spans="1:21" x14ac:dyDescent="0.35">
      <c r="A2073" s="1">
        <v>46663</v>
      </c>
      <c r="B2073" t="s">
        <v>80</v>
      </c>
      <c r="C2073" t="s">
        <v>81</v>
      </c>
      <c r="D2073" t="s">
        <v>82</v>
      </c>
      <c r="E2073">
        <v>498</v>
      </c>
      <c r="F2073">
        <v>2.5</v>
      </c>
      <c r="G2073">
        <f t="shared" si="96"/>
        <v>1245</v>
      </c>
      <c r="H2073">
        <v>1.5</v>
      </c>
      <c r="I2073">
        <f t="shared" si="97"/>
        <v>747</v>
      </c>
      <c r="J2073">
        <f t="shared" si="98"/>
        <v>498</v>
      </c>
      <c r="K2073" t="s">
        <v>42</v>
      </c>
      <c r="L2073" t="s">
        <v>25</v>
      </c>
      <c r="M2073" t="s">
        <v>26</v>
      </c>
      <c r="N2073" t="s">
        <v>38</v>
      </c>
      <c r="O2073">
        <v>610</v>
      </c>
      <c r="P2073">
        <v>498</v>
      </c>
      <c r="Q2073" t="s">
        <v>90</v>
      </c>
      <c r="R2073" t="s">
        <v>55</v>
      </c>
      <c r="S2073" t="s">
        <v>85</v>
      </c>
      <c r="T2073">
        <v>2023</v>
      </c>
      <c r="U2073" t="s">
        <v>105</v>
      </c>
    </row>
    <row r="2074" spans="1:21" x14ac:dyDescent="0.35">
      <c r="A2074" s="1">
        <v>46664</v>
      </c>
      <c r="B2074" t="s">
        <v>98</v>
      </c>
      <c r="C2074" t="s">
        <v>99</v>
      </c>
      <c r="D2074" t="s">
        <v>100</v>
      </c>
      <c r="E2074">
        <v>45</v>
      </c>
      <c r="F2074">
        <v>6</v>
      </c>
      <c r="G2074">
        <f t="shared" si="96"/>
        <v>270</v>
      </c>
      <c r="H2074">
        <v>4</v>
      </c>
      <c r="I2074">
        <f t="shared" si="97"/>
        <v>180</v>
      </c>
      <c r="J2074">
        <f t="shared" si="98"/>
        <v>90</v>
      </c>
      <c r="K2074" t="s">
        <v>42</v>
      </c>
      <c r="L2074" t="s">
        <v>73</v>
      </c>
      <c r="M2074" t="s">
        <v>61</v>
      </c>
      <c r="N2074" t="s">
        <v>27</v>
      </c>
      <c r="O2074">
        <v>956</v>
      </c>
      <c r="P2074">
        <v>45</v>
      </c>
      <c r="Q2074" t="s">
        <v>64</v>
      </c>
      <c r="R2074" t="s">
        <v>29</v>
      </c>
      <c r="S2074" t="s">
        <v>65</v>
      </c>
      <c r="T2074">
        <v>2021</v>
      </c>
      <c r="U2074" t="s">
        <v>105</v>
      </c>
    </row>
    <row r="2075" spans="1:21" x14ac:dyDescent="0.35">
      <c r="A2075" s="1">
        <v>46665</v>
      </c>
      <c r="B2075" t="s">
        <v>48</v>
      </c>
      <c r="C2075" t="s">
        <v>49</v>
      </c>
      <c r="D2075" t="s">
        <v>50</v>
      </c>
      <c r="E2075">
        <v>118</v>
      </c>
      <c r="F2075">
        <v>150</v>
      </c>
      <c r="G2075">
        <f t="shared" si="96"/>
        <v>17700</v>
      </c>
      <c r="H2075">
        <v>100</v>
      </c>
      <c r="I2075">
        <f t="shared" si="97"/>
        <v>11800</v>
      </c>
      <c r="J2075">
        <f t="shared" si="98"/>
        <v>5900</v>
      </c>
      <c r="K2075" t="s">
        <v>35</v>
      </c>
      <c r="L2075" t="s">
        <v>73</v>
      </c>
      <c r="M2075" t="s">
        <v>61</v>
      </c>
      <c r="N2075" t="s">
        <v>38</v>
      </c>
      <c r="O2075">
        <v>707</v>
      </c>
      <c r="P2075">
        <v>118</v>
      </c>
      <c r="Q2075" t="s">
        <v>94</v>
      </c>
      <c r="R2075" t="s">
        <v>75</v>
      </c>
      <c r="S2075" t="s">
        <v>95</v>
      </c>
      <c r="T2075">
        <v>2021</v>
      </c>
      <c r="U2075" t="s">
        <v>91</v>
      </c>
    </row>
    <row r="2076" spans="1:21" x14ac:dyDescent="0.35">
      <c r="A2076" s="1">
        <v>46666</v>
      </c>
      <c r="B2076" t="s">
        <v>80</v>
      </c>
      <c r="C2076" t="s">
        <v>81</v>
      </c>
      <c r="D2076" t="s">
        <v>82</v>
      </c>
      <c r="E2076">
        <v>413</v>
      </c>
      <c r="F2076">
        <v>2.5</v>
      </c>
      <c r="G2076">
        <f t="shared" si="96"/>
        <v>1032.5</v>
      </c>
      <c r="H2076">
        <v>1.5</v>
      </c>
      <c r="I2076">
        <f t="shared" si="97"/>
        <v>619.5</v>
      </c>
      <c r="J2076">
        <f t="shared" si="98"/>
        <v>413</v>
      </c>
      <c r="K2076" t="s">
        <v>42</v>
      </c>
      <c r="L2076" t="s">
        <v>36</v>
      </c>
      <c r="M2076" t="s">
        <v>37</v>
      </c>
      <c r="N2076" t="s">
        <v>43</v>
      </c>
      <c r="O2076">
        <v>531</v>
      </c>
      <c r="P2076">
        <v>413</v>
      </c>
      <c r="Q2076" t="s">
        <v>54</v>
      </c>
      <c r="R2076" t="s">
        <v>55</v>
      </c>
      <c r="S2076" t="s">
        <v>56</v>
      </c>
      <c r="T2076">
        <v>2021</v>
      </c>
      <c r="U2076" t="s">
        <v>47</v>
      </c>
    </row>
    <row r="2077" spans="1:21" x14ac:dyDescent="0.35">
      <c r="A2077" s="1">
        <v>46667</v>
      </c>
      <c r="B2077" t="s">
        <v>58</v>
      </c>
      <c r="C2077" t="s">
        <v>59</v>
      </c>
      <c r="D2077" t="s">
        <v>60</v>
      </c>
      <c r="E2077">
        <v>139</v>
      </c>
      <c r="F2077">
        <v>5</v>
      </c>
      <c r="G2077">
        <f t="shared" si="96"/>
        <v>695</v>
      </c>
      <c r="H2077">
        <v>3</v>
      </c>
      <c r="I2077">
        <f t="shared" si="97"/>
        <v>417</v>
      </c>
      <c r="J2077">
        <f t="shared" si="98"/>
        <v>278</v>
      </c>
      <c r="K2077" t="s">
        <v>42</v>
      </c>
      <c r="L2077" t="s">
        <v>63</v>
      </c>
      <c r="M2077" t="s">
        <v>37</v>
      </c>
      <c r="N2077" t="s">
        <v>43</v>
      </c>
      <c r="O2077">
        <v>890</v>
      </c>
      <c r="P2077">
        <v>139</v>
      </c>
      <c r="Q2077" t="s">
        <v>94</v>
      </c>
      <c r="R2077" t="s">
        <v>75</v>
      </c>
      <c r="S2077" t="s">
        <v>95</v>
      </c>
      <c r="T2077">
        <v>2021</v>
      </c>
      <c r="U2077" t="s">
        <v>62</v>
      </c>
    </row>
    <row r="2078" spans="1:21" x14ac:dyDescent="0.35">
      <c r="A2078" s="1">
        <v>46668</v>
      </c>
      <c r="B2078" t="s">
        <v>48</v>
      </c>
      <c r="C2078" t="s">
        <v>49</v>
      </c>
      <c r="D2078" t="s">
        <v>50</v>
      </c>
      <c r="E2078">
        <v>21</v>
      </c>
      <c r="F2078">
        <v>150</v>
      </c>
      <c r="G2078">
        <f t="shared" si="96"/>
        <v>3150</v>
      </c>
      <c r="H2078">
        <v>100</v>
      </c>
      <c r="I2078">
        <f t="shared" si="97"/>
        <v>2100</v>
      </c>
      <c r="J2078">
        <f t="shared" si="98"/>
        <v>1050</v>
      </c>
      <c r="K2078" t="s">
        <v>42</v>
      </c>
      <c r="L2078" t="s">
        <v>36</v>
      </c>
      <c r="M2078" t="s">
        <v>37</v>
      </c>
      <c r="N2078" t="s">
        <v>43</v>
      </c>
      <c r="O2078">
        <v>972</v>
      </c>
      <c r="P2078">
        <v>21</v>
      </c>
      <c r="Q2078" t="s">
        <v>87</v>
      </c>
      <c r="R2078" t="s">
        <v>88</v>
      </c>
      <c r="S2078" t="s">
        <v>89</v>
      </c>
      <c r="T2078">
        <v>2020</v>
      </c>
      <c r="U2078" t="s">
        <v>105</v>
      </c>
    </row>
    <row r="2079" spans="1:21" x14ac:dyDescent="0.35">
      <c r="A2079" s="1">
        <v>46669</v>
      </c>
      <c r="B2079" t="s">
        <v>98</v>
      </c>
      <c r="C2079" t="s">
        <v>99</v>
      </c>
      <c r="D2079" t="s">
        <v>100</v>
      </c>
      <c r="E2079">
        <v>473</v>
      </c>
      <c r="F2079">
        <v>6</v>
      </c>
      <c r="G2079">
        <f t="shared" si="96"/>
        <v>2838</v>
      </c>
      <c r="H2079">
        <v>4</v>
      </c>
      <c r="I2079">
        <f t="shared" si="97"/>
        <v>1892</v>
      </c>
      <c r="J2079">
        <f t="shared" si="98"/>
        <v>946</v>
      </c>
      <c r="K2079" t="s">
        <v>42</v>
      </c>
      <c r="L2079" t="s">
        <v>73</v>
      </c>
      <c r="M2079" t="s">
        <v>61</v>
      </c>
      <c r="N2079" t="s">
        <v>27</v>
      </c>
      <c r="O2079">
        <v>942</v>
      </c>
      <c r="P2079">
        <v>473</v>
      </c>
      <c r="Q2079" t="s">
        <v>54</v>
      </c>
      <c r="R2079" t="s">
        <v>55</v>
      </c>
      <c r="S2079" t="s">
        <v>56</v>
      </c>
      <c r="T2079">
        <v>2021</v>
      </c>
      <c r="U2079" t="s">
        <v>91</v>
      </c>
    </row>
    <row r="2080" spans="1:21" x14ac:dyDescent="0.35">
      <c r="A2080" s="1">
        <v>46670</v>
      </c>
      <c r="B2080" t="s">
        <v>58</v>
      </c>
      <c r="C2080" t="s">
        <v>59</v>
      </c>
      <c r="D2080" t="s">
        <v>60</v>
      </c>
      <c r="E2080">
        <v>425</v>
      </c>
      <c r="F2080">
        <v>5</v>
      </c>
      <c r="G2080">
        <f t="shared" si="96"/>
        <v>2125</v>
      </c>
      <c r="H2080">
        <v>3</v>
      </c>
      <c r="I2080">
        <f t="shared" si="97"/>
        <v>1275</v>
      </c>
      <c r="J2080">
        <f t="shared" si="98"/>
        <v>850</v>
      </c>
      <c r="K2080" t="s">
        <v>42</v>
      </c>
      <c r="L2080" t="s">
        <v>63</v>
      </c>
      <c r="M2080" t="s">
        <v>26</v>
      </c>
      <c r="N2080" t="s">
        <v>38</v>
      </c>
      <c r="O2080">
        <v>791</v>
      </c>
      <c r="P2080">
        <v>425</v>
      </c>
      <c r="Q2080" t="s">
        <v>83</v>
      </c>
      <c r="R2080" t="s">
        <v>84</v>
      </c>
      <c r="S2080" t="s">
        <v>85</v>
      </c>
      <c r="T2080">
        <v>2021</v>
      </c>
      <c r="U2080" t="s">
        <v>109</v>
      </c>
    </row>
    <row r="2081" spans="1:21" x14ac:dyDescent="0.35">
      <c r="A2081" s="1">
        <v>46671</v>
      </c>
      <c r="B2081" t="s">
        <v>80</v>
      </c>
      <c r="C2081" t="s">
        <v>81</v>
      </c>
      <c r="D2081" t="s">
        <v>82</v>
      </c>
      <c r="E2081">
        <v>271</v>
      </c>
      <c r="F2081">
        <v>2.5</v>
      </c>
      <c r="G2081">
        <f t="shared" si="96"/>
        <v>677.5</v>
      </c>
      <c r="H2081">
        <v>1.5</v>
      </c>
      <c r="I2081">
        <f t="shared" si="97"/>
        <v>406.5</v>
      </c>
      <c r="J2081">
        <f t="shared" si="98"/>
        <v>271</v>
      </c>
      <c r="K2081" t="s">
        <v>35</v>
      </c>
      <c r="L2081" t="s">
        <v>73</v>
      </c>
      <c r="M2081" t="s">
        <v>37</v>
      </c>
      <c r="N2081" t="s">
        <v>38</v>
      </c>
      <c r="O2081">
        <v>514</v>
      </c>
      <c r="P2081">
        <v>271</v>
      </c>
      <c r="Q2081" t="s">
        <v>106</v>
      </c>
      <c r="R2081" t="s">
        <v>107</v>
      </c>
      <c r="S2081" t="s">
        <v>108</v>
      </c>
      <c r="T2081">
        <v>2021</v>
      </c>
      <c r="U2081" t="s">
        <v>109</v>
      </c>
    </row>
    <row r="2082" spans="1:21" x14ac:dyDescent="0.35">
      <c r="A2082" s="1">
        <v>46672</v>
      </c>
      <c r="B2082" t="s">
        <v>32</v>
      </c>
      <c r="C2082" t="s">
        <v>33</v>
      </c>
      <c r="D2082" t="s">
        <v>34</v>
      </c>
      <c r="E2082">
        <v>142</v>
      </c>
      <c r="F2082">
        <v>20</v>
      </c>
      <c r="G2082">
        <f t="shared" si="96"/>
        <v>2840</v>
      </c>
      <c r="H2082">
        <v>12</v>
      </c>
      <c r="I2082">
        <f t="shared" si="97"/>
        <v>1704</v>
      </c>
      <c r="J2082">
        <f t="shared" si="98"/>
        <v>1136</v>
      </c>
      <c r="K2082" t="s">
        <v>42</v>
      </c>
      <c r="L2082" t="s">
        <v>63</v>
      </c>
      <c r="M2082" t="s">
        <v>37</v>
      </c>
      <c r="N2082" t="s">
        <v>38</v>
      </c>
      <c r="O2082">
        <v>822</v>
      </c>
      <c r="P2082">
        <v>142</v>
      </c>
      <c r="Q2082" t="s">
        <v>74</v>
      </c>
      <c r="R2082" t="s">
        <v>75</v>
      </c>
      <c r="S2082" t="s">
        <v>76</v>
      </c>
      <c r="T2082">
        <v>2022</v>
      </c>
      <c r="U2082" t="s">
        <v>86</v>
      </c>
    </row>
    <row r="2083" spans="1:21" x14ac:dyDescent="0.35">
      <c r="A2083" s="1">
        <v>46673</v>
      </c>
      <c r="B2083" t="s">
        <v>21</v>
      </c>
      <c r="C2083" t="s">
        <v>22</v>
      </c>
      <c r="D2083" t="s">
        <v>23</v>
      </c>
      <c r="E2083">
        <v>272</v>
      </c>
      <c r="F2083">
        <v>8</v>
      </c>
      <c r="G2083">
        <f t="shared" si="96"/>
        <v>2176</v>
      </c>
      <c r="H2083">
        <v>5</v>
      </c>
      <c r="I2083">
        <f t="shared" si="97"/>
        <v>1360</v>
      </c>
      <c r="J2083">
        <f t="shared" si="98"/>
        <v>816</v>
      </c>
      <c r="K2083" t="s">
        <v>42</v>
      </c>
      <c r="L2083" t="s">
        <v>73</v>
      </c>
      <c r="M2083" t="s">
        <v>61</v>
      </c>
      <c r="N2083" t="s">
        <v>43</v>
      </c>
      <c r="O2083">
        <v>519</v>
      </c>
      <c r="P2083">
        <v>272</v>
      </c>
      <c r="Q2083" t="s">
        <v>94</v>
      </c>
      <c r="R2083" t="s">
        <v>75</v>
      </c>
      <c r="S2083" t="s">
        <v>95</v>
      </c>
      <c r="T2083">
        <v>2022</v>
      </c>
      <c r="U2083" t="s">
        <v>97</v>
      </c>
    </row>
    <row r="2084" spans="1:21" x14ac:dyDescent="0.35">
      <c r="A2084" s="1">
        <v>46674</v>
      </c>
      <c r="B2084" t="s">
        <v>80</v>
      </c>
      <c r="C2084" t="s">
        <v>81</v>
      </c>
      <c r="D2084" t="s">
        <v>82</v>
      </c>
      <c r="E2084">
        <v>70</v>
      </c>
      <c r="F2084">
        <v>2.5</v>
      </c>
      <c r="G2084">
        <f t="shared" si="96"/>
        <v>175</v>
      </c>
      <c r="H2084">
        <v>1.5</v>
      </c>
      <c r="I2084">
        <f t="shared" si="97"/>
        <v>105</v>
      </c>
      <c r="J2084">
        <f t="shared" si="98"/>
        <v>70</v>
      </c>
      <c r="K2084" t="s">
        <v>24</v>
      </c>
      <c r="L2084" t="s">
        <v>73</v>
      </c>
      <c r="M2084" t="s">
        <v>37</v>
      </c>
      <c r="N2084" t="s">
        <v>43</v>
      </c>
      <c r="O2084">
        <v>658</v>
      </c>
      <c r="P2084">
        <v>70</v>
      </c>
      <c r="Q2084" t="s">
        <v>28</v>
      </c>
      <c r="R2084" t="s">
        <v>29</v>
      </c>
      <c r="S2084" t="s">
        <v>30</v>
      </c>
      <c r="T2084">
        <v>2022</v>
      </c>
      <c r="U2084" t="s">
        <v>91</v>
      </c>
    </row>
    <row r="2085" spans="1:21" x14ac:dyDescent="0.35">
      <c r="A2085" s="1">
        <v>46675</v>
      </c>
      <c r="B2085" t="s">
        <v>58</v>
      </c>
      <c r="C2085" t="s">
        <v>59</v>
      </c>
      <c r="D2085" t="s">
        <v>60</v>
      </c>
      <c r="E2085">
        <v>124</v>
      </c>
      <c r="F2085">
        <v>5</v>
      </c>
      <c r="G2085">
        <f t="shared" si="96"/>
        <v>620</v>
      </c>
      <c r="H2085">
        <v>3</v>
      </c>
      <c r="I2085">
        <f t="shared" si="97"/>
        <v>372</v>
      </c>
      <c r="J2085">
        <f t="shared" si="98"/>
        <v>248</v>
      </c>
      <c r="K2085" t="s">
        <v>35</v>
      </c>
      <c r="L2085" t="s">
        <v>25</v>
      </c>
      <c r="M2085" t="s">
        <v>37</v>
      </c>
      <c r="N2085" t="s">
        <v>43</v>
      </c>
      <c r="O2085">
        <v>593</v>
      </c>
      <c r="P2085">
        <v>124</v>
      </c>
      <c r="Q2085" t="s">
        <v>101</v>
      </c>
      <c r="R2085" t="s">
        <v>101</v>
      </c>
      <c r="S2085" t="s">
        <v>102</v>
      </c>
      <c r="T2085">
        <v>2020</v>
      </c>
      <c r="U2085" t="s">
        <v>109</v>
      </c>
    </row>
    <row r="2086" spans="1:21" x14ac:dyDescent="0.35">
      <c r="A2086" s="1">
        <v>46676</v>
      </c>
      <c r="B2086" t="s">
        <v>98</v>
      </c>
      <c r="C2086" t="s">
        <v>99</v>
      </c>
      <c r="D2086" t="s">
        <v>100</v>
      </c>
      <c r="E2086">
        <v>257</v>
      </c>
      <c r="F2086">
        <v>6</v>
      </c>
      <c r="G2086">
        <f t="shared" si="96"/>
        <v>1542</v>
      </c>
      <c r="H2086">
        <v>4</v>
      </c>
      <c r="I2086">
        <f t="shared" si="97"/>
        <v>1028</v>
      </c>
      <c r="J2086">
        <f t="shared" si="98"/>
        <v>514</v>
      </c>
      <c r="K2086" t="s">
        <v>24</v>
      </c>
      <c r="L2086" t="s">
        <v>73</v>
      </c>
      <c r="M2086" t="s">
        <v>26</v>
      </c>
      <c r="N2086" t="s">
        <v>43</v>
      </c>
      <c r="O2086">
        <v>567</v>
      </c>
      <c r="P2086">
        <v>257</v>
      </c>
      <c r="Q2086" t="s">
        <v>44</v>
      </c>
      <c r="R2086" t="s">
        <v>45</v>
      </c>
      <c r="S2086" t="s">
        <v>46</v>
      </c>
      <c r="T2086">
        <v>2021</v>
      </c>
      <c r="U2086" t="s">
        <v>62</v>
      </c>
    </row>
    <row r="2087" spans="1:21" x14ac:dyDescent="0.35">
      <c r="A2087" s="1">
        <v>46677</v>
      </c>
      <c r="B2087" t="s">
        <v>98</v>
      </c>
      <c r="C2087" t="s">
        <v>99</v>
      </c>
      <c r="D2087" t="s">
        <v>100</v>
      </c>
      <c r="E2087">
        <v>240</v>
      </c>
      <c r="F2087">
        <v>6</v>
      </c>
      <c r="G2087">
        <f t="shared" si="96"/>
        <v>1440</v>
      </c>
      <c r="H2087">
        <v>4</v>
      </c>
      <c r="I2087">
        <f t="shared" si="97"/>
        <v>960</v>
      </c>
      <c r="J2087">
        <f t="shared" si="98"/>
        <v>480</v>
      </c>
      <c r="K2087" t="s">
        <v>24</v>
      </c>
      <c r="L2087" t="s">
        <v>36</v>
      </c>
      <c r="M2087" t="s">
        <v>26</v>
      </c>
      <c r="N2087" t="s">
        <v>27</v>
      </c>
      <c r="O2087">
        <v>615</v>
      </c>
      <c r="P2087">
        <v>240</v>
      </c>
      <c r="Q2087" t="s">
        <v>101</v>
      </c>
      <c r="R2087" t="s">
        <v>101</v>
      </c>
      <c r="S2087" t="s">
        <v>102</v>
      </c>
      <c r="T2087">
        <v>2024</v>
      </c>
      <c r="U2087" t="s">
        <v>31</v>
      </c>
    </row>
    <row r="2088" spans="1:21" x14ac:dyDescent="0.35">
      <c r="A2088" s="1">
        <v>46678</v>
      </c>
      <c r="B2088" t="s">
        <v>58</v>
      </c>
      <c r="C2088" t="s">
        <v>59</v>
      </c>
      <c r="D2088" t="s">
        <v>60</v>
      </c>
      <c r="E2088">
        <v>215</v>
      </c>
      <c r="F2088">
        <v>5</v>
      </c>
      <c r="G2088">
        <f t="shared" si="96"/>
        <v>1075</v>
      </c>
      <c r="H2088">
        <v>3</v>
      </c>
      <c r="I2088">
        <f t="shared" si="97"/>
        <v>645</v>
      </c>
      <c r="J2088">
        <f t="shared" si="98"/>
        <v>430</v>
      </c>
      <c r="K2088" t="s">
        <v>42</v>
      </c>
      <c r="L2088" t="s">
        <v>25</v>
      </c>
      <c r="M2088" t="s">
        <v>37</v>
      </c>
      <c r="N2088" t="s">
        <v>43</v>
      </c>
      <c r="O2088">
        <v>527</v>
      </c>
      <c r="P2088">
        <v>215</v>
      </c>
      <c r="Q2088" t="s">
        <v>106</v>
      </c>
      <c r="R2088" t="s">
        <v>107</v>
      </c>
      <c r="S2088" t="s">
        <v>108</v>
      </c>
      <c r="T2088">
        <v>2022</v>
      </c>
      <c r="U2088" t="s">
        <v>47</v>
      </c>
    </row>
    <row r="2089" spans="1:21" x14ac:dyDescent="0.35">
      <c r="A2089" s="1">
        <v>46679</v>
      </c>
      <c r="B2089" t="s">
        <v>32</v>
      </c>
      <c r="C2089" t="s">
        <v>33</v>
      </c>
      <c r="D2089" t="s">
        <v>34</v>
      </c>
      <c r="E2089">
        <v>379</v>
      </c>
      <c r="F2089">
        <v>20</v>
      </c>
      <c r="G2089">
        <f t="shared" si="96"/>
        <v>7580</v>
      </c>
      <c r="H2089">
        <v>12</v>
      </c>
      <c r="I2089">
        <f t="shared" si="97"/>
        <v>4548</v>
      </c>
      <c r="J2089">
        <f t="shared" si="98"/>
        <v>3032</v>
      </c>
      <c r="K2089" t="s">
        <v>24</v>
      </c>
      <c r="L2089" t="s">
        <v>63</v>
      </c>
      <c r="M2089" t="s">
        <v>37</v>
      </c>
      <c r="N2089" t="s">
        <v>27</v>
      </c>
      <c r="O2089">
        <v>836</v>
      </c>
      <c r="P2089">
        <v>379</v>
      </c>
      <c r="Q2089" t="s">
        <v>51</v>
      </c>
      <c r="R2089" t="s">
        <v>45</v>
      </c>
      <c r="S2089" t="s">
        <v>52</v>
      </c>
      <c r="T2089">
        <v>2023</v>
      </c>
      <c r="U2089" t="s">
        <v>105</v>
      </c>
    </row>
    <row r="2090" spans="1:21" x14ac:dyDescent="0.35">
      <c r="A2090" s="1">
        <v>46680</v>
      </c>
      <c r="B2090" t="s">
        <v>48</v>
      </c>
      <c r="C2090" t="s">
        <v>49</v>
      </c>
      <c r="D2090" t="s">
        <v>50</v>
      </c>
      <c r="E2090">
        <v>356</v>
      </c>
      <c r="F2090">
        <v>150</v>
      </c>
      <c r="G2090">
        <f t="shared" si="96"/>
        <v>53400</v>
      </c>
      <c r="H2090">
        <v>100</v>
      </c>
      <c r="I2090">
        <f t="shared" si="97"/>
        <v>35600</v>
      </c>
      <c r="J2090">
        <f t="shared" si="98"/>
        <v>17800</v>
      </c>
      <c r="K2090" t="s">
        <v>42</v>
      </c>
      <c r="L2090" t="s">
        <v>73</v>
      </c>
      <c r="M2090" t="s">
        <v>61</v>
      </c>
      <c r="N2090" t="s">
        <v>38</v>
      </c>
      <c r="O2090">
        <v>917</v>
      </c>
      <c r="P2090">
        <v>356</v>
      </c>
      <c r="Q2090" t="s">
        <v>110</v>
      </c>
      <c r="R2090" t="s">
        <v>111</v>
      </c>
      <c r="S2090" t="s">
        <v>112</v>
      </c>
      <c r="T2090">
        <v>2024</v>
      </c>
      <c r="U2090" t="s">
        <v>105</v>
      </c>
    </row>
    <row r="2091" spans="1:21" x14ac:dyDescent="0.35">
      <c r="A2091" s="1">
        <v>46681</v>
      </c>
      <c r="B2091" t="s">
        <v>58</v>
      </c>
      <c r="C2091" t="s">
        <v>59</v>
      </c>
      <c r="D2091" t="s">
        <v>60</v>
      </c>
      <c r="E2091">
        <v>18</v>
      </c>
      <c r="F2091">
        <v>5</v>
      </c>
      <c r="G2091">
        <f t="shared" si="96"/>
        <v>90</v>
      </c>
      <c r="H2091">
        <v>3</v>
      </c>
      <c r="I2091">
        <f t="shared" si="97"/>
        <v>54</v>
      </c>
      <c r="J2091">
        <f t="shared" si="98"/>
        <v>36</v>
      </c>
      <c r="K2091" t="s">
        <v>24</v>
      </c>
      <c r="L2091" t="s">
        <v>36</v>
      </c>
      <c r="M2091" t="s">
        <v>26</v>
      </c>
      <c r="N2091" t="s">
        <v>27</v>
      </c>
      <c r="O2091">
        <v>979</v>
      </c>
      <c r="P2091">
        <v>18</v>
      </c>
      <c r="Q2091" t="s">
        <v>51</v>
      </c>
      <c r="R2091" t="s">
        <v>45</v>
      </c>
      <c r="S2091" t="s">
        <v>52</v>
      </c>
      <c r="T2091">
        <v>2020</v>
      </c>
      <c r="U2091" t="s">
        <v>91</v>
      </c>
    </row>
    <row r="2092" spans="1:21" x14ac:dyDescent="0.35">
      <c r="A2092" s="1">
        <v>46682</v>
      </c>
      <c r="B2092" t="s">
        <v>32</v>
      </c>
      <c r="C2092" t="s">
        <v>33</v>
      </c>
      <c r="D2092" t="s">
        <v>34</v>
      </c>
      <c r="E2092">
        <v>362</v>
      </c>
      <c r="F2092">
        <v>20</v>
      </c>
      <c r="G2092">
        <f t="shared" si="96"/>
        <v>7240</v>
      </c>
      <c r="H2092">
        <v>12</v>
      </c>
      <c r="I2092">
        <f t="shared" si="97"/>
        <v>4344</v>
      </c>
      <c r="J2092">
        <f t="shared" si="98"/>
        <v>2896</v>
      </c>
      <c r="K2092" t="s">
        <v>35</v>
      </c>
      <c r="L2092" t="s">
        <v>36</v>
      </c>
      <c r="M2092" t="s">
        <v>26</v>
      </c>
      <c r="N2092" t="s">
        <v>27</v>
      </c>
      <c r="O2092">
        <v>599</v>
      </c>
      <c r="P2092">
        <v>362</v>
      </c>
      <c r="Q2092" t="s">
        <v>94</v>
      </c>
      <c r="R2092" t="s">
        <v>75</v>
      </c>
      <c r="S2092" t="s">
        <v>95</v>
      </c>
      <c r="T2092">
        <v>2024</v>
      </c>
      <c r="U2092" t="s">
        <v>109</v>
      </c>
    </row>
    <row r="2093" spans="1:21" x14ac:dyDescent="0.35">
      <c r="A2093" s="1">
        <v>46683</v>
      </c>
      <c r="B2093" t="s">
        <v>21</v>
      </c>
      <c r="C2093" t="s">
        <v>22</v>
      </c>
      <c r="D2093" t="s">
        <v>23</v>
      </c>
      <c r="E2093">
        <v>87</v>
      </c>
      <c r="F2093">
        <v>8</v>
      </c>
      <c r="G2093">
        <f t="shared" si="96"/>
        <v>696</v>
      </c>
      <c r="H2093">
        <v>5</v>
      </c>
      <c r="I2093">
        <f t="shared" si="97"/>
        <v>435</v>
      </c>
      <c r="J2093">
        <f t="shared" si="98"/>
        <v>261</v>
      </c>
      <c r="K2093" t="s">
        <v>24</v>
      </c>
      <c r="L2093" t="s">
        <v>25</v>
      </c>
      <c r="M2093" t="s">
        <v>37</v>
      </c>
      <c r="N2093" t="s">
        <v>38</v>
      </c>
      <c r="O2093">
        <v>720</v>
      </c>
      <c r="P2093">
        <v>87</v>
      </c>
      <c r="Q2093" t="s">
        <v>70</v>
      </c>
      <c r="R2093" t="s">
        <v>71</v>
      </c>
      <c r="S2093" t="s">
        <v>72</v>
      </c>
      <c r="T2093">
        <v>2023</v>
      </c>
      <c r="U2093" t="s">
        <v>105</v>
      </c>
    </row>
    <row r="2094" spans="1:21" x14ac:dyDescent="0.35">
      <c r="A2094" s="1">
        <v>46684</v>
      </c>
      <c r="B2094" t="s">
        <v>98</v>
      </c>
      <c r="C2094" t="s">
        <v>99</v>
      </c>
      <c r="D2094" t="s">
        <v>100</v>
      </c>
      <c r="E2094">
        <v>52</v>
      </c>
      <c r="F2094">
        <v>6</v>
      </c>
      <c r="G2094">
        <f t="shared" si="96"/>
        <v>312</v>
      </c>
      <c r="H2094">
        <v>4</v>
      </c>
      <c r="I2094">
        <f t="shared" si="97"/>
        <v>208</v>
      </c>
      <c r="J2094">
        <f t="shared" si="98"/>
        <v>104</v>
      </c>
      <c r="K2094" t="s">
        <v>42</v>
      </c>
      <c r="L2094" t="s">
        <v>36</v>
      </c>
      <c r="M2094" t="s">
        <v>37</v>
      </c>
      <c r="N2094" t="s">
        <v>38</v>
      </c>
      <c r="O2094">
        <v>524</v>
      </c>
      <c r="P2094">
        <v>52</v>
      </c>
      <c r="Q2094" t="s">
        <v>101</v>
      </c>
      <c r="R2094" t="s">
        <v>101</v>
      </c>
      <c r="S2094" t="s">
        <v>102</v>
      </c>
      <c r="T2094">
        <v>2024</v>
      </c>
      <c r="U2094" t="s">
        <v>62</v>
      </c>
    </row>
    <row r="2095" spans="1:21" x14ac:dyDescent="0.35">
      <c r="A2095" s="1">
        <v>46685</v>
      </c>
      <c r="B2095" t="s">
        <v>48</v>
      </c>
      <c r="C2095" t="s">
        <v>49</v>
      </c>
      <c r="D2095" t="s">
        <v>50</v>
      </c>
      <c r="E2095">
        <v>308</v>
      </c>
      <c r="F2095">
        <v>150</v>
      </c>
      <c r="G2095">
        <f t="shared" si="96"/>
        <v>46200</v>
      </c>
      <c r="H2095">
        <v>100</v>
      </c>
      <c r="I2095">
        <f t="shared" si="97"/>
        <v>30800</v>
      </c>
      <c r="J2095">
        <f t="shared" si="98"/>
        <v>15400</v>
      </c>
      <c r="K2095" t="s">
        <v>24</v>
      </c>
      <c r="L2095" t="s">
        <v>36</v>
      </c>
      <c r="M2095" t="s">
        <v>61</v>
      </c>
      <c r="N2095" t="s">
        <v>27</v>
      </c>
      <c r="O2095">
        <v>897</v>
      </c>
      <c r="P2095">
        <v>308</v>
      </c>
      <c r="Q2095" t="s">
        <v>101</v>
      </c>
      <c r="R2095" t="s">
        <v>101</v>
      </c>
      <c r="S2095" t="s">
        <v>102</v>
      </c>
      <c r="T2095">
        <v>2021</v>
      </c>
      <c r="U2095" t="s">
        <v>109</v>
      </c>
    </row>
    <row r="2096" spans="1:21" x14ac:dyDescent="0.35">
      <c r="A2096" s="1">
        <v>46686</v>
      </c>
      <c r="B2096" t="s">
        <v>48</v>
      </c>
      <c r="C2096" t="s">
        <v>49</v>
      </c>
      <c r="D2096" t="s">
        <v>50</v>
      </c>
      <c r="E2096">
        <v>336</v>
      </c>
      <c r="F2096">
        <v>150</v>
      </c>
      <c r="G2096">
        <f t="shared" si="96"/>
        <v>50400</v>
      </c>
      <c r="H2096">
        <v>100</v>
      </c>
      <c r="I2096">
        <f t="shared" si="97"/>
        <v>33600</v>
      </c>
      <c r="J2096">
        <f t="shared" si="98"/>
        <v>16800</v>
      </c>
      <c r="K2096" t="s">
        <v>42</v>
      </c>
      <c r="L2096" t="s">
        <v>73</v>
      </c>
      <c r="M2096" t="s">
        <v>26</v>
      </c>
      <c r="N2096" t="s">
        <v>43</v>
      </c>
      <c r="O2096">
        <v>935</v>
      </c>
      <c r="P2096">
        <v>336</v>
      </c>
      <c r="Q2096" t="s">
        <v>64</v>
      </c>
      <c r="R2096" t="s">
        <v>29</v>
      </c>
      <c r="S2096" t="s">
        <v>65</v>
      </c>
      <c r="T2096">
        <v>2022</v>
      </c>
      <c r="U2096" t="s">
        <v>105</v>
      </c>
    </row>
    <row r="2097" spans="1:21" x14ac:dyDescent="0.35">
      <c r="A2097" s="1">
        <v>46687</v>
      </c>
      <c r="B2097" t="s">
        <v>32</v>
      </c>
      <c r="C2097" t="s">
        <v>33</v>
      </c>
      <c r="D2097" t="s">
        <v>34</v>
      </c>
      <c r="E2097">
        <v>462</v>
      </c>
      <c r="F2097">
        <v>20</v>
      </c>
      <c r="G2097">
        <f t="shared" si="96"/>
        <v>9240</v>
      </c>
      <c r="H2097">
        <v>12</v>
      </c>
      <c r="I2097">
        <f t="shared" si="97"/>
        <v>5544</v>
      </c>
      <c r="J2097">
        <f t="shared" si="98"/>
        <v>3696</v>
      </c>
      <c r="K2097" t="s">
        <v>42</v>
      </c>
      <c r="L2097" t="s">
        <v>63</v>
      </c>
      <c r="M2097" t="s">
        <v>61</v>
      </c>
      <c r="N2097" t="s">
        <v>38</v>
      </c>
      <c r="O2097">
        <v>789</v>
      </c>
      <c r="P2097">
        <v>462</v>
      </c>
      <c r="Q2097" t="s">
        <v>39</v>
      </c>
      <c r="R2097" t="s">
        <v>40</v>
      </c>
      <c r="S2097" t="s">
        <v>41</v>
      </c>
      <c r="T2097">
        <v>2023</v>
      </c>
      <c r="U2097" t="s">
        <v>105</v>
      </c>
    </row>
    <row r="2098" spans="1:21" x14ac:dyDescent="0.35">
      <c r="A2098" s="1">
        <v>46688</v>
      </c>
      <c r="B2098" t="s">
        <v>21</v>
      </c>
      <c r="C2098" t="s">
        <v>22</v>
      </c>
      <c r="D2098" t="s">
        <v>23</v>
      </c>
      <c r="E2098">
        <v>243</v>
      </c>
      <c r="F2098">
        <v>8</v>
      </c>
      <c r="G2098">
        <f t="shared" si="96"/>
        <v>1944</v>
      </c>
      <c r="H2098">
        <v>5</v>
      </c>
      <c r="I2098">
        <f t="shared" si="97"/>
        <v>1215</v>
      </c>
      <c r="J2098">
        <f t="shared" si="98"/>
        <v>729</v>
      </c>
      <c r="K2098" t="s">
        <v>35</v>
      </c>
      <c r="L2098" t="s">
        <v>36</v>
      </c>
      <c r="M2098" t="s">
        <v>37</v>
      </c>
      <c r="N2098" t="s">
        <v>38</v>
      </c>
      <c r="O2098">
        <v>889</v>
      </c>
      <c r="P2098">
        <v>243</v>
      </c>
      <c r="Q2098" t="s">
        <v>113</v>
      </c>
      <c r="R2098" t="s">
        <v>114</v>
      </c>
      <c r="S2098" t="s">
        <v>115</v>
      </c>
      <c r="T2098">
        <v>2021</v>
      </c>
      <c r="U2098" t="s">
        <v>97</v>
      </c>
    </row>
    <row r="2099" spans="1:21" x14ac:dyDescent="0.35">
      <c r="A2099" s="1">
        <v>46689</v>
      </c>
      <c r="B2099" t="s">
        <v>58</v>
      </c>
      <c r="C2099" t="s">
        <v>59</v>
      </c>
      <c r="D2099" t="s">
        <v>60</v>
      </c>
      <c r="E2099">
        <v>270</v>
      </c>
      <c r="F2099">
        <v>5</v>
      </c>
      <c r="G2099">
        <f t="shared" si="96"/>
        <v>1350</v>
      </c>
      <c r="H2099">
        <v>3</v>
      </c>
      <c r="I2099">
        <f t="shared" si="97"/>
        <v>810</v>
      </c>
      <c r="J2099">
        <f t="shared" si="98"/>
        <v>540</v>
      </c>
      <c r="K2099" t="s">
        <v>24</v>
      </c>
      <c r="L2099" t="s">
        <v>73</v>
      </c>
      <c r="M2099" t="s">
        <v>26</v>
      </c>
      <c r="N2099" t="s">
        <v>27</v>
      </c>
      <c r="O2099">
        <v>965</v>
      </c>
      <c r="P2099">
        <v>270</v>
      </c>
      <c r="Q2099" t="s">
        <v>94</v>
      </c>
      <c r="R2099" t="s">
        <v>75</v>
      </c>
      <c r="S2099" t="s">
        <v>95</v>
      </c>
      <c r="T2099">
        <v>2021</v>
      </c>
      <c r="U2099" t="s">
        <v>97</v>
      </c>
    </row>
    <row r="2100" spans="1:21" x14ac:dyDescent="0.35">
      <c r="A2100" s="1">
        <v>46690</v>
      </c>
      <c r="B2100" t="s">
        <v>58</v>
      </c>
      <c r="C2100" t="s">
        <v>59</v>
      </c>
      <c r="D2100" t="s">
        <v>60</v>
      </c>
      <c r="E2100">
        <v>203</v>
      </c>
      <c r="F2100">
        <v>5</v>
      </c>
      <c r="G2100">
        <f t="shared" si="96"/>
        <v>1015</v>
      </c>
      <c r="H2100">
        <v>3</v>
      </c>
      <c r="I2100">
        <f t="shared" si="97"/>
        <v>609</v>
      </c>
      <c r="J2100">
        <f t="shared" si="98"/>
        <v>406</v>
      </c>
      <c r="K2100" t="s">
        <v>35</v>
      </c>
      <c r="L2100" t="s">
        <v>36</v>
      </c>
      <c r="M2100" t="s">
        <v>26</v>
      </c>
      <c r="N2100" t="s">
        <v>27</v>
      </c>
      <c r="O2100">
        <v>895</v>
      </c>
      <c r="P2100">
        <v>203</v>
      </c>
      <c r="Q2100" t="s">
        <v>64</v>
      </c>
      <c r="R2100" t="s">
        <v>29</v>
      </c>
      <c r="S2100" t="s">
        <v>65</v>
      </c>
      <c r="T2100">
        <v>2021</v>
      </c>
      <c r="U2100" t="s">
        <v>66</v>
      </c>
    </row>
    <row r="2101" spans="1:21" x14ac:dyDescent="0.35">
      <c r="A2101" s="1">
        <v>46691</v>
      </c>
      <c r="B2101" t="s">
        <v>58</v>
      </c>
      <c r="C2101" t="s">
        <v>59</v>
      </c>
      <c r="D2101" t="s">
        <v>60</v>
      </c>
      <c r="E2101">
        <v>227</v>
      </c>
      <c r="F2101">
        <v>5</v>
      </c>
      <c r="G2101">
        <f t="shared" si="96"/>
        <v>1135</v>
      </c>
      <c r="H2101">
        <v>3</v>
      </c>
      <c r="I2101">
        <f t="shared" si="97"/>
        <v>681</v>
      </c>
      <c r="J2101">
        <f t="shared" si="98"/>
        <v>454</v>
      </c>
      <c r="K2101" t="s">
        <v>42</v>
      </c>
      <c r="L2101" t="s">
        <v>73</v>
      </c>
      <c r="M2101" t="s">
        <v>37</v>
      </c>
      <c r="N2101" t="s">
        <v>38</v>
      </c>
      <c r="O2101">
        <v>934</v>
      </c>
      <c r="P2101">
        <v>227</v>
      </c>
      <c r="Q2101" t="s">
        <v>101</v>
      </c>
      <c r="R2101" t="s">
        <v>101</v>
      </c>
      <c r="S2101" t="s">
        <v>102</v>
      </c>
      <c r="T2101">
        <v>2021</v>
      </c>
      <c r="U2101" t="s">
        <v>66</v>
      </c>
    </row>
    <row r="2102" spans="1:21" x14ac:dyDescent="0.35">
      <c r="G2102">
        <f>SUM(G2:G2101)</f>
        <v>16789227.5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E6D59-47BA-4F60-996A-58E9A9C39DC2}">
  <dimension ref="A1:Z50"/>
  <sheetViews>
    <sheetView showGridLines="0" tabSelected="1" zoomScale="75" zoomScaleNormal="81" workbookViewId="0">
      <selection activeCell="M33" sqref="M33"/>
    </sheetView>
  </sheetViews>
  <sheetFormatPr defaultRowHeight="14.5" x14ac:dyDescent="0.35"/>
  <sheetData>
    <row r="1" spans="1:26" x14ac:dyDescent="0.35">
      <c r="A1" s="7"/>
      <c r="B1" s="7"/>
      <c r="C1" s="7"/>
      <c r="D1" s="7"/>
      <c r="E1" s="7"/>
      <c r="F1" s="7"/>
      <c r="G1" s="7"/>
      <c r="H1" s="7"/>
      <c r="I1" s="7"/>
      <c r="J1" s="7"/>
      <c r="K1" s="7"/>
      <c r="L1" s="7"/>
      <c r="M1" s="7"/>
      <c r="N1" s="7"/>
      <c r="O1" s="7"/>
      <c r="P1" s="7"/>
      <c r="Q1" s="7"/>
      <c r="R1" s="7"/>
      <c r="S1" s="7"/>
      <c r="T1" s="7"/>
      <c r="U1" s="7"/>
      <c r="V1" s="7"/>
      <c r="W1" s="7"/>
      <c r="X1" s="7"/>
      <c r="Y1" s="7"/>
      <c r="Z1" s="7"/>
    </row>
    <row r="2" spans="1:26" x14ac:dyDescent="0.35">
      <c r="A2" s="7"/>
      <c r="B2" s="7"/>
      <c r="C2" s="7"/>
      <c r="D2" s="7"/>
      <c r="E2" s="7"/>
      <c r="F2" s="7"/>
      <c r="G2" s="7"/>
      <c r="H2" s="7"/>
      <c r="I2" s="7"/>
      <c r="J2" s="7"/>
      <c r="K2" s="7"/>
      <c r="L2" s="7"/>
      <c r="M2" s="7"/>
      <c r="N2" s="7"/>
      <c r="O2" s="7"/>
      <c r="P2" s="7"/>
      <c r="Q2" s="7"/>
      <c r="R2" s="7"/>
      <c r="S2" s="7"/>
      <c r="T2" s="7"/>
      <c r="U2" s="7"/>
      <c r="V2" s="7"/>
      <c r="W2" s="7"/>
      <c r="X2" s="7"/>
      <c r="Y2" s="7"/>
      <c r="Z2" s="7"/>
    </row>
    <row r="3" spans="1:26" x14ac:dyDescent="0.35">
      <c r="A3" s="7"/>
      <c r="B3" s="7"/>
      <c r="C3" s="7"/>
      <c r="D3" s="7"/>
      <c r="E3" s="7"/>
      <c r="F3" s="7"/>
      <c r="G3" s="7"/>
      <c r="H3" s="7"/>
      <c r="I3" s="7"/>
      <c r="J3" s="7"/>
      <c r="K3" s="7"/>
      <c r="L3" s="7"/>
      <c r="M3" s="7"/>
      <c r="N3" s="7"/>
      <c r="O3" s="7"/>
      <c r="P3" s="7"/>
      <c r="Q3" s="7"/>
      <c r="R3" s="7"/>
      <c r="S3" s="7"/>
      <c r="T3" s="7"/>
      <c r="U3" s="7"/>
      <c r="V3" s="7"/>
      <c r="W3" s="7"/>
      <c r="X3" s="7"/>
      <c r="Y3" s="7"/>
      <c r="Z3" s="7"/>
    </row>
    <row r="4" spans="1:26" x14ac:dyDescent="0.35">
      <c r="A4" s="7"/>
      <c r="B4" s="7"/>
      <c r="C4" s="7"/>
      <c r="D4" s="7"/>
      <c r="E4" s="7"/>
      <c r="F4" s="7"/>
      <c r="G4" s="7"/>
      <c r="H4" s="7"/>
      <c r="I4" s="7"/>
      <c r="J4" s="7"/>
      <c r="K4" s="7"/>
      <c r="L4" s="7"/>
      <c r="M4" s="7"/>
      <c r="N4" s="7"/>
      <c r="O4" s="7"/>
      <c r="P4" s="7"/>
      <c r="Q4" s="7"/>
      <c r="R4" s="7"/>
      <c r="S4" s="7"/>
      <c r="T4" s="7"/>
      <c r="U4" s="7"/>
      <c r="V4" s="7"/>
      <c r="W4" s="7"/>
      <c r="X4" s="7"/>
      <c r="Y4" s="7"/>
      <c r="Z4" s="7"/>
    </row>
    <row r="5" spans="1:26" x14ac:dyDescent="0.35">
      <c r="A5" s="7"/>
      <c r="B5" s="7"/>
      <c r="C5" s="7"/>
      <c r="D5" s="7"/>
      <c r="E5" s="7"/>
      <c r="F5" s="7"/>
      <c r="G5" s="7"/>
      <c r="H5" s="7"/>
      <c r="I5" s="7"/>
      <c r="J5" s="7"/>
      <c r="K5" s="7"/>
      <c r="L5" s="7"/>
      <c r="M5" s="7"/>
      <c r="N5" s="7"/>
      <c r="O5" s="7"/>
      <c r="P5" s="7"/>
      <c r="Q5" s="7"/>
      <c r="R5" s="7"/>
      <c r="S5" s="7"/>
      <c r="T5" s="7"/>
      <c r="U5" s="7"/>
      <c r="V5" s="7"/>
      <c r="W5" s="7"/>
      <c r="X5" s="7"/>
      <c r="Y5" s="7"/>
      <c r="Z5" s="7"/>
    </row>
    <row r="6" spans="1:26" x14ac:dyDescent="0.35">
      <c r="A6" s="7"/>
      <c r="B6" s="7"/>
      <c r="C6" s="7"/>
      <c r="D6" s="7"/>
      <c r="E6" s="7"/>
      <c r="F6" s="7"/>
      <c r="G6" s="7"/>
      <c r="H6" s="7"/>
      <c r="I6" s="7"/>
      <c r="J6" s="7"/>
      <c r="K6" s="7"/>
      <c r="L6" s="7"/>
      <c r="M6" s="7"/>
      <c r="N6" s="7"/>
      <c r="O6" s="7"/>
      <c r="P6" s="7"/>
      <c r="Q6" s="7"/>
      <c r="R6" s="7"/>
      <c r="S6" s="7"/>
      <c r="T6" s="7"/>
      <c r="U6" s="7"/>
      <c r="V6" s="7"/>
      <c r="W6" s="7"/>
      <c r="X6" s="7"/>
      <c r="Y6" s="7"/>
      <c r="Z6" s="7"/>
    </row>
    <row r="7" spans="1:26" x14ac:dyDescent="0.35">
      <c r="A7" s="7"/>
      <c r="B7" s="7"/>
      <c r="C7" s="7"/>
      <c r="D7" s="7"/>
      <c r="E7" s="7"/>
      <c r="F7" s="7"/>
      <c r="G7" s="7"/>
      <c r="H7" s="7"/>
      <c r="I7" s="7"/>
      <c r="J7" s="7"/>
      <c r="K7" s="7"/>
      <c r="L7" s="7"/>
      <c r="M7" s="7"/>
      <c r="N7" s="7"/>
      <c r="O7" s="7"/>
      <c r="P7" s="7"/>
      <c r="Q7" s="7"/>
      <c r="R7" s="7"/>
      <c r="S7" s="7"/>
      <c r="T7" s="7"/>
      <c r="U7" s="7"/>
      <c r="V7" s="7"/>
      <c r="W7" s="7"/>
      <c r="X7" s="7"/>
      <c r="Y7" s="7"/>
      <c r="Z7" s="7"/>
    </row>
    <row r="8" spans="1:26" x14ac:dyDescent="0.35">
      <c r="A8" s="7"/>
      <c r="B8" s="7"/>
      <c r="C8" s="7"/>
      <c r="D8" s="7"/>
      <c r="E8" s="7"/>
      <c r="F8" s="7"/>
      <c r="G8" s="7"/>
      <c r="H8" s="7"/>
      <c r="I8" s="7"/>
      <c r="J8" s="7"/>
      <c r="K8" s="7"/>
      <c r="L8" s="7"/>
      <c r="M8" s="7"/>
      <c r="N8" s="7"/>
      <c r="O8" s="7"/>
      <c r="P8" s="7"/>
      <c r="Q8" s="7"/>
      <c r="R8" s="7"/>
      <c r="S8" s="7"/>
      <c r="T8" s="7"/>
      <c r="U8" s="7"/>
      <c r="V8" s="7"/>
      <c r="W8" s="7"/>
      <c r="X8" s="7"/>
      <c r="Y8" s="7"/>
      <c r="Z8" s="7"/>
    </row>
    <row r="9" spans="1:26" x14ac:dyDescent="0.35">
      <c r="A9" s="7"/>
      <c r="B9" s="7"/>
      <c r="C9" s="7"/>
      <c r="D9" s="7"/>
      <c r="E9" s="7"/>
      <c r="F9" s="7"/>
      <c r="G9" s="7"/>
      <c r="H9" s="7"/>
      <c r="I9" s="7"/>
      <c r="J9" s="7"/>
      <c r="K9" s="7"/>
      <c r="L9" s="7"/>
      <c r="M9" s="7"/>
      <c r="N9" s="7"/>
      <c r="O9" s="7"/>
      <c r="P9" s="7"/>
      <c r="Q9" s="7"/>
      <c r="R9" s="7"/>
      <c r="S9" s="7"/>
      <c r="T9" s="7"/>
      <c r="U9" s="7"/>
      <c r="V9" s="7"/>
      <c r="W9" s="7"/>
      <c r="X9" s="7"/>
      <c r="Y9" s="7"/>
      <c r="Z9" s="7"/>
    </row>
    <row r="10" spans="1:26" x14ac:dyDescent="0.3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3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3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35">
      <c r="A50" s="5"/>
      <c r="B50" s="5"/>
      <c r="C50" s="5"/>
      <c r="D50" s="5"/>
      <c r="E50" s="5"/>
      <c r="F50" s="5"/>
      <c r="G50" s="5"/>
      <c r="H50" s="5"/>
      <c r="I50" s="5"/>
      <c r="J50" s="5"/>
      <c r="K50" s="5"/>
      <c r="L50" s="5"/>
      <c r="M50" s="5"/>
      <c r="N50" s="5"/>
      <c r="O50" s="5"/>
      <c r="P50" s="5"/>
      <c r="Q50" s="5"/>
      <c r="R50" s="5"/>
      <c r="S50" s="5"/>
      <c r="T50" s="5"/>
      <c r="U50" s="5"/>
      <c r="V50" s="5"/>
      <c r="W50" s="5"/>
      <c r="X50" s="5"/>
      <c r="Y50" s="5"/>
      <c r="Z5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ABCOM</cp:lastModifiedBy>
  <dcterms:created xsi:type="dcterms:W3CDTF">2025-06-13T15:08:35Z</dcterms:created>
  <dcterms:modified xsi:type="dcterms:W3CDTF">2026-06-06T07:13:09Z</dcterms:modified>
</cp:coreProperties>
</file>